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64011"/>
  <mc:AlternateContent xmlns:mc="http://schemas.openxmlformats.org/markup-compatibility/2006">
    <mc:Choice Requires="x15">
      <x15ac:absPath xmlns:x15ac="http://schemas.microsoft.com/office/spreadsheetml/2010/11/ac" url="E:\Documents\DELMIA Ortems\Toolbox\Releases\"/>
    </mc:Choice>
  </mc:AlternateContent>
  <bookViews>
    <workbookView xWindow="0" yWindow="0" windowWidth="2150" windowHeight="0" tabRatio="772" firstSheet="3" activeTab="3"/>
  </bookViews>
  <sheets>
    <sheet name="TABLES" sheetId="1" state="hidden" r:id="rId1"/>
    <sheet name="MODULES" sheetId="2" state="hidden" r:id="rId2"/>
    <sheet name="CURRENT_MODULES" sheetId="3" state="hidden" r:id="rId3"/>
    <sheet name="MAIN" sheetId="4" r:id="rId4"/>
    <sheet name="CONFIG" sheetId="5" r:id="rId5"/>
    <sheet name="CLIENT_EXPLANATION" sheetId="249" state="hidden" r:id="rId6"/>
    <sheet name="B_TEMPLATE" sheetId="6" state="hidden" r:id="rId7"/>
    <sheet name="SV_TEMPLATE" sheetId="185" state="hidden" r:id="rId8"/>
  </sheets>
  <functionGroups builtInGroupCount="18"/>
  <definedNames>
    <definedName name="_xlnm._FilterDatabase" localSheetId="6" hidden="1">B_TEMPLATE!$A$6:$BF$6</definedName>
    <definedName name="_xlnm._FilterDatabase" localSheetId="7" hidden="1">SV_TEMPLATE!$A$9:$BF$9</definedName>
    <definedName name="CLEAR" localSheetId="4">CONFIG!$N$2:$N$1048576</definedName>
    <definedName name="COLUMNS" localSheetId="6">B_TEMPLATE!$6:$6</definedName>
    <definedName name="COLUMNS" localSheetId="7">SV_TEMPLATE!$9:$9</definedName>
    <definedName name="DB_ALIAS">TABLES!#REF!</definedName>
    <definedName name="DB_NAME">MAIN!$D$4</definedName>
    <definedName name="DB_PATH">MAIN!$D$3</definedName>
    <definedName name="DEFAULT_VALUES" localSheetId="2">CURRENT_MODULES!$H:$H</definedName>
    <definedName name="DEFAULT_VALUES" localSheetId="1">MODULES!$I:$I</definedName>
    <definedName name="DESCRIPTION" localSheetId="7">SV_TEMPLATE!$A$5</definedName>
    <definedName name="DUPLICATES" localSheetId="2">CURRENT_MODULES!$N:$N</definedName>
    <definedName name="DUPLICATES" localSheetId="1">MODULES!$P:$P</definedName>
    <definedName name="EXPORT_CLIENT" localSheetId="2">CURRENT_MODULES!$Z:$AB</definedName>
    <definedName name="EXPORT_CLIENT_PATH" localSheetId="3">MAIN!$R$34</definedName>
    <definedName name="FK_PK">TABLES!$E:$I</definedName>
    <definedName name="FORMAT_CONSTRAINTS" localSheetId="2">CURRENT_MODULES!$V:$X</definedName>
    <definedName name="FORMAT_CONSTRAINTS" localSheetId="1">MODULES!$Z:$AC</definedName>
    <definedName name="GENERATE" localSheetId="4">CONFIG!$C$2:$C$1048576</definedName>
    <definedName name="HELP_PATH" localSheetId="3">MAIN!$P$32</definedName>
    <definedName name="IBU_PATH">TABLES!#REF!</definedName>
    <definedName name="INFOS_DB">TABLES!$A$1:$N$1009</definedName>
    <definedName name="INSERT" localSheetId="4">CONFIG!$J$2:$J$1048576</definedName>
    <definedName name="KEY_CONSTRAINTS" localSheetId="2">CURRENT_MODULES!$Q:$T</definedName>
    <definedName name="KEY_CONSTRAINTS" localSheetId="1">MODULES!$T:$X</definedName>
    <definedName name="LinktoHelp" localSheetId="6">"Rectangle 13"</definedName>
    <definedName name="LinktoHelp" localSheetId="7">"Rectangle 13"</definedName>
    <definedName name="MANDATORY">TABLES!$K:$N</definedName>
    <definedName name="MAPPING" localSheetId="4">CONFIG!$E$3:$H$1048576</definedName>
    <definedName name="MAPPING" localSheetId="2">CURRENT_MODULES!$A:$A</definedName>
    <definedName name="MAPPING_ID" localSheetId="1">MODULES!$A:$A</definedName>
    <definedName name="MODULE_NAME" localSheetId="1">MODULES!$AL:$AM</definedName>
    <definedName name="PURGE">TABLES!$C:$C</definedName>
    <definedName name="QUESTIONS" localSheetId="1">MODULES!$AE:$AE</definedName>
    <definedName name="SV_DESCRIPTIONS" localSheetId="0">TABLES!$AK:$AK</definedName>
    <definedName name="SV_EXAMPLES">TABLES!$W:$W</definedName>
    <definedName name="SV_GENERATE" localSheetId="4">CONFIG!$A$2:$A$1048576</definedName>
    <definedName name="SV_TABLES">TABLES!$P:$P</definedName>
    <definedName name="TABLES">TABLES!$A:$A</definedName>
    <definedName name="VISUALIZE" localSheetId="4">CONFIG!$L$2:$L$1048576</definedName>
    <definedName name="Z_78C5045A_3FD3_4C60_B2E3_9FBBF1337D5C_.wvu.Cols" localSheetId="0" hidden="1">TABLES!#REF!,TABLES!#REF!</definedName>
    <definedName name="Z_78C5045A_3FD3_4C60_B2E3_9FBBF1337D5C_.wvu.FilterData" localSheetId="6" hidden="1">B_TEMPLATE!$A$6:$BF$6</definedName>
    <definedName name="Z_78C5045A_3FD3_4C60_B2E3_9FBBF1337D5C_.wvu.FilterData" localSheetId="7" hidden="1">SV_TEMPLATE!$A$9:$BF$9</definedName>
  </definedNames>
  <calcPr calcId="162913"/>
  <customWorkbookViews>
    <customWorkbookView name="VORGEAT Thibaud (INTERN) - Personal View" guid="{78C5045A-3FD3-4C60-B2E3-9FBBF1337D5C}" mergeInterval="0" personalView="1" maximized="1" xWindow="-2891" yWindow="-11" windowWidth="2902" windowHeight="1582" tabRatio="772" activeSheetId="4"/>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117" i="1" l="1"/>
  <c r="AC62" i="1"/>
  <c r="AB128" i="1"/>
  <c r="AB129" i="1"/>
  <c r="Z118" i="1"/>
  <c r="AC60" i="1"/>
  <c r="AB62" i="1"/>
  <c r="AB64" i="1"/>
  <c r="AB61" i="1"/>
  <c r="Z120" i="1"/>
  <c r="Y119" i="1"/>
  <c r="AB130" i="1"/>
  <c r="Y118" i="1"/>
  <c r="Z113" i="1"/>
  <c r="AC64" i="1"/>
  <c r="Y117" i="1"/>
  <c r="Y120" i="1"/>
  <c r="AC61" i="1"/>
  <c r="AB60" i="1"/>
  <c r="Z116" i="1"/>
  <c r="AB63" i="1"/>
  <c r="Z119" i="1"/>
  <c r="Y116" i="1"/>
  <c r="AC63" i="1"/>
</calcChain>
</file>

<file path=xl/comments1.xml><?xml version="1.0" encoding="utf-8"?>
<comments xmlns="http://schemas.openxmlformats.org/spreadsheetml/2006/main">
  <authors>
    <author>VORGEAT Thibaud (INTERN)</author>
  </authors>
  <commentList>
    <comment ref="A1" authorId="0" shapeId="0">
      <text>
        <r>
          <rPr>
            <sz val="9"/>
            <color indexed="81"/>
            <rFont val="Tahoma"/>
            <charset val="1"/>
          </rPr>
          <t xml:space="preserve">List containing all the authorized Ortems tables a tech-sale can use.
The associated named range is TABLES.
</t>
        </r>
      </text>
    </comment>
    <comment ref="C1" authorId="0" shapeId="0">
      <text>
        <r>
          <rPr>
            <sz val="9"/>
            <color indexed="81"/>
            <rFont val="Tahoma"/>
            <family val="2"/>
          </rPr>
          <t>List containing all the SQL queries to execute in order to start from a blank database.
The associated named range is PURGE</t>
        </r>
      </text>
    </comment>
    <comment ref="E1" authorId="0" shapeId="0">
      <text>
        <r>
          <rPr>
            <sz val="9"/>
            <color indexed="81"/>
            <rFont val="Tahoma"/>
            <family val="2"/>
          </rPr>
          <t>Table containing the infromation about primary keys for the Ortems tables
The associated named range is FK_PK</t>
        </r>
      </text>
    </comment>
    <comment ref="G1" authorId="0" shapeId="0">
      <text>
        <r>
          <rPr>
            <sz val="9"/>
            <color indexed="81"/>
            <rFont val="Tahoma"/>
            <family val="2"/>
          </rPr>
          <t>1 if the column is a primary key
0 otherwise</t>
        </r>
      </text>
    </comment>
    <comment ref="H1" authorId="0" shapeId="0">
      <text>
        <r>
          <rPr>
            <sz val="9"/>
            <color indexed="81"/>
            <rFont val="Tahoma"/>
            <family val="2"/>
          </rPr>
          <t xml:space="preserve">If the column is referencing another column in another table, put the table here and the column in the cell to the right
</t>
        </r>
      </text>
    </comment>
    <comment ref="K1" authorId="0" shapeId="0">
      <text>
        <r>
          <rPr>
            <sz val="9"/>
            <color indexed="81"/>
            <rFont val="Tahoma"/>
            <family val="2"/>
          </rPr>
          <t>Table containing information about mandatory and default values.
The associated named range is MANDATORY</t>
        </r>
      </text>
    </comment>
    <comment ref="M1" authorId="0" shapeId="0">
      <text>
        <r>
          <rPr>
            <sz val="9"/>
            <color indexed="81"/>
            <rFont val="Tahoma"/>
            <family val="2"/>
          </rPr>
          <t>1 if the column is mandatory.
0 otherwise</t>
        </r>
      </text>
    </comment>
    <comment ref="N1" authorId="0" shapeId="0">
      <text>
        <r>
          <rPr>
            <sz val="9"/>
            <color indexed="81"/>
            <rFont val="Tahoma"/>
            <family val="2"/>
          </rPr>
          <t>Put the default value of that column here.
If there's no default value, leave empty</t>
        </r>
      </text>
    </comment>
    <comment ref="P1" authorId="0" shapeId="0">
      <text>
        <r>
          <rPr>
            <sz val="9"/>
            <color indexed="81"/>
            <rFont val="Tahoma"/>
            <family val="2"/>
          </rPr>
          <t>Table containing all the information about the SV sheets: Ortems columns, client columns, mandatory columns, client comments and tech-sale comment.
The associated named range is SV_TABLES</t>
        </r>
      </text>
    </comment>
    <comment ref="S1" authorId="0" shapeId="0">
      <text>
        <r>
          <rPr>
            <sz val="9"/>
            <color indexed="81"/>
            <rFont val="Tahoma"/>
            <family val="2"/>
          </rPr>
          <t>0 if the column is optional
1 if it is mandatory
2 if it is not required (the column will not appear during generation)</t>
        </r>
      </text>
    </comment>
    <comment ref="W1" authorId="0" shapeId="0">
      <text>
        <r>
          <rPr>
            <sz val="9"/>
            <color indexed="81"/>
            <rFont val="Tahoma"/>
            <family val="2"/>
          </rPr>
          <t>Put here the examples of the SV sheets. Each SV sheet can only have one example (impossible to do modular examples).
See the technical documentation for more information.
The associated named range is SV_EXAMPLES</t>
        </r>
      </text>
    </comment>
    <comment ref="AK1" authorId="0" shapeId="0">
      <text>
        <r>
          <rPr>
            <sz val="9"/>
            <color indexed="81"/>
            <rFont val="Tahoma"/>
            <family val="2"/>
          </rPr>
          <t>Table containing the description of the SV sheets. 
The associated named range is SV_DESCRIPTIONS</t>
        </r>
      </text>
    </comment>
    <comment ref="AL1" authorId="0" shapeId="0">
      <text>
        <r>
          <rPr>
            <sz val="9"/>
            <color indexed="81"/>
            <rFont val="Tahoma"/>
            <family val="2"/>
          </rPr>
          <t>Put the description here. Do not use linebreaks because the text will be wrapped on the SV sheets.</t>
        </r>
      </text>
    </comment>
  </commentList>
</comments>
</file>

<file path=xl/comments2.xml><?xml version="1.0" encoding="utf-8"?>
<comments xmlns="http://schemas.openxmlformats.org/spreadsheetml/2006/main">
  <authors>
    <author>VORGEAT Thibaud (INTERN)</author>
  </authors>
  <commentList>
    <comment ref="A1" authorId="0" shapeId="0">
      <text>
        <r>
          <rPr>
            <sz val="9"/>
            <color indexed="81"/>
            <rFont val="Tahoma"/>
            <family val="2"/>
          </rPr>
          <t>Table containing the mapping for each module.
See technical documentation for more information.
The associated named range is MAPPING_ID</t>
        </r>
      </text>
    </comment>
    <comment ref="F1" authorId="0" shapeId="0">
      <text>
        <r>
          <rPr>
            <sz val="9"/>
            <color indexed="81"/>
            <rFont val="Tahoma"/>
            <family val="2"/>
          </rPr>
          <t>The insertion order is the order of insertion of the B tables.
A B table have one ID only and the table are inserted from the lowest to the biggest ID.
It is used to replicate the flow order of the Plug and play and thus avoiding key error during insertion, e.g. trying to insert B_MACH before B_CAL.</t>
        </r>
      </text>
    </comment>
    <comment ref="G1" authorId="0" shapeId="0">
      <text>
        <r>
          <rPr>
            <sz val="9"/>
            <color indexed="81"/>
            <rFont val="Tahoma"/>
            <family val="2"/>
          </rPr>
          <t>The source sheet order ID is the concatenation of the order of the SVs and the order of the columns in a given SV.
The first two digits are defining the SV order and the last two the order of columns in a SV.
The order is used to show the sheets in a logical order for the client and the tech-sale and does not relate to the insertion order.
Example:
0102 means order 01 for the SV and order 02 for the column inside the SV.</t>
        </r>
      </text>
    </comment>
    <comment ref="I1" authorId="0" shapeId="0">
      <text>
        <r>
          <rPr>
            <sz val="9"/>
            <color indexed="81"/>
            <rFont val="Tahoma"/>
            <family val="2"/>
          </rPr>
          <t>Table containing the mapping of default values of the modules.
See technical documentation for more information.
The associated named range is DEFAULT_VALUES</t>
        </r>
      </text>
    </comment>
    <comment ref="J1" authorId="0" shapeId="0">
      <text>
        <r>
          <rPr>
            <sz val="9"/>
            <color indexed="81"/>
            <rFont val="Tahoma"/>
            <family val="2"/>
          </rPr>
          <t>Put a * if there's no need to filter default values</t>
        </r>
      </text>
    </comment>
    <comment ref="K1" authorId="0" shapeId="0">
      <text>
        <r>
          <rPr>
            <sz val="9"/>
            <color indexed="81"/>
            <rFont val="Tahoma"/>
            <family val="2"/>
          </rPr>
          <t xml:space="preserve">Put a * if there's no need to filter default values
</t>
        </r>
      </text>
    </comment>
    <comment ref="P1" authorId="0" shapeId="0">
      <text>
        <r>
          <rPr>
            <sz val="9"/>
            <color indexed="81"/>
            <rFont val="Tahoma"/>
            <family val="2"/>
          </rPr>
          <t>Table containing the removal of duplicates lines after the mapping is executed.
See technical documentation for more information.
The associated named range is DUPLICATES</t>
        </r>
      </text>
    </comment>
    <comment ref="T1" authorId="0" shapeId="0">
      <text>
        <r>
          <rPr>
            <sz val="9"/>
            <color indexed="81"/>
            <rFont val="Tahoma"/>
            <family val="2"/>
          </rPr>
          <t>Table containing the integrity check on keys for the SVs.
See technical documentation for more information.
The associated named range is KEY_CONSTRAINTS.</t>
        </r>
      </text>
    </comment>
    <comment ref="V1" authorId="0" shapeId="0">
      <text>
        <r>
          <rPr>
            <sz val="9"/>
            <color indexed="81"/>
            <rFont val="Tahoma"/>
            <family val="2"/>
          </rPr>
          <t>If the key is conposed of multiple columns, use ; as a separator without spaces</t>
        </r>
      </text>
    </comment>
    <comment ref="X1" authorId="0" shapeId="0">
      <text>
        <r>
          <rPr>
            <sz val="9"/>
            <color indexed="81"/>
            <rFont val="Tahoma"/>
            <family val="2"/>
          </rPr>
          <t>If the key is conposed of multiple columns, use ; as a separator without spaces</t>
        </r>
      </text>
    </comment>
    <comment ref="Z1" authorId="0" shapeId="0">
      <text>
        <r>
          <rPr>
            <sz val="9"/>
            <color indexed="81"/>
            <rFont val="Tahoma"/>
            <family val="2"/>
          </rPr>
          <t>Table containing the integrity check on formats for the SVs.
See technical documentation for more information.
The associated named range is FORMAT_CONSTRAINTS.</t>
        </r>
      </text>
    </comment>
    <comment ref="AC1" authorId="0" shapeId="0">
      <text>
        <r>
          <rPr>
            <sz val="9"/>
            <color indexed="81"/>
            <rFont val="Tahoma"/>
            <family val="2"/>
          </rPr>
          <t>DATE if the column must be in date format
CELL if you want to check that the cell containing the value is TEXT cell
Note: for "mm/dd/yyy hh:mm" dates, use the two constraints to be sure that the dates will not generate errors during insertion</t>
        </r>
      </text>
    </comment>
    <comment ref="AE1" authorId="0" shapeId="0">
      <text>
        <r>
          <rPr>
            <sz val="9"/>
            <color indexed="81"/>
            <rFont val="Tahoma"/>
            <family val="2"/>
          </rPr>
          <t>Table containing the question to ask, the next question and the modules to add for each question.
The associated named range is QUESTIONS</t>
        </r>
      </text>
    </comment>
    <comment ref="AG1" authorId="0" shapeId="0">
      <text>
        <r>
          <rPr>
            <sz val="9"/>
            <color indexed="81"/>
            <rFont val="Tahoma"/>
            <family val="2"/>
          </rPr>
          <t>If multiple module IDs must be added, use ; as a separator without spaces</t>
        </r>
      </text>
    </comment>
    <comment ref="AH1" authorId="0" shapeId="0">
      <text>
        <r>
          <rPr>
            <sz val="9"/>
            <color indexed="81"/>
            <rFont val="Tahoma"/>
            <family val="2"/>
          </rPr>
          <t xml:space="preserve">If multiple module IDs must be added, use ; as a separator without spaces
</t>
        </r>
      </text>
    </comment>
    <comment ref="AI1" authorId="0" shapeId="0">
      <text>
        <r>
          <rPr>
            <sz val="9"/>
            <color indexed="81"/>
            <rFont val="Tahoma"/>
            <family val="2"/>
          </rPr>
          <t>Use -1 for the last question</t>
        </r>
      </text>
    </comment>
    <comment ref="AJ1" authorId="0" shapeId="0">
      <text>
        <r>
          <rPr>
            <sz val="9"/>
            <color indexed="81"/>
            <rFont val="Tahoma"/>
            <family val="2"/>
          </rPr>
          <t>Use -1 for the last question</t>
        </r>
      </text>
    </comment>
    <comment ref="AL1" authorId="0" shapeId="0">
      <text>
        <r>
          <rPr>
            <sz val="9"/>
            <color indexed="81"/>
            <rFont val="Tahoma"/>
            <family val="2"/>
          </rPr>
          <t>Table containing the list of modules associated with the module name appearing in the modules list of the MAIN sheet.
The associated named range is MODULE_NAME.
If there's multiple modules IDs to add for a single module name, use ; as a separator without spaces</t>
        </r>
      </text>
    </comment>
    <comment ref="AM1" authorId="0" shapeId="0">
      <text>
        <r>
          <rPr>
            <sz val="9"/>
            <color indexed="81"/>
            <rFont val="Tahoma"/>
            <family val="2"/>
          </rPr>
          <t>Name of the module appearing in the modules list of the MAIN sheet</t>
        </r>
      </text>
    </comment>
  </commentList>
</comments>
</file>

<file path=xl/comments3.xml><?xml version="1.0" encoding="utf-8"?>
<comments xmlns="http://schemas.openxmlformats.org/spreadsheetml/2006/main">
  <authors>
    <author>VORGEAT Thibaud (INTERN)</author>
  </authors>
  <commentList>
    <comment ref="O32" authorId="0" shapeId="0">
      <text>
        <r>
          <rPr>
            <sz val="9"/>
            <color indexed="81"/>
            <rFont val="Tahoma"/>
            <family val="2"/>
          </rPr>
          <t xml:space="preserve">Default:
C:\Program Files (x86)\ORTEMS\APS\help
</t>
        </r>
      </text>
    </comment>
    <comment ref="O34" authorId="0" shapeId="0">
      <text>
        <r>
          <rPr>
            <sz val="9"/>
            <color indexed="81"/>
            <rFont val="Tahoma"/>
            <family val="2"/>
          </rPr>
          <t>Name of the customer data template file. Thefile must be in the same folder as the Toolbox.</t>
        </r>
      </text>
    </comment>
  </commentList>
</comments>
</file>

<file path=xl/sharedStrings.xml><?xml version="1.0" encoding="utf-8"?>
<sst xmlns="http://schemas.openxmlformats.org/spreadsheetml/2006/main" count="16329" uniqueCount="2974">
  <si>
    <t>DELETE FROM E_SER2 ;</t>
  </si>
  <si>
    <t>DELETE FROM E_ALIM_STOC2 ;</t>
  </si>
  <si>
    <t>DELETE FROM ENC_EXEMPL2 ;</t>
  </si>
  <si>
    <t>DELETE FROM ENC_CAD_QUAL_RS2 ;</t>
  </si>
  <si>
    <t>DELETE FROM ENC_CAD_QUAL2 ;</t>
  </si>
  <si>
    <t>DELETE FROM ENC_CAD_LIMI2 ;</t>
  </si>
  <si>
    <t>DELETE FROM ENC_CAD2 ;</t>
  </si>
  <si>
    <t>DELETE FROM BT_SER2 ;</t>
  </si>
  <si>
    <t>DELETE FROM BT_QUAL2 ;</t>
  </si>
  <si>
    <t>DELETE FROM BT_LIMI2 ;</t>
  </si>
  <si>
    <t>DELETE FROM BT_PARMC2 ;</t>
  </si>
  <si>
    <t>DELETE FROM BT_PARM2 ;</t>
  </si>
  <si>
    <t>DELETE FROM BT_ART2 ;</t>
  </si>
  <si>
    <t>DELETE FROM E_RSV_RES2 ;</t>
  </si>
  <si>
    <t>DELETE FROM E_NOME2 ;</t>
  </si>
  <si>
    <t>DELETE FROM B_PREN2 ;</t>
  </si>
  <si>
    <t>DELETE FROM BT_BT2 ;</t>
  </si>
  <si>
    <t>DELETE FROM B_BM2 ;</t>
  </si>
  <si>
    <t>DELETE FROM B_BT2 ;</t>
  </si>
  <si>
    <t>DELETE FROM E_OF_VER2 ;</t>
  </si>
  <si>
    <t>DELETE FROM E_OF_E_OF2 ;</t>
  </si>
  <si>
    <t>DELETE FROM E_OF_TYPV2 ;</t>
  </si>
  <si>
    <t>DELETE FROM E_OF2 ;</t>
  </si>
  <si>
    <t>DELETE FROM B_STOC_NRJ ;</t>
  </si>
  <si>
    <t>DELETE FROM ENC_NRJ_CAD ;</t>
  </si>
  <si>
    <t>DELETE FROM ENC_NRJ_MACH ;</t>
  </si>
  <si>
    <t>DELETE FROM B_NRJ_CADE ;</t>
  </si>
  <si>
    <t>DELETE FROM B_NRJ_MACH ;</t>
  </si>
  <si>
    <t>DELETE FROM B_NRJ ;</t>
  </si>
  <si>
    <t>DELETE FROM I_PREN ;</t>
  </si>
  <si>
    <t>DELETE FROM BT_QUAL_RS ;</t>
  </si>
  <si>
    <t>DELETE FROM E_SER ;</t>
  </si>
  <si>
    <t>DELETE FROM E_ALIM_STOC ;</t>
  </si>
  <si>
    <t>DELETE FROM E_REG ;</t>
  </si>
  <si>
    <t>DELETE FROM E_COP ;</t>
  </si>
  <si>
    <t>DELETE FROM ENC_EXEMPL ;</t>
  </si>
  <si>
    <t>DELETE FROM ENC_CAD_QUAL_RS ;</t>
  </si>
  <si>
    <t>DELETE FROM ENC_CAD_QUAL ;</t>
  </si>
  <si>
    <t>DELETE FROM ENC_CAD_LIMI ;</t>
  </si>
  <si>
    <t>DELETE FROM ENC_CAD ;</t>
  </si>
  <si>
    <t>DELETE FROM BT_SER ;</t>
  </si>
  <si>
    <t>DELETE FROM BT_QUAL ;</t>
  </si>
  <si>
    <t>DELETE FROM BT_LIMI ;</t>
  </si>
  <si>
    <t>DELETE FROM BT_PARMC ;</t>
  </si>
  <si>
    <t>DELETE FROM BT_PARM ;</t>
  </si>
  <si>
    <t>DELETE FROM BT_ART ;</t>
  </si>
  <si>
    <t>DELETE FROM E_RSV_RES ;</t>
  </si>
  <si>
    <t>DELETE FROM E_SPLI ;</t>
  </si>
  <si>
    <t>DELETE FROM E_NOME ;</t>
  </si>
  <si>
    <t>DELETE FROM B_PREN ;</t>
  </si>
  <si>
    <t>DELETE FROM BT_BT ;</t>
  </si>
  <si>
    <t>DELETE FROM B_BM ;</t>
  </si>
  <si>
    <t>DELETE FROM B_BT ;</t>
  </si>
  <si>
    <t>DELETE FROM E_OF_VER ;</t>
  </si>
  <si>
    <t>DELETE FROM E_OF_E_OF ;</t>
  </si>
  <si>
    <t>DELETE FROM E_OF_TYPV ;</t>
  </si>
  <si>
    <t>DELETE FROM E_OF ;</t>
  </si>
  <si>
    <t>DELETE FROM ILOT_ENCOURS ;</t>
  </si>
  <si>
    <t>DELETE FROM MACH_ENCOURS ;</t>
  </si>
  <si>
    <t>DELETE FROM P_QUAL_CAPA_EXC ;</t>
  </si>
  <si>
    <t>DELETE FROM P_MACH_CAPA_EXC ;</t>
  </si>
  <si>
    <t>DELETE FROM P_QUAL_CAPA ;</t>
  </si>
  <si>
    <t>DELETE FROM P_MACH_CAPA ;</t>
  </si>
  <si>
    <t>DELETE FROM P_CEFF_MACH ;</t>
  </si>
  <si>
    <t>DELETE FROM P_QUAL ;</t>
  </si>
  <si>
    <t>DELETE FROM P_CEX_OPRT ;</t>
  </si>
  <si>
    <t>DELETE FROM P_CEX_MACH ;</t>
  </si>
  <si>
    <t>DELETE FROM MACH_PLAN_CAP ;</t>
  </si>
  <si>
    <t>DELETE FROM PLAN_CAP WHERE PLAN_CAP.PLAN_CAP NOT IN (SELECT PLAN_CAP FROM ENCOURS) ;</t>
  </si>
  <si>
    <t>DELETE FROM B_COMMANDE_LIGNE ;</t>
  </si>
  <si>
    <t>DELETE FROM B_COMMANDE_ENTETE ;</t>
  </si>
  <si>
    <t>DELETE FROM B_BES ;</t>
  </si>
  <si>
    <t>DELETE FROM B_CALP ;</t>
  </si>
  <si>
    <t>DELETE FROM B_EVT ;</t>
  </si>
  <si>
    <t>DELETE FROM INFO_MACH ;</t>
  </si>
  <si>
    <t>DELETE FROM INFO_ART ;</t>
  </si>
  <si>
    <t>DELETE FROM INFO_SER ;</t>
  </si>
  <si>
    <t>DELETE FROM INFO_OF ;</t>
  </si>
  <si>
    <t>DELETE FROM B_OFSA ;</t>
  </si>
  <si>
    <t>DELETE FROM B_PREC_ETAP ;</t>
  </si>
  <si>
    <t>DELETE FROM B_ETAP ;</t>
  </si>
  <si>
    <t>DELETE FROM B_VER_MACRO_ART ;</t>
  </si>
  <si>
    <t>DELETE FROM B_MACRO_ART ;</t>
  </si>
  <si>
    <t>DELETE FROM B_MACRO_GAMM ;</t>
  </si>
  <si>
    <t>DELETE FROM B_BIBL_GAMM ;</t>
  </si>
  <si>
    <t>DELETE FROM B_OF_SER ;</t>
  </si>
  <si>
    <t>DELETE FROM B_PROF ;</t>
  </si>
  <si>
    <t>DELETE FROM B_PHM ;</t>
  </si>
  <si>
    <t>DELETE FROM OF_TYPV ;</t>
  </si>
  <si>
    <t>DELETE FROM B_OF ;</t>
  </si>
  <si>
    <t>DELETE FROM B_OPE_SER ;</t>
  </si>
  <si>
    <t>DELETE FROM B_SER WHERE SERIE&lt;&gt;'SERIE';</t>
  </si>
  <si>
    <t>DELETE FROM B_S_SER ;</t>
  </si>
  <si>
    <t>DELETE FROM B_CLASS_SER WHERE CODE_CLASS&lt;&gt;'DEFAULT';</t>
  </si>
  <si>
    <t>DELETE FROM E_MAJ_ACHAT ;</t>
  </si>
  <si>
    <t>DELETE FROM ART_MARQ ;</t>
  </si>
  <si>
    <t>DELETE FROM B_STOC ;</t>
  </si>
  <si>
    <t>DELETE FROM E_ACHAT ;</t>
  </si>
  <si>
    <t>DELETE FROM B_NOME ;</t>
  </si>
  <si>
    <t>DELETE FROM I_NOME ;</t>
  </si>
  <si>
    <t>DELETE FROM I_PARTC ;</t>
  </si>
  <si>
    <t>DELETE FROM I_PART ;</t>
  </si>
  <si>
    <t>DELETE FROM B_PARTC ;</t>
  </si>
  <si>
    <t>DELETE FROM B_ART_UTIL;</t>
  </si>
  <si>
    <t>DELETE FROM B_PART ;</t>
  </si>
  <si>
    <t>DELETE FROM B_VER_ART ;</t>
  </si>
  <si>
    <t>DELETE FROM E_ART_PERI ;</t>
  </si>
  <si>
    <t>DELETE FROM B_ART ;</t>
  </si>
  <si>
    <t>DELETE FROM B_EMPL ;</t>
  </si>
  <si>
    <t>DELETE FROM B_GRM ;</t>
  </si>
  <si>
    <t>DELETE FROM PARM_MACH ;</t>
  </si>
  <si>
    <t>DELETE FROM B_MTPAC3 ;</t>
  </si>
  <si>
    <t>DELETE FROM B_MTPAC2 ;</t>
  </si>
  <si>
    <t>DELETE FROM B_MTPAC ;</t>
  </si>
  <si>
    <t>DELETE FROM B_MTPA3 ;</t>
  </si>
  <si>
    <t>DELETE FROM B_MTPA2 ;</t>
  </si>
  <si>
    <t>DELETE FROM TYPMC_ILOT ;</t>
  </si>
  <si>
    <t>DELETE FROM TYPM_MACH ;</t>
  </si>
  <si>
    <t>DELETE FROM TYPM_ILOT ;</t>
  </si>
  <si>
    <t>DELETE FROM B_PARM ;</t>
  </si>
  <si>
    <t>DELETE FROM B_TYPM ;</t>
  </si>
  <si>
    <t>DELETE FROM RSV_RES ;</t>
  </si>
  <si>
    <t>DELETE FROM B_SPLI ;</t>
  </si>
  <si>
    <t>DELETE FROM B_PREC ;</t>
  </si>
  <si>
    <t>DELETE FROM B_PHMA ;</t>
  </si>
  <si>
    <t>DELETE FROM B_PHAS ;</t>
  </si>
  <si>
    <t>DELETE FROM B_GAMM WHERE NOMG&lt;&gt;'MP' ;</t>
  </si>
  <si>
    <t>DELETE FROM B_OPLI ;</t>
  </si>
  <si>
    <t>DELETE FROM CADE_LIMI ;</t>
  </si>
  <si>
    <t>DELETE FROM B_AFCA_RS ;</t>
  </si>
  <si>
    <t>DELETE FROM B_AFCA ;</t>
  </si>
  <si>
    <t>DELETE FROM B_CADE ;</t>
  </si>
  <si>
    <t>DELETE FROM B_OPE ;</t>
  </si>
  <si>
    <t>DELETE FROM B_SHIFT_CAPA_DAY ;</t>
  </si>
  <si>
    <t>DELETE FROM B_SHIFT ;</t>
  </si>
  <si>
    <t>DELETE FROM B_SHIFT_MACH ;</t>
  </si>
  <si>
    <t>DELETE FROM B_COMPA_CAL ;</t>
  </si>
  <si>
    <t>DELETE FROM B_CPL_OPMACH ;</t>
  </si>
  <si>
    <t>DELETE FROM B_PLAN_OPRT ;</t>
  </si>
  <si>
    <t>DELETE FROM B_AFQU_RS ;</t>
  </si>
  <si>
    <t>DELETE FROM B_AFQU ;</t>
  </si>
  <si>
    <t>DELETE FROM B_AFOP ;</t>
  </si>
  <si>
    <t>DELETE FROM B_OPRT ;</t>
  </si>
  <si>
    <t>DELETE FROM B_QUAL_RS ;</t>
  </si>
  <si>
    <t>DELETE FROM B_QUAL ;</t>
  </si>
  <si>
    <t>DELETE FROM B_QUAL_FAM WHERE QUAL_FAM_CODE&lt;&gt;'DEFAULT';</t>
  </si>
  <si>
    <t>DELETE FROM B_LIMI ;</t>
  </si>
  <si>
    <t>DELETE FROM B_GRPR ;</t>
  </si>
  <si>
    <t>DELETE FROM B_LC_ECH ;</t>
  </si>
  <si>
    <t>DELETE FROM B_LC ;</t>
  </si>
  <si>
    <t>DELETE FROM B_MTR ;</t>
  </si>
  <si>
    <t>DELETE FROM B_OUTI ;</t>
  </si>
  <si>
    <t>DELETE FROM B_ETAM ;</t>
  </si>
  <si>
    <t>DELETE FROM B_TYPV ;</t>
  </si>
  <si>
    <t>DELETE FROM B_MACH_LEAD ;</t>
  </si>
  <si>
    <t>DELETE FROM B_CNX_MACH ;</t>
  </si>
  <si>
    <t>DELETE FROM B_CAPA_MACH2 ;</t>
  </si>
  <si>
    <t>DELETE FROM B_CAPA_MACH ;</t>
  </si>
  <si>
    <t>DELETE FROM B_PRIL ;</t>
  </si>
  <si>
    <t>DELETE FROM B_GPMA ;</t>
  </si>
  <si>
    <t>DELETE FROM B_TYMA ;</t>
  </si>
  <si>
    <t>DELETE FROM B_MACH WHERE MACHINE&lt;&gt;'STAND-BY';</t>
  </si>
  <si>
    <t>DELETE FROM B_ILOT WHERE ILOT&lt;&gt;'STAND-BY';</t>
  </si>
  <si>
    <t>DELETE FROM B_TRAN ;</t>
  </si>
  <si>
    <t>DELETE FROM B_ZONE WHERE NOZONE&lt;&gt;'DEFAULT';</t>
  </si>
  <si>
    <t>DELETE FROM B_SECT ;</t>
  </si>
  <si>
    <t>DELETE FROM B_GPE ;</t>
  </si>
  <si>
    <t>DELETE FROM B_TYP ;</t>
  </si>
  <si>
    <t xml:space="preserve">DELETE FROM B_CAL_SS_CYCLE ; </t>
  </si>
  <si>
    <t>DELETE FROM B_CAL_COMPO;</t>
  </si>
  <si>
    <t>DELETE FROM B_CAL_CAPA;</t>
  </si>
  <si>
    <t>DELETE FROM B_CAL_CYCLE ;</t>
  </si>
  <si>
    <t>DELETE FROM E_CALEND_PERI ;</t>
  </si>
  <si>
    <t>DELETE FROM E_CALEND ;</t>
  </si>
  <si>
    <t>DELETE FROM B_VAC ;</t>
  </si>
  <si>
    <t>DELETE FROM LST_JOUR ;</t>
  </si>
  <si>
    <t>DELETE FROM LST_PERI ;</t>
  </si>
  <si>
    <t>DELETE FROM LST_MODL ;</t>
  </si>
  <si>
    <t>DELETE FROM B_PERI ;</t>
  </si>
  <si>
    <t>DELETE FROM B_CAL WHERE NOCALHEBD NOT IN ('0/24', '24/24');</t>
  </si>
  <si>
    <t>DELETE FROM B_UTIL ;</t>
  </si>
  <si>
    <t>Tables</t>
  </si>
  <si>
    <t>B_PERI</t>
  </si>
  <si>
    <t>B_CAL</t>
  </si>
  <si>
    <t>ART_MARQ</t>
  </si>
  <si>
    <t>B_AFCA</t>
  </si>
  <si>
    <t>B_AFCA_RS</t>
  </si>
  <si>
    <t>B_AFOP</t>
  </si>
  <si>
    <t>B_AFQU</t>
  </si>
  <si>
    <t>B_AFQU_RS</t>
  </si>
  <si>
    <t>B_ART</t>
  </si>
  <si>
    <t>B_ART_UTIL</t>
  </si>
  <si>
    <t>B_BES</t>
  </si>
  <si>
    <t>B_BES2</t>
  </si>
  <si>
    <t>B_BIBL_GAMM</t>
  </si>
  <si>
    <t>B_BM</t>
  </si>
  <si>
    <t>B_BM2</t>
  </si>
  <si>
    <t>B_BT</t>
  </si>
  <si>
    <t>B_BT2</t>
  </si>
  <si>
    <t>B_CADE</t>
  </si>
  <si>
    <t>B_CAL_CAPA</t>
  </si>
  <si>
    <t>B_CAL_COMPO</t>
  </si>
  <si>
    <t>B_CAL_CYCLE</t>
  </si>
  <si>
    <t>B_CAL_SS_CYCLE</t>
  </si>
  <si>
    <t>B_CALP</t>
  </si>
  <si>
    <t>B_CAPA_MACH</t>
  </si>
  <si>
    <t>B_CAPA_MACH2</t>
  </si>
  <si>
    <t>B_CLASS_SER</t>
  </si>
  <si>
    <t>B_CNX_MACH</t>
  </si>
  <si>
    <t>B_COMMANDE_ENTETE</t>
  </si>
  <si>
    <t>B_COMMANDE_LIGNE</t>
  </si>
  <si>
    <t>B_COMPA_CAL</t>
  </si>
  <si>
    <t>B_CPL_OPMACH</t>
  </si>
  <si>
    <t>B_EMPL</t>
  </si>
  <si>
    <t>B_ETAM</t>
  </si>
  <si>
    <t>B_ETAP</t>
  </si>
  <si>
    <t>B_EVT</t>
  </si>
  <si>
    <t>B_GAMM</t>
  </si>
  <si>
    <t>B_GPE</t>
  </si>
  <si>
    <t>B_GPMA</t>
  </si>
  <si>
    <t>B_GRM</t>
  </si>
  <si>
    <t>B_GRPR</t>
  </si>
  <si>
    <t>B_ILOT</t>
  </si>
  <si>
    <t>B_LC</t>
  </si>
  <si>
    <t>B_LC_ECH</t>
  </si>
  <si>
    <t>B_LIMI</t>
  </si>
  <si>
    <t>B_MACH</t>
  </si>
  <si>
    <t>B_MACH_LEAD</t>
  </si>
  <si>
    <t>B_MACRO_ART</t>
  </si>
  <si>
    <t>B_MACRO_GAMM</t>
  </si>
  <si>
    <t>B_MOD_CALP</t>
  </si>
  <si>
    <t>B_MTPA</t>
  </si>
  <si>
    <t>B_MTPA2</t>
  </si>
  <si>
    <t>B_MTPA3</t>
  </si>
  <si>
    <t>B_MTPAC</t>
  </si>
  <si>
    <t>B_MTPAC2</t>
  </si>
  <si>
    <t>B_MTPAC3</t>
  </si>
  <si>
    <t>B_MTR</t>
  </si>
  <si>
    <t>B_NOME</t>
  </si>
  <si>
    <t>B_NOME_ECLAT</t>
  </si>
  <si>
    <t>B_NRJ</t>
  </si>
  <si>
    <t>B_NRJ_CADE</t>
  </si>
  <si>
    <t>B_NRJ_MACH</t>
  </si>
  <si>
    <t>B_OF</t>
  </si>
  <si>
    <t>B_OF_SER</t>
  </si>
  <si>
    <t>B_OFSA</t>
  </si>
  <si>
    <t>B_OPE</t>
  </si>
  <si>
    <t>B_OPE_SER</t>
  </si>
  <si>
    <t>B_OPLI</t>
  </si>
  <si>
    <t>B_OPRT</t>
  </si>
  <si>
    <t>B_OUTI</t>
  </si>
  <si>
    <t>B_PARM</t>
  </si>
  <si>
    <t>B_PART</t>
  </si>
  <si>
    <t>B_PARTC</t>
  </si>
  <si>
    <t>B_PHAS</t>
  </si>
  <si>
    <t>B_PHM</t>
  </si>
  <si>
    <t>B_PHMA</t>
  </si>
  <si>
    <t>B_PLAN_OPRT</t>
  </si>
  <si>
    <t>B_PREC</t>
  </si>
  <si>
    <t>B_PREC_ETAP</t>
  </si>
  <si>
    <t>B_PREN</t>
  </si>
  <si>
    <t>B_PREN2</t>
  </si>
  <si>
    <t>B_PRIL</t>
  </si>
  <si>
    <t>B_PROF</t>
  </si>
  <si>
    <t>B_QUAL</t>
  </si>
  <si>
    <t>B_QUAL_FAM</t>
  </si>
  <si>
    <t>B_QUAL_RS</t>
  </si>
  <si>
    <t>B_REPART</t>
  </si>
  <si>
    <t>B_S_SER</t>
  </si>
  <si>
    <t>B_SECT</t>
  </si>
  <si>
    <t>B_SER</t>
  </si>
  <si>
    <t>B_SHIFT</t>
  </si>
  <si>
    <t>B_SHIFT_CAPA_DAY</t>
  </si>
  <si>
    <t>B_SHIFT_MACH</t>
  </si>
  <si>
    <t>B_SPLI</t>
  </si>
  <si>
    <t>B_STOC</t>
  </si>
  <si>
    <t>B_STOC_NRJ</t>
  </si>
  <si>
    <t>B_TIMER</t>
  </si>
  <si>
    <t>B_TRAN</t>
  </si>
  <si>
    <t>B_TYMA</t>
  </si>
  <si>
    <t>B_TYP</t>
  </si>
  <si>
    <t>B_TYPM</t>
  </si>
  <si>
    <t>B_TYPV</t>
  </si>
  <si>
    <t>B_UE_SUBSCRIBE</t>
  </si>
  <si>
    <t>B_UTIL</t>
  </si>
  <si>
    <t>B_VAC</t>
  </si>
  <si>
    <t>B_VER_ART</t>
  </si>
  <si>
    <t>B_VER_MACRO_ART</t>
  </si>
  <si>
    <t>B_ZONE</t>
  </si>
  <si>
    <t>E_CALEND</t>
  </si>
  <si>
    <t>E_OF</t>
  </si>
  <si>
    <t>E_OF2</t>
  </si>
  <si>
    <t>ENCOURS</t>
  </si>
  <si>
    <t>VERSION</t>
  </si>
  <si>
    <t>CLEAR_DB</t>
  </si>
  <si>
    <t>Date</t>
  </si>
  <si>
    <t>DELETE FROM BT_QUAL_RS2 ;</t>
  </si>
  <si>
    <t>DELETE FROM E_ART_PERI2 ;</t>
  </si>
  <si>
    <t>DELETE FROM S_ART ;</t>
  </si>
  <si>
    <t>DELETE FROM E_REG2;</t>
  </si>
  <si>
    <t>update or insert into b_ser (SERIE) values ('SERIE');</t>
  </si>
  <si>
    <t>DELETE FROM B_MTPA ;</t>
  </si>
  <si>
    <t>Update or insert into b_zone (NOZONE) values ('DEFAULT');</t>
  </si>
  <si>
    <t>UPDATE B_MACH set nozone = 'DEFAULT';</t>
  </si>
  <si>
    <t>DELETE FROM MACH_ENCOURS WHERE NOM_ENC&lt;&gt;'ENCOURS';</t>
  </si>
  <si>
    <t>DELETE FROM BT_BT2;</t>
  </si>
  <si>
    <t>DELETE FROM B_PREN2;</t>
  </si>
  <si>
    <t>DELETE FROM B_BM2;</t>
  </si>
  <si>
    <t>DELETE FROM E_OF_TYPV2;</t>
  </si>
  <si>
    <t>DELETE FROM E_RSV_RES2;</t>
  </si>
  <si>
    <t>DELETE FROM E_ART_PERI2;</t>
  </si>
  <si>
    <t>DELETE FROM E_GROSS_REQ2;</t>
  </si>
  <si>
    <t>DELETE FROM E_NET_REQ2;</t>
  </si>
  <si>
    <t>DELETE FROM S_ART;</t>
  </si>
  <si>
    <t>DELETE FROM E_COP2;</t>
  </si>
  <si>
    <t>DELETE FROM E_WRK2 ;</t>
  </si>
  <si>
    <t>DELETE FROM E_CPP2;</t>
  </si>
  <si>
    <t>DELETE FROM E_OPERAT2;</t>
  </si>
  <si>
    <t>DELETE FROM CHARGE_SECT2;</t>
  </si>
  <si>
    <t>DELETE FROM CHARGE_MACH2;</t>
  </si>
  <si>
    <t>DELETE FROM CHARGE_ILOT2;</t>
  </si>
  <si>
    <t>DELETE FROM CHARGE_OPRT2;</t>
  </si>
  <si>
    <t>DELETE FROM CHARGE_QUALIF2;</t>
  </si>
  <si>
    <t>DELETE FROM EFF_QUAL2;</t>
  </si>
  <si>
    <t>DELETE FROM EFF_MACH2 ;</t>
  </si>
  <si>
    <t>DELETE FROM EFF_QUAL_MACH2 ;</t>
  </si>
  <si>
    <t>DELETE FROM E_REG2 ;</t>
  </si>
  <si>
    <t>DELETE FROM ENC_NRJ_CAD WHERE NOM_ENC&lt;&gt;'ENCOURS';</t>
  </si>
  <si>
    <t>DELETE FROM ENC_NRJ_MACH WHERE NOM_ENC&lt;&gt;'ENCOURS';</t>
  </si>
  <si>
    <t>DELETE FROM B_BES2 ;</t>
  </si>
  <si>
    <t>DELETE FROM E_HISTO_PERF_INDIC2 ;</t>
  </si>
  <si>
    <t>DELETE FROM E_HISTO_PERF2 ;</t>
  </si>
  <si>
    <t>DELETE FROM BUSINESS_CONFIG WHERE NOM_ENC&lt;&gt;'ENCOURS';</t>
  </si>
  <si>
    <t>DELETE FROM P_MACH_CAPA_EXC WHERE PLAN_CAP IN (SELECT NOM_ENC FROM ENCOURS WHERE NOM_ENC&lt;&gt;'ENCOURS');</t>
  </si>
  <si>
    <t>DELETE FROM P_MACH_CAPA WHERE PLAN_CAP IN (SELECT NOM_ENC FROM ENCOURS WHERE NOM_ENC&lt;&gt;'ENCOURS');</t>
  </si>
  <si>
    <t>DELETE FROM MACH_PLAN_CAP WHERE PLAN_CAP IN (SELECT NOM_ENC FROM ENCOURS WHERE NOM_ENC&lt;&gt;'ENCOURS');</t>
  </si>
  <si>
    <t>DELETE FROM P_CEX_MACH WHERE PLAN_CAP IN (SELECT NOM_ENC FROM ENCOURS WHERE NOM_ENC&lt;&gt;'ENCOURS');</t>
  </si>
  <si>
    <t>DELETE FROM P_CEFF_MACH WHERE PLAN_CAP IN (SELECT NOM_ENC FROM ENCOURS WHERE NOM_ENC&lt;&gt;'ENCOURS');</t>
  </si>
  <si>
    <t>DELETE FROM P_CEX_OPRT WHERE PLAN_CAP IN (SELECT NOM_ENC FROM ENCOURS WHERE NOM_ENC&lt;&gt;'ENCOURS');</t>
  </si>
  <si>
    <t>DELETE FROM P_QUAL_CAPA_EXC WHERE PLAN_CAP IN (SELECT NOM_ENC FROM ENCOURS WHERE NOM_ENC&lt;&gt;'ENCOURS');</t>
  </si>
  <si>
    <t>DELETE FROM P_QUAL_CAPA WHERE PLAN_CAP IN (SELECT NOM_ENC FROM ENCOURS WHERE NOM_ENC&lt;&gt;'ENCOURS');</t>
  </si>
  <si>
    <t>DELETE FROM P_QUAL WHERE PLAN_CAP IN (SELECT NOM_ENC FROM ENCOURS WHERE NOM_ENC&lt;&gt;'ENCOURS');</t>
  </si>
  <si>
    <t>DELETE FROM ENCOURS WHERE NOM_ENC &lt;&gt; 'ENCOURS'</t>
  </si>
  <si>
    <t>DELETE FROM PLAN_CAP WHERE PLAN_CAP&lt;&gt;'ENCOURS';</t>
  </si>
  <si>
    <t>TABLE_NAME</t>
  </si>
  <si>
    <t>FIELD_NAME</t>
  </si>
  <si>
    <t>PK</t>
  </si>
  <si>
    <t>REFERENCE_TABLE</t>
  </si>
  <si>
    <t>REFERENCE_FIELD</t>
  </si>
  <si>
    <t>DESIGMARQ</t>
  </si>
  <si>
    <t>CODEARTIC</t>
  </si>
  <si>
    <t>B_E_DESIGMARQ</t>
  </si>
  <si>
    <t>CODETATM</t>
  </si>
  <si>
    <t>B_E2_DESIGMARQ</t>
  </si>
  <si>
    <t>B_E_CODETATM</t>
  </si>
  <si>
    <t>NOM_ENC</t>
  </si>
  <si>
    <t>E_NOF</t>
  </si>
  <si>
    <t>BT_NOPHASE</t>
  </si>
  <si>
    <t>BT_FRACTION</t>
  </si>
  <si>
    <t>E_NOF2</t>
  </si>
  <si>
    <t>BT_NOPHASE2</t>
  </si>
  <si>
    <t>BT_FRACTION2</t>
  </si>
  <si>
    <t>B_B_NOM_ENC</t>
  </si>
  <si>
    <t>B_B_E_NOF</t>
  </si>
  <si>
    <t>B_B_BT_NOPHASE</t>
  </si>
  <si>
    <t>B_B_BT_FRACTION</t>
  </si>
  <si>
    <t>B_B_E_NOF2</t>
  </si>
  <si>
    <t>B_B_BT_NOPHASE2</t>
  </si>
  <si>
    <t>B_B_BT_FRACTION2</t>
  </si>
  <si>
    <t>CODELIMI</t>
  </si>
  <si>
    <t>TYPEMAT</t>
  </si>
  <si>
    <t>PARAMETRE</t>
  </si>
  <si>
    <t>QUALIF</t>
  </si>
  <si>
    <t>SERIE</t>
  </si>
  <si>
    <t>OPE</t>
  </si>
  <si>
    <t>ILOT</t>
  </si>
  <si>
    <t>MACHINE</t>
  </si>
  <si>
    <t>MATRICULE</t>
  </si>
  <si>
    <t>TYPEMPL</t>
  </si>
  <si>
    <t>GROUPMAT</t>
  </si>
  <si>
    <t>UTIL</t>
  </si>
  <si>
    <t>CODE_PERI</t>
  </si>
  <si>
    <t>BES_VER_ART</t>
  </si>
  <si>
    <t>BES_VER_ART2</t>
  </si>
  <si>
    <t>BIBL_ID</t>
  </si>
  <si>
    <t>B_I_ILOT</t>
  </si>
  <si>
    <t>CODE_GPE</t>
  </si>
  <si>
    <t>TYP_PIECE</t>
  </si>
  <si>
    <t>CODOUTILL</t>
  </si>
  <si>
    <t>LC</t>
  </si>
  <si>
    <t>ECHELON</t>
  </si>
  <si>
    <t>B_L_LC</t>
  </si>
  <si>
    <t>B_L_ECHELON</t>
  </si>
  <si>
    <t>B_M_ILOT</t>
  </si>
  <si>
    <t>B_M_MACHINE</t>
  </si>
  <si>
    <t>NOCALHEBD</t>
  </si>
  <si>
    <t>CODE_CAL</t>
  </si>
  <si>
    <t>CODE_CYCLE</t>
  </si>
  <si>
    <t>CODE_PER</t>
  </si>
  <si>
    <t>ORDRE</t>
  </si>
  <si>
    <t>CAPA_DEB</t>
  </si>
  <si>
    <t>CAPA_FIN</t>
  </si>
  <si>
    <t>CAPA_JOUR</t>
  </si>
  <si>
    <t>CAPA_DEB2</t>
  </si>
  <si>
    <t>CAPA_FIN2</t>
  </si>
  <si>
    <t>CODE_CLASS</t>
  </si>
  <si>
    <t>COMMANDE_ID</t>
  </si>
  <si>
    <t>NUMERO_LIGNE</t>
  </si>
  <si>
    <t>B_C2_NOCALHEBD</t>
  </si>
  <si>
    <t>B_C_NOCALHEBD</t>
  </si>
  <si>
    <t>MACROG</t>
  </si>
  <si>
    <t>NOETAP</t>
  </si>
  <si>
    <t>NOMG</t>
  </si>
  <si>
    <t>GRP_RESS</t>
  </si>
  <si>
    <t>CODESECTI</t>
  </si>
  <si>
    <t>NOZONE</t>
  </si>
  <si>
    <t>NOCALEND</t>
  </si>
  <si>
    <t>CODEMACROARTIC</t>
  </si>
  <si>
    <t>MODELE_P</t>
  </si>
  <si>
    <t>B_P_TYPEMAT</t>
  </si>
  <si>
    <t>B_P_PARAMETRE</t>
  </si>
  <si>
    <t>MTPAC_VAL_NOMIN</t>
  </si>
  <si>
    <t>MTPAC_B_INF</t>
  </si>
  <si>
    <t>MTPAC_B_SUP</t>
  </si>
  <si>
    <t>MTPAC_VAL_NOMIN2</t>
  </si>
  <si>
    <t>MTPAC_B_INF2</t>
  </si>
  <si>
    <t>MTPAC_B_SUP2</t>
  </si>
  <si>
    <t>MTPAC_VAL_NOMIN3</t>
  </si>
  <si>
    <t>MTPAC_B_INF3</t>
  </si>
  <si>
    <t>MTPAC_B_SUP3</t>
  </si>
  <si>
    <t>B_O_CODOUTILL</t>
  </si>
  <si>
    <t>B_V_CODEARTIC</t>
  </si>
  <si>
    <t>VER_ART</t>
  </si>
  <si>
    <t>VER_EFFET_DEBUT</t>
  </si>
  <si>
    <t>VER_EFFET_FIN</t>
  </si>
  <si>
    <t>NOPHASE</t>
  </si>
  <si>
    <t>MODE_UTIL</t>
  </si>
  <si>
    <t>ECL_MODE_UTIL</t>
  </si>
  <si>
    <t>NOM_NRJ</t>
  </si>
  <si>
    <t>NOF</t>
  </si>
  <si>
    <t>NOF_SER</t>
  </si>
  <si>
    <t>NOJOUR_DEB</t>
  </si>
  <si>
    <t>DEB_PERIO</t>
  </si>
  <si>
    <t>NOJOUR_FIN</t>
  </si>
  <si>
    <t>FIN_PERIO</t>
  </si>
  <si>
    <t>DATE_PER</t>
  </si>
  <si>
    <t>B_P_NOMG</t>
  </si>
  <si>
    <t>B_P_NOPHASE</t>
  </si>
  <si>
    <t>B_E_MACROG</t>
  </si>
  <si>
    <t>B_E_NOETAP</t>
  </si>
  <si>
    <t>BT_TYPEPREC</t>
  </si>
  <si>
    <t>NUMLIEN</t>
  </si>
  <si>
    <t>NATURE_LIEN</t>
  </si>
  <si>
    <t>BT_TYPEPREC2</t>
  </si>
  <si>
    <t>NUMLIEN2</t>
  </si>
  <si>
    <t>NATURE_LIEN2</t>
  </si>
  <si>
    <t>B_O_NOF</t>
  </si>
  <si>
    <t>PROF_TYPEPREC</t>
  </si>
  <si>
    <t>QUAL_FAM_CODE</t>
  </si>
  <si>
    <t>NUM_LIGNE</t>
  </si>
  <si>
    <t>VER_MACRO_ART</t>
  </si>
  <si>
    <t>VER_VARIATION</t>
  </si>
  <si>
    <t>SHIFT_ID</t>
  </si>
  <si>
    <t>CAPA_DATE</t>
  </si>
  <si>
    <t>DATMVT</t>
  </si>
  <si>
    <t>MVT</t>
  </si>
  <si>
    <t>MVT_FERME</t>
  </si>
  <si>
    <t>IDENT_CMD</t>
  </si>
  <si>
    <t>DATE_MVT_NRJ</t>
  </si>
  <si>
    <t>B_S_SERIE</t>
  </si>
  <si>
    <t>B_Z_NOZONE</t>
  </si>
  <si>
    <t>B_UE_CODE</t>
  </si>
  <si>
    <t>DEBUT</t>
  </si>
  <si>
    <t>FIN</t>
  </si>
  <si>
    <t>MANDATORY</t>
  </si>
  <si>
    <t>DEFAULT</t>
  </si>
  <si>
    <t>0</t>
  </si>
  <si>
    <t>B_UE_ACTIV</t>
  </si>
  <si>
    <t>B_UE_EVT</t>
  </si>
  <si>
    <t>B_UE_LABEL</t>
  </si>
  <si>
    <t>FREE1</t>
  </si>
  <si>
    <t>FREE2</t>
  </si>
  <si>
    <t>FREE3</t>
  </si>
  <si>
    <t>FREE4</t>
  </si>
  <si>
    <t>FREE5</t>
  </si>
  <si>
    <t>LIBUTIL</t>
  </si>
  <si>
    <t>RESERVED1</t>
  </si>
  <si>
    <t>RESERVED2</t>
  </si>
  <si>
    <t>RESERVED3</t>
  </si>
  <si>
    <t>RESERVED4</t>
  </si>
  <si>
    <t>RESERVED5</t>
  </si>
  <si>
    <t>UE_RESERVED1</t>
  </si>
  <si>
    <t>UE_RESERVED2</t>
  </si>
  <si>
    <t>UE_RESERVED3</t>
  </si>
  <si>
    <t>UE_RESERVED4</t>
  </si>
  <si>
    <t>UE_RESERVED5</t>
  </si>
  <si>
    <t>UTIL_DATECRE</t>
  </si>
  <si>
    <t>UTIL_DATEMOD</t>
  </si>
  <si>
    <t>UTIL_USERCRE</t>
  </si>
  <si>
    <t>UTIL_USERMOD</t>
  </si>
  <si>
    <t>CAL_DATECRE</t>
  </si>
  <si>
    <t>CAL_DATEMOD</t>
  </si>
  <si>
    <t>CAL_USERCRE</t>
  </si>
  <si>
    <t>CAL_USERMOD</t>
  </si>
  <si>
    <t>NOMCAL</t>
  </si>
  <si>
    <t>PRIO_CAL</t>
  </si>
  <si>
    <t>PERI_DATECRE</t>
  </si>
  <si>
    <t>PERI_DATEMOD</t>
  </si>
  <si>
    <t>PERI_USERCRE</t>
  </si>
  <si>
    <t>PERI_USERMOD</t>
  </si>
  <si>
    <t>VACANCES</t>
  </si>
  <si>
    <t>VAC_DATECRE</t>
  </si>
  <si>
    <t>VAC_DATEMOD</t>
  </si>
  <si>
    <t>VAC_USERCRE</t>
  </si>
  <si>
    <t>VAC_USERMOD</t>
  </si>
  <si>
    <t>LIB_TYP</t>
  </si>
  <si>
    <t>TYP_CAPAMAXI</t>
  </si>
  <si>
    <t>1</t>
  </si>
  <si>
    <t>TYP_CAPAMINI</t>
  </si>
  <si>
    <t>CAPAMAXI</t>
  </si>
  <si>
    <t>CAPAMINI</t>
  </si>
  <si>
    <t>LIB_GPE</t>
  </si>
  <si>
    <t>CODECOMPT</t>
  </si>
  <si>
    <t>CODERESPO</t>
  </si>
  <si>
    <t>DESIGSECT</t>
  </si>
  <si>
    <t>SECT_DATECRE</t>
  </si>
  <si>
    <t>SECT_DATEMOD</t>
  </si>
  <si>
    <t>SECT_USERCRE</t>
  </si>
  <si>
    <t>SECT_USERMOD</t>
  </si>
  <si>
    <t>LIBZONE</t>
  </si>
  <si>
    <t>ZONE_DATECRE</t>
  </si>
  <si>
    <t>ZONE_DATEMOD</t>
  </si>
  <si>
    <t>ZONE_USERCRE</t>
  </si>
  <si>
    <t>ZONE_USERMOD</t>
  </si>
  <si>
    <t>PONDERAT</t>
  </si>
  <si>
    <t>TEMPS</t>
  </si>
  <si>
    <t>TRAN_DATECRE</t>
  </si>
  <si>
    <t>TRAN_DATEMOD</t>
  </si>
  <si>
    <t>TRAN_UNITE</t>
  </si>
  <si>
    <t>C</t>
  </si>
  <si>
    <t>TRAN_USERCRE</t>
  </si>
  <si>
    <t>TRAN_USERMOD</t>
  </si>
  <si>
    <t>BACK_SEQUENCED</t>
  </si>
  <si>
    <t>COEFF_PO</t>
  </si>
  <si>
    <t>DUREEPROP</t>
  </si>
  <si>
    <t>GOULOT</t>
  </si>
  <si>
    <t>HPLUSTOT</t>
  </si>
  <si>
    <t>ILOT_CNX</t>
  </si>
  <si>
    <t>ILOT_DATECRE</t>
  </si>
  <si>
    <t>ILOT_DATEMOD</t>
  </si>
  <si>
    <t>ILOT_EXPLOIT</t>
  </si>
  <si>
    <t>ILOT_LBE_PRIO</t>
  </si>
  <si>
    <t>ILOT_MODEMACH</t>
  </si>
  <si>
    <t>NR</t>
  </si>
  <si>
    <t>ILOT_REAJ</t>
  </si>
  <si>
    <t>ILOT_UNITEXPL</t>
  </si>
  <si>
    <t>ILOT_USERCRE</t>
  </si>
  <si>
    <t>ILOT_USERMOD</t>
  </si>
  <si>
    <t>LBE_RESS_ALISSER</t>
  </si>
  <si>
    <t>LIBILOT</t>
  </si>
  <si>
    <t>MODEILOT</t>
  </si>
  <si>
    <t>MOTEUR</t>
  </si>
  <si>
    <t>NOJOUR</t>
  </si>
  <si>
    <t>STATILOT</t>
  </si>
  <si>
    <t>V</t>
  </si>
  <si>
    <t>STOCKAGE</t>
  </si>
  <si>
    <t>TYPEILOT</t>
  </si>
  <si>
    <t>2</t>
  </si>
  <si>
    <t>TYPSUIVIL</t>
  </si>
  <si>
    <t>UNITE_PO</t>
  </si>
  <si>
    <t>J</t>
  </si>
  <si>
    <t>BATCHOUVE</t>
  </si>
  <si>
    <t>CAPA_MAXI</t>
  </si>
  <si>
    <t>CAPA_MINI</t>
  </si>
  <si>
    <t>CAPA_OP</t>
  </si>
  <si>
    <t>CAPA_OP_INIT</t>
  </si>
  <si>
    <t>CAPA_SHIFT</t>
  </si>
  <si>
    <t>CAPA_STAT</t>
  </si>
  <si>
    <t>CAPA_STAT_UNITE</t>
  </si>
  <si>
    <t>CAPA_VOL</t>
  </si>
  <si>
    <t>CAPA_VOL_INIT</t>
  </si>
  <si>
    <t>COEFF_PONDERATION</t>
  </si>
  <si>
    <t>COEF_HMAX</t>
  </si>
  <si>
    <t>COEF_HMIN</t>
  </si>
  <si>
    <t>COEF_REGL</t>
  </si>
  <si>
    <t>COUT_FONC</t>
  </si>
  <si>
    <t>COUT_REG</t>
  </si>
  <si>
    <t>CRITICITE</t>
  </si>
  <si>
    <t>LIBMACH</t>
  </si>
  <si>
    <t>LOAD_THRESHOLDS</t>
  </si>
  <si>
    <t>MACH_DATECRE</t>
  </si>
  <si>
    <t>MACH_DATEMOD</t>
  </si>
  <si>
    <t>MACH_FIGEE</t>
  </si>
  <si>
    <t>MACH_FIGEE_PREDEF</t>
  </si>
  <si>
    <t>MACH_FIXEDATEFIN</t>
  </si>
  <si>
    <t>MACH_MODEMACH</t>
  </si>
  <si>
    <t>MACH_PRIORITE</t>
  </si>
  <si>
    <t>MACH_QTE_INC</t>
  </si>
  <si>
    <t>MACH_USERCRE</t>
  </si>
  <si>
    <t>MACH_USERMOD</t>
  </si>
  <si>
    <t>MODE_LANCEMENT</t>
  </si>
  <si>
    <t>SETUP_FORMULA</t>
  </si>
  <si>
    <t>SETUP_FORMULA_C</t>
  </si>
  <si>
    <t>TYPECHGT</t>
  </si>
  <si>
    <t>URL</t>
  </si>
  <si>
    <t>VAL_POSTE</t>
  </si>
  <si>
    <t>TYMA_CAPAMAXI</t>
  </si>
  <si>
    <t>TYMA_CAPAMINI</t>
  </si>
  <si>
    <t>GPMA_CAPA_MAXI</t>
  </si>
  <si>
    <t>GPMA_CAPA_MINI</t>
  </si>
  <si>
    <t>CAPA_MACH</t>
  </si>
  <si>
    <t>CAPA_MACH_UNITE</t>
  </si>
  <si>
    <t>H</t>
  </si>
  <si>
    <t>EXEMPL</t>
  </si>
  <si>
    <t>FERMETURE</t>
  </si>
  <si>
    <t>OUVERTURE</t>
  </si>
  <si>
    <t>PAUSE</t>
  </si>
  <si>
    <t>PAUSE_UNITE</t>
  </si>
  <si>
    <t>REND</t>
  </si>
  <si>
    <t>100</t>
  </si>
  <si>
    <t>CAPA_MACH2</t>
  </si>
  <si>
    <t>CAPA_MACH_UNITE2</t>
  </si>
  <si>
    <t>CONNECTED</t>
  </si>
  <si>
    <t>FORMEMARQ</t>
  </si>
  <si>
    <t>INTERNAL_USE</t>
  </si>
  <si>
    <t>TYPV_DATECRE</t>
  </si>
  <si>
    <t>TYPV_DATEMOD</t>
  </si>
  <si>
    <t>TYPV_USERCRE</t>
  </si>
  <si>
    <t>TYPV_USERMOD</t>
  </si>
  <si>
    <t>COULETAT</t>
  </si>
  <si>
    <t>01</t>
  </si>
  <si>
    <t>ETAM_DATECRE</t>
  </si>
  <si>
    <t>ETAM_DATEMOD</t>
  </si>
  <si>
    <t>ETAM_USERCRE</t>
  </si>
  <si>
    <t>ETAM_USERMOD</t>
  </si>
  <si>
    <t>ETAT_INIT</t>
  </si>
  <si>
    <t>ICON_NAME</t>
  </si>
  <si>
    <t>LIBETAT</t>
  </si>
  <si>
    <t>LIBOUTIL</t>
  </si>
  <si>
    <t>OUTI_DATECRE</t>
  </si>
  <si>
    <t>OUTI_DATEMOD</t>
  </si>
  <si>
    <t>OUTI_USERCRE</t>
  </si>
  <si>
    <t>OUTI_USERMOD</t>
  </si>
  <si>
    <t>MTR_DATECRE</t>
  </si>
  <si>
    <t>MTR_DATEMOD</t>
  </si>
  <si>
    <t>MTR_USERCRE</t>
  </si>
  <si>
    <t>MTR_USERMOD</t>
  </si>
  <si>
    <t>OUTI_TEMPS</t>
  </si>
  <si>
    <t>OUTI_UNITE</t>
  </si>
  <si>
    <t>LIB_LC</t>
  </si>
  <si>
    <t>DUREE</t>
  </si>
  <si>
    <t>EFF_P</t>
  </si>
  <si>
    <t>LIB_GROUP</t>
  </si>
  <si>
    <t>NBMAX</t>
  </si>
  <si>
    <t>LIBLIMI</t>
  </si>
  <si>
    <t>LIMI_DATECRE</t>
  </si>
  <si>
    <t>LIMI_DATEMOD</t>
  </si>
  <si>
    <t>LIMI_USERCRE</t>
  </si>
  <si>
    <t>LIMI_USERMOD</t>
  </si>
  <si>
    <t>NBLIMI</t>
  </si>
  <si>
    <t>QUAL_FAM_ALTER</t>
  </si>
  <si>
    <t>QUAL_FAM_DATECRE</t>
  </si>
  <si>
    <t>QUAL_FAM_DATEMOD</t>
  </si>
  <si>
    <t>QUAL_FAM_LIBELLE</t>
  </si>
  <si>
    <t>QUAL_FAM_USERCRE</t>
  </si>
  <si>
    <t>QUAL_FAM_USERMOD</t>
  </si>
  <si>
    <t>CAP_GENE</t>
  </si>
  <si>
    <t>CAP_GENE_UNITE</t>
  </si>
  <si>
    <t>COEF_HIER</t>
  </si>
  <si>
    <t>LIBQUAL</t>
  </si>
  <si>
    <t>NB_MACH_LEAD</t>
  </si>
  <si>
    <t>NB_OPER</t>
  </si>
  <si>
    <t>NOMIN</t>
  </si>
  <si>
    <t>QUAL_COUT</t>
  </si>
  <si>
    <t>QUAL_DATECRE</t>
  </si>
  <si>
    <t>QUAL_DATEMOD</t>
  </si>
  <si>
    <t>QUAL_USERCRE</t>
  </si>
  <si>
    <t>QUAL_USERMOD</t>
  </si>
  <si>
    <t>RULE_CALC_LEAD</t>
  </si>
  <si>
    <t>TRSF_MACH_LEAD</t>
  </si>
  <si>
    <t>CAPA_INF</t>
  </si>
  <si>
    <t>DUR_FIX</t>
  </si>
  <si>
    <t>MODE_CONSO</t>
  </si>
  <si>
    <t>CE</t>
  </si>
  <si>
    <t>MODE_LBE</t>
  </si>
  <si>
    <t>PRIO</t>
  </si>
  <si>
    <t>QTE_FIX</t>
  </si>
  <si>
    <t>QUAL_RS_DATECRE</t>
  </si>
  <si>
    <t>QUAL_RS_DATEMOD</t>
  </si>
  <si>
    <t>QUAL_RS_USERCRE</t>
  </si>
  <si>
    <t>QUAL_RS_USERMOD</t>
  </si>
  <si>
    <t>UNITE_TYPE_DUR</t>
  </si>
  <si>
    <t>EXPERIENC</t>
  </si>
  <si>
    <t>NOM</t>
  </si>
  <si>
    <t>POLYCOMP</t>
  </si>
  <si>
    <t>PRENOM</t>
  </si>
  <si>
    <t>EFFICACIT</t>
  </si>
  <si>
    <t>AFQU_CODEAFFEC</t>
  </si>
  <si>
    <t>AFQU_EFFECTMAX</t>
  </si>
  <si>
    <t>AFQU_EFFECTMIN</t>
  </si>
  <si>
    <t>AFQU_EFFECTREG</t>
  </si>
  <si>
    <t>ALT_PRIORITE</t>
  </si>
  <si>
    <t>CST_DUR</t>
  </si>
  <si>
    <t>CST_QTE</t>
  </si>
  <si>
    <t>VAL_DUR</t>
  </si>
  <si>
    <t>VAL_QTE</t>
  </si>
  <si>
    <t>AFIGEE</t>
  </si>
  <si>
    <t>PMANU</t>
  </si>
  <si>
    <t>EFF_CPL</t>
  </si>
  <si>
    <t>COMPATIBLE</t>
  </si>
  <si>
    <t>SHIFT_LABEL</t>
  </si>
  <si>
    <t>CAPA_QTY</t>
  </si>
  <si>
    <t>CAPA_TIME</t>
  </si>
  <si>
    <t>CAPA_TIME_UNIT</t>
  </si>
  <si>
    <t>B_EVT_AV</t>
  </si>
  <si>
    <t>EVT_KEY</t>
  </si>
  <si>
    <t>EVENT</t>
  </si>
  <si>
    <t>EVT_COMMENT</t>
  </si>
  <si>
    <t>EVT_COMMENT2</t>
  </si>
  <si>
    <t>EVT_DATECRE</t>
  </si>
  <si>
    <t>EVT_DATEG</t>
  </si>
  <si>
    <t>EVT_DATEMOD</t>
  </si>
  <si>
    <t>EVT_DUR_TEMPS</t>
  </si>
  <si>
    <t>EVT_FRACTION</t>
  </si>
  <si>
    <t>EVT_ILOT</t>
  </si>
  <si>
    <t>EVT_MACHINE</t>
  </si>
  <si>
    <t>EVT_MARQUEUR</t>
  </si>
  <si>
    <t>EVT_NOF</t>
  </si>
  <si>
    <t>EVT_NOPHASE</t>
  </si>
  <si>
    <t>EVT_SUB_TYPERECAL1</t>
  </si>
  <si>
    <t>EVT_SUB_TYPERECAL2</t>
  </si>
  <si>
    <t>EVT_SUB_TYPERECAL3</t>
  </si>
  <si>
    <t>EVT_SUB_TYPERECAL4</t>
  </si>
  <si>
    <t>EVT_SUB_TYPERECAL5</t>
  </si>
  <si>
    <t>EVT_SUB_TYPERECAL6</t>
  </si>
  <si>
    <t>EVT_TYPERECAL</t>
  </si>
  <si>
    <t>EVT_USERCRE</t>
  </si>
  <si>
    <t>EVT_USERMOD</t>
  </si>
  <si>
    <t>EVT_VAL_DATE1</t>
  </si>
  <si>
    <t>EVT_VAL_DATE2</t>
  </si>
  <si>
    <t>EVT_VAL_STR1</t>
  </si>
  <si>
    <t>EVT_VAL_STR2</t>
  </si>
  <si>
    <t>ORIGIN</t>
  </si>
  <si>
    <t>CODEBASET</t>
  </si>
  <si>
    <t>CODEBASET_CHARGE</t>
  </si>
  <si>
    <t>CSMANAGEMENT</t>
  </si>
  <si>
    <t>F</t>
  </si>
  <si>
    <t>CSMINIMAL</t>
  </si>
  <si>
    <t>CSMINIMALUNIT</t>
  </si>
  <si>
    <t>CST_CHARGE</t>
  </si>
  <si>
    <t>CSUNITMODE</t>
  </si>
  <si>
    <t>W</t>
  </si>
  <si>
    <t>DESCRIPT1</t>
  </si>
  <si>
    <t>DESSCOMP</t>
  </si>
  <si>
    <t>DURCHANG</t>
  </si>
  <si>
    <t>DURPREP</t>
  </si>
  <si>
    <t>DURREAL</t>
  </si>
  <si>
    <t>DURREAL_CHARGE</t>
  </si>
  <si>
    <t>EFFECSTAN</t>
  </si>
  <si>
    <t>EFFECTMAX</t>
  </si>
  <si>
    <t>EFFECTMIN</t>
  </si>
  <si>
    <t>INTERUPT</t>
  </si>
  <si>
    <t>LIBOP</t>
  </si>
  <si>
    <t>MODE_CHARGE</t>
  </si>
  <si>
    <t>I</t>
  </si>
  <si>
    <t>NATURE</t>
  </si>
  <si>
    <t>NOMPRGCN</t>
  </si>
  <si>
    <t>OPE_AFFECT</t>
  </si>
  <si>
    <t>M</t>
  </si>
  <si>
    <t>OPE_COUT</t>
  </si>
  <si>
    <t>OPE_DATECRE</t>
  </si>
  <si>
    <t>OPE_DATEMOD</t>
  </si>
  <si>
    <t>OPE_ROLE</t>
  </si>
  <si>
    <t>T</t>
  </si>
  <si>
    <t>OPE_STANDARD</t>
  </si>
  <si>
    <t>OPE_USERCRE</t>
  </si>
  <si>
    <t>OPE_USERMOD</t>
  </si>
  <si>
    <t>POTENTIEL</t>
  </si>
  <si>
    <t>QTE_FCT</t>
  </si>
  <si>
    <t>TEMPSCYCL</t>
  </si>
  <si>
    <t>TEMPSTECH</t>
  </si>
  <si>
    <t>THM</t>
  </si>
  <si>
    <t>THMAV</t>
  </si>
  <si>
    <t>UNITE</t>
  </si>
  <si>
    <t>UNITECHGT</t>
  </si>
  <si>
    <t>UNITEPREP</t>
  </si>
  <si>
    <t>UNITE_CHARGE</t>
  </si>
  <si>
    <t>UNITE_CST_CHARGE</t>
  </si>
  <si>
    <t>CADE_CODEBASET</t>
  </si>
  <si>
    <t>CADE_CODEBASET_CHARGE</t>
  </si>
  <si>
    <t>CADE_CSMINIMAL</t>
  </si>
  <si>
    <t>CADE_CSMINIMALUNIT</t>
  </si>
  <si>
    <t>CADE_CST_CHARGE</t>
  </si>
  <si>
    <t>CADE_DATECRE</t>
  </si>
  <si>
    <t>CADE_DATEMOD</t>
  </si>
  <si>
    <t>CADE_DURREAL</t>
  </si>
  <si>
    <t>CADE_DURREAL_CHARGE</t>
  </si>
  <si>
    <t>CADE_EFFECSTAN</t>
  </si>
  <si>
    <t>CADE_EFFECTMIN</t>
  </si>
  <si>
    <t>CADE_EXCEPTION</t>
  </si>
  <si>
    <t>CADE_MODE_CHARGE</t>
  </si>
  <si>
    <t>CADE_PRIORITE</t>
  </si>
  <si>
    <t>CADE_QTE_FCT</t>
  </si>
  <si>
    <t>CADE_UNITE</t>
  </si>
  <si>
    <t>CADE_UNITE_CHARGE</t>
  </si>
  <si>
    <t>CADE_UNITE_CST_CHARGE</t>
  </si>
  <si>
    <t>CADE_USERCRE</t>
  </si>
  <si>
    <t>CADE_USERMOD</t>
  </si>
  <si>
    <t>C:\Program Files (x86)\ORTEMS\APS\help</t>
  </si>
  <si>
    <t>LIBARTIC</t>
  </si>
  <si>
    <t>PCB</t>
  </si>
  <si>
    <t>TYPEMATI</t>
  </si>
  <si>
    <t>LOI_CONS</t>
  </si>
  <si>
    <t>QTE_STOCK</t>
  </si>
  <si>
    <t>SECURITE_A</t>
  </si>
  <si>
    <t>SECURITE_REF</t>
  </si>
  <si>
    <t>NON_DISP</t>
  </si>
  <si>
    <t>ART_FAB_CODECLIEN</t>
  </si>
  <si>
    <t>ART_FAB_CODEGROUP</t>
  </si>
  <si>
    <t>ART_FAB_PARTIC</t>
  </si>
  <si>
    <t>ART_FAB_PRIORITE</t>
  </si>
  <si>
    <t>QTE_ECO</t>
  </si>
  <si>
    <t>MARGE_GEN</t>
  </si>
  <si>
    <t>UNITMARGE</t>
  </si>
  <si>
    <t>TPS_CYCLE</t>
  </si>
  <si>
    <t>DUREE_VIE</t>
  </si>
  <si>
    <t>ATTENTE_PRODUCTION</t>
  </si>
  <si>
    <t>ATTENTE_MVT_STOCK</t>
  </si>
  <si>
    <t>EXPLOR_P_FIGEE_FUTUR</t>
  </si>
  <si>
    <t>EXPLOR_P_FIGEE_PASSE</t>
  </si>
  <si>
    <t>NBSPLIT</t>
  </si>
  <si>
    <t>QTE_SPLIT</t>
  </si>
  <si>
    <t>UNITEXPL</t>
  </si>
  <si>
    <t>EXPLOIT</t>
  </si>
  <si>
    <t>QTE_INC</t>
  </si>
  <si>
    <t>QTE_MIN</t>
  </si>
  <si>
    <t>QTE_MAX</t>
  </si>
  <si>
    <t>ART_CH_LIBR1</t>
  </si>
  <si>
    <t>ART_CH_DESC1</t>
  </si>
  <si>
    <t>ART_MODE_SUI</t>
  </si>
  <si>
    <t>TAUX_TENSION_FLUX</t>
  </si>
  <si>
    <t>DATE_REGRPMT</t>
  </si>
  <si>
    <t>DUREE_REGRPMT</t>
  </si>
  <si>
    <t>MIMETISME</t>
  </si>
  <si>
    <t>MIMET_NOM</t>
  </si>
  <si>
    <t>CRIT_REMPL</t>
  </si>
  <si>
    <t>ART_DENSITE</t>
  </si>
  <si>
    <t>ART_ALIM_LOT</t>
  </si>
  <si>
    <t>GESTIONNAIRE</t>
  </si>
  <si>
    <t>TYPE_REGROUP</t>
  </si>
  <si>
    <t>COEFF_RND</t>
  </si>
  <si>
    <t>CST_RND</t>
  </si>
  <si>
    <t>COEFF_VOL</t>
  </si>
  <si>
    <t>TYPE_FLUX_MAT</t>
  </si>
  <si>
    <t>QTE_SPLIT_FLUX_MAT</t>
  </si>
  <si>
    <t>COEFF_VENTIL_FLUX_MAT</t>
  </si>
  <si>
    <t>ART_QUAR</t>
  </si>
  <si>
    <t>UNIT_QUAR</t>
  </si>
  <si>
    <t>LBE_PARAM_LOCAUX</t>
  </si>
  <si>
    <t>LBE_AUTO_RETARD</t>
  </si>
  <si>
    <t>LBE_MARGE_AVANCE</t>
  </si>
  <si>
    <t>LBE_CTRL_AVANCE</t>
  </si>
  <si>
    <t>LBE_MARGE_RETARD</t>
  </si>
  <si>
    <t>LBE_CTRL_RETARD</t>
  </si>
  <si>
    <t>ART_LBE_PRIO</t>
  </si>
  <si>
    <t>TO_LOAD</t>
  </si>
  <si>
    <t>CRIT_NOM</t>
  </si>
  <si>
    <t>RELAXE_LOT_STOCK</t>
  </si>
  <si>
    <t>ART_POLGEST_STOCK</t>
  </si>
  <si>
    <t>COUV_STO_MIN</t>
  </si>
  <si>
    <t>COUV_STO_OBJ</t>
  </si>
  <si>
    <t>COUV_STO_MAX</t>
  </si>
  <si>
    <t>STOCK_MIN</t>
  </si>
  <si>
    <t>STOCK_OBJ</t>
  </si>
  <si>
    <t>STOCK_MAX</t>
  </si>
  <si>
    <t>ART_PERIODE_STOCK_OBJ</t>
  </si>
  <si>
    <t>ART_REGLE_NETTING</t>
  </si>
  <si>
    <t>COUT_ACHAT_MAT</t>
  </si>
  <si>
    <t>COUT_POSS_STO</t>
  </si>
  <si>
    <t>PERIO_AMONT_RESI</t>
  </si>
  <si>
    <t>PERIO_AVAL_RESI</t>
  </si>
  <si>
    <t>ART_DATECRE</t>
  </si>
  <si>
    <t>ART_USERCRE</t>
  </si>
  <si>
    <t>ART_DATEMOD</t>
  </si>
  <si>
    <t>ART_USERMOD</t>
  </si>
  <si>
    <t>AFCA_CODEAFFEC</t>
  </si>
  <si>
    <t>AFCA_EFFECTMAX</t>
  </si>
  <si>
    <t>AFCA_EFFECTMIN</t>
  </si>
  <si>
    <t>AFCA_EFFECTREG</t>
  </si>
  <si>
    <t>OPE_NBLIMI</t>
  </si>
  <si>
    <t>OPLI_DATECRE</t>
  </si>
  <si>
    <t>OPLI_DATEMOD</t>
  </si>
  <si>
    <t>OPLI_USERCRE</t>
  </si>
  <si>
    <t>OPLI_USERMOD</t>
  </si>
  <si>
    <t>DESCGAM</t>
  </si>
  <si>
    <t>GAMM_DATECRE</t>
  </si>
  <si>
    <t>GAMM_DATEMOD</t>
  </si>
  <si>
    <t>GAMM_QTEECONOM</t>
  </si>
  <si>
    <t>GAMM_USERCRE</t>
  </si>
  <si>
    <t>GAMM_USERMOD</t>
  </si>
  <si>
    <t>GAM_CNX</t>
  </si>
  <si>
    <t>LIBGAM</t>
  </si>
  <si>
    <t>STATGAMME</t>
  </si>
  <si>
    <t>TEMP_CYCLE_STAT</t>
  </si>
  <si>
    <t>TYPEGAM</t>
  </si>
  <si>
    <t>UNIT_TEMP_CYCLE_STAT</t>
  </si>
  <si>
    <t>UTILISAT</t>
  </si>
  <si>
    <t>COEFF_QTE</t>
  </si>
  <si>
    <t>COEFF_TEMPS</t>
  </si>
  <si>
    <t>DESCPHASE</t>
  </si>
  <si>
    <t>DISPO</t>
  </si>
  <si>
    <t>ND</t>
  </si>
  <si>
    <t>INTENSITE</t>
  </si>
  <si>
    <t>INTENSITE_QTE</t>
  </si>
  <si>
    <t>LBE_SPECIF</t>
  </si>
  <si>
    <t>LBE_STATUT</t>
  </si>
  <si>
    <t>LIBPHASE</t>
  </si>
  <si>
    <t>PHASE_PROD</t>
  </si>
  <si>
    <t>PHAS_DATECRE</t>
  </si>
  <si>
    <t>PHAS_DATEMOD</t>
  </si>
  <si>
    <t>PHAS_USERCRE</t>
  </si>
  <si>
    <t>PHAS_USERMOD</t>
  </si>
  <si>
    <t>POINT_ENTREE</t>
  </si>
  <si>
    <t>POINT_SORTIE</t>
  </si>
  <si>
    <t>STATION_COUNT</t>
  </si>
  <si>
    <t>STATION_FROM</t>
  </si>
  <si>
    <t>STATION_TO</t>
  </si>
  <si>
    <t>TAKT_TIME</t>
  </si>
  <si>
    <t>TAKT_TIME_UNIT</t>
  </si>
  <si>
    <t>ACTIF</t>
  </si>
  <si>
    <t>CNTER</t>
  </si>
  <si>
    <t>-2</t>
  </si>
  <si>
    <t>LIENCNX</t>
  </si>
  <si>
    <t>LIENMAT</t>
  </si>
  <si>
    <t>PREC_DATECRE</t>
  </si>
  <si>
    <t>PREC_DATEMOD</t>
  </si>
  <si>
    <t>PREC_USERCRE</t>
  </si>
  <si>
    <t>PREC_USERMOD</t>
  </si>
  <si>
    <t>PROPPREC</t>
  </si>
  <si>
    <t>STATGAM</t>
  </si>
  <si>
    <t>U</t>
  </si>
  <si>
    <t>TAUXCHEVA</t>
  </si>
  <si>
    <t>TYPEPREC</t>
  </si>
  <si>
    <t>QTE_FRAC</t>
  </si>
  <si>
    <t>LIBTYPMAT</t>
  </si>
  <si>
    <t>PONDERMAT</t>
  </si>
  <si>
    <t>TEMPSCST</t>
  </si>
  <si>
    <t>TYPEPAR</t>
  </si>
  <si>
    <t>D</t>
  </si>
  <si>
    <t>TYPM_DATECRE</t>
  </si>
  <si>
    <t>TYPM_DATEMOD</t>
  </si>
  <si>
    <t>TYPM_UNITE</t>
  </si>
  <si>
    <t>TYPM_USERCRE</t>
  </si>
  <si>
    <t>TYPM_USERMOD</t>
  </si>
  <si>
    <t>LIBPARAM</t>
  </si>
  <si>
    <t>PARM_DATECRE</t>
  </si>
  <si>
    <t>PARM_DATEMOD</t>
  </si>
  <si>
    <t>PARM_USERCRE</t>
  </si>
  <si>
    <t>PARM_USERMOD</t>
  </si>
  <si>
    <t>MTPA_DATECRE</t>
  </si>
  <si>
    <t>MTPA_DATEMOD</t>
  </si>
  <si>
    <t>MTPA_TEMPS</t>
  </si>
  <si>
    <t>MTPA_UNITE</t>
  </si>
  <si>
    <t>MTPA_USERCRE</t>
  </si>
  <si>
    <t>MTPA_USERMOD</t>
  </si>
  <si>
    <t>MTPA_DATECRE2</t>
  </si>
  <si>
    <t>MTPA_DATEMOD2</t>
  </si>
  <si>
    <t>MTPA_TEMPS2</t>
  </si>
  <si>
    <t>MTPA_UNITE2</t>
  </si>
  <si>
    <t>MTPA_USERCRE2</t>
  </si>
  <si>
    <t>MTPA_USERMOD2</t>
  </si>
  <si>
    <t>MTPA_DATECRE3</t>
  </si>
  <si>
    <t>MTPA_DATEMOD3</t>
  </si>
  <si>
    <t>MTPA_TEMPS3</t>
  </si>
  <si>
    <t>MTPA_UNITE3</t>
  </si>
  <si>
    <t>MTPA_USERCRE3</t>
  </si>
  <si>
    <t>MTPA_USERMOD3</t>
  </si>
  <si>
    <t>MTPAC_DATECRE</t>
  </si>
  <si>
    <t>MTPAC_DATEMOD</t>
  </si>
  <si>
    <t>MTPAC_TEMPS</t>
  </si>
  <si>
    <t>MTPAC_UNITE</t>
  </si>
  <si>
    <t>MTPAC_USERCRE</t>
  </si>
  <si>
    <t>MTPAC_USERMOD</t>
  </si>
  <si>
    <t>MTPAC_DATECRE2</t>
  </si>
  <si>
    <t>MTPAC_DATEMOD2</t>
  </si>
  <si>
    <t>MTPAC_TEMPS2</t>
  </si>
  <si>
    <t>MTPAC_UNITE2</t>
  </si>
  <si>
    <t>MTPAC_USERCRE2</t>
  </si>
  <si>
    <t>MTPAC_USERMOD2</t>
  </si>
  <si>
    <t>MTPAC_DATECRE3</t>
  </si>
  <si>
    <t>MTPAC_DATEMOD3</t>
  </si>
  <si>
    <t>MTPAC_TEMPS3</t>
  </si>
  <si>
    <t>MTPAC_UNITE3</t>
  </si>
  <si>
    <t>MTPAC_USERCRE3</t>
  </si>
  <si>
    <t>MTPAC_USERMOD3</t>
  </si>
  <si>
    <t>GRM_DATECRE</t>
  </si>
  <si>
    <t>GRM_DATEMOD</t>
  </si>
  <si>
    <t>GRM_USERCRE</t>
  </si>
  <si>
    <t>GRM_USERMOD</t>
  </si>
  <si>
    <t>LIBGROUP</t>
  </si>
  <si>
    <t>LIBEMPL</t>
  </si>
  <si>
    <t>MELANGE</t>
  </si>
  <si>
    <t>NBEMPL</t>
  </si>
  <si>
    <t>TAILLE</t>
  </si>
  <si>
    <t>00</t>
  </si>
  <si>
    <t>999999999</t>
  </si>
  <si>
    <t>N</t>
  </si>
  <si>
    <t>-1</t>
  </si>
  <si>
    <t>PF</t>
  </si>
  <si>
    <t>S</t>
  </si>
  <si>
    <t>01/01/1995</t>
  </si>
  <si>
    <t>01/01/2050</t>
  </si>
  <si>
    <t>LOI_CALCUL</t>
  </si>
  <si>
    <t>QTE_MAXI</t>
  </si>
  <si>
    <t>VER_DATECRE</t>
  </si>
  <si>
    <t>VER_DATEMOD</t>
  </si>
  <si>
    <t>VER_DESC</t>
  </si>
  <si>
    <t>VER_EXCEPTIONNEL</t>
  </si>
  <si>
    <t>VER_PRIORITE</t>
  </si>
  <si>
    <t>VER_USERCRE</t>
  </si>
  <si>
    <t>VER_USERMOD</t>
  </si>
  <si>
    <t>PART_DATECRE</t>
  </si>
  <si>
    <t>PART_DATEMOD</t>
  </si>
  <si>
    <t>PART_USERCRE</t>
  </si>
  <si>
    <t>PART_USERMOD</t>
  </si>
  <si>
    <t>PARTC_DATECRE</t>
  </si>
  <si>
    <t>PARTC_DATEMOD</t>
  </si>
  <si>
    <t>PARTC_USERCRE</t>
  </si>
  <si>
    <t>PARTC_USERMOD</t>
  </si>
  <si>
    <t>PARTC_VAL</t>
  </si>
  <si>
    <t>P</t>
  </si>
  <si>
    <t>LIEN_STOCK</t>
  </si>
  <si>
    <t>NOME_DATECRE</t>
  </si>
  <si>
    <t>NOME_DATEMOD</t>
  </si>
  <si>
    <t>NOME_LIENCNX</t>
  </si>
  <si>
    <t>NOME_LIENMAT</t>
  </si>
  <si>
    <t>NOME_LOI_CALCUL</t>
  </si>
  <si>
    <t>NOME_LOI_CONS</t>
  </si>
  <si>
    <t>NOME_PROPPREC</t>
  </si>
  <si>
    <t>NOME_TAUXCHEVA</t>
  </si>
  <si>
    <t>NOME_TYPEPREC</t>
  </si>
  <si>
    <t>NOME_USERCRE</t>
  </si>
  <si>
    <t>NOME_USERMOD</t>
  </si>
  <si>
    <t>QTEINC</t>
  </si>
  <si>
    <t>QTENEC</t>
  </si>
  <si>
    <t>QTEREF</t>
  </si>
  <si>
    <t>STATBOM</t>
  </si>
  <si>
    <t>E_A_CODEARTIC</t>
  </si>
  <si>
    <t>LIB_MVT</t>
  </si>
  <si>
    <t>STOC_DATECRE</t>
  </si>
  <si>
    <t>STOC_DATEMOD</t>
  </si>
  <si>
    <t>STOC_QTE</t>
  </si>
  <si>
    <t>STOC_USERCRE</t>
  </si>
  <si>
    <t>STOC_USERMOD</t>
  </si>
  <si>
    <t>COEFF_DIV</t>
  </si>
  <si>
    <t>COEFF_MULT</t>
  </si>
  <si>
    <t>CLASS_SER_DATECRE</t>
  </si>
  <si>
    <t>CLASS_SER_DATEMOD</t>
  </si>
  <si>
    <t>CLASS_SER_USERCRE</t>
  </si>
  <si>
    <t>CLASS_SER_USERMOD</t>
  </si>
  <si>
    <t>DESC_CLASS</t>
  </si>
  <si>
    <t>DESCSER</t>
  </si>
  <si>
    <t>ETATSERIE</t>
  </si>
  <si>
    <t>FIGEE</t>
  </si>
  <si>
    <t>LIBSERIE</t>
  </si>
  <si>
    <t>MASQUE</t>
  </si>
  <si>
    <t>NUM_DEP</t>
  </si>
  <si>
    <t>QTEECONOM</t>
  </si>
  <si>
    <t>SER_CH_LIBR1</t>
  </si>
  <si>
    <t>SER_CH_LIBR1_DESC</t>
  </si>
  <si>
    <t>SER_CH_LIBR2</t>
  </si>
  <si>
    <t>SER_CH_LIBR2_DESC</t>
  </si>
  <si>
    <t>SER_CH_LIBR3</t>
  </si>
  <si>
    <t>SER_CH_LIBR3_DESC</t>
  </si>
  <si>
    <t>SER_CH_LIBR4</t>
  </si>
  <si>
    <t>SER_CH_LIBR4_DESC</t>
  </si>
  <si>
    <t>SER_CODECLIEN</t>
  </si>
  <si>
    <t>SER_DATECRE</t>
  </si>
  <si>
    <t>SER_DATEMOD</t>
  </si>
  <si>
    <t>SER_DATE_DEB_PLA_REF</t>
  </si>
  <si>
    <t>SER_DATE_FIN_PLA_REF</t>
  </si>
  <si>
    <t>SER_DEBUT_OBJ</t>
  </si>
  <si>
    <t>SER_DELAI_OBJ</t>
  </si>
  <si>
    <t>SER_DPLUSTOT</t>
  </si>
  <si>
    <t>SER_DT_DEB</t>
  </si>
  <si>
    <t>SER_DT_FIN</t>
  </si>
  <si>
    <t>SER_FPLUSTARD</t>
  </si>
  <si>
    <t>SER_PRIORITE</t>
  </si>
  <si>
    <t>SER_QTE</t>
  </si>
  <si>
    <t>SER_USERCRE</t>
  </si>
  <si>
    <t>SER_USERMOD</t>
  </si>
  <si>
    <t>TYPENUM</t>
  </si>
  <si>
    <t>TYPESERIE</t>
  </si>
  <si>
    <t>INI</t>
  </si>
  <si>
    <t>CODECLIEN</t>
  </si>
  <si>
    <t>CODECOUL</t>
  </si>
  <si>
    <t>CODEGEST</t>
  </si>
  <si>
    <t>CODEGROUP</t>
  </si>
  <si>
    <t>CONSOMMABLE</t>
  </si>
  <si>
    <t>CORRESP_SCP</t>
  </si>
  <si>
    <t>DATE_DEB_OBJ</t>
  </si>
  <si>
    <t>DATE_FIN_OBJ</t>
  </si>
  <si>
    <t>DPLUSTOT</t>
  </si>
  <si>
    <t>ETATOF</t>
  </si>
  <si>
    <t>FPLUSTARD</t>
  </si>
  <si>
    <t>LIBEOF</t>
  </si>
  <si>
    <t>OF_CH_DESC1</t>
  </si>
  <si>
    <t>OF_CH_LIBR1</t>
  </si>
  <si>
    <t>OF_C_DUE_DATE</t>
  </si>
  <si>
    <t>OF_DATECRE</t>
  </si>
  <si>
    <t>OF_DATEMOD</t>
  </si>
  <si>
    <t>OF_PCB</t>
  </si>
  <si>
    <t>OF_USERCRE</t>
  </si>
  <si>
    <t>OF_USERMOD</t>
  </si>
  <si>
    <t>PARTIC</t>
  </si>
  <si>
    <t>PRIORITE</t>
  </si>
  <si>
    <t>QTE</t>
  </si>
  <si>
    <t>RATTACHE_BES</t>
  </si>
  <si>
    <t>VER_FIGEE</t>
  </si>
  <si>
    <t>VER_UPD</t>
  </si>
  <si>
    <t>DAT_PREV_PHM</t>
  </si>
  <si>
    <t>PROF_DATECRE</t>
  </si>
  <si>
    <t>PROF_DATEMOD</t>
  </si>
  <si>
    <t>PROF_LIENCNX</t>
  </si>
  <si>
    <t>PROF_LIENMAT</t>
  </si>
  <si>
    <t>PROF_PROPPREC</t>
  </si>
  <si>
    <t>PROF_TAUXCHEVA</t>
  </si>
  <si>
    <t>PROF_USERCRE</t>
  </si>
  <si>
    <t>PROF_USERMOD</t>
  </si>
  <si>
    <t>OF_SER_DATECRE</t>
  </si>
  <si>
    <t>OF_SER_DATEMOD</t>
  </si>
  <si>
    <t>OF_SER_USERCRE</t>
  </si>
  <si>
    <t>OF_SER_USERMOD</t>
  </si>
  <si>
    <t>CAL_CYCLE_DATECRE</t>
  </si>
  <si>
    <t>CAL_CYCLE_DATEMOD</t>
  </si>
  <si>
    <t>CAL_CYCLE_USERCRE</t>
  </si>
  <si>
    <t>CAL_CYCLE_USERMOD</t>
  </si>
  <si>
    <t>DEBUT_CYCLE</t>
  </si>
  <si>
    <t>DESC_CYCLE</t>
  </si>
  <si>
    <t>TYPE_MAILLE</t>
  </si>
  <si>
    <t>CAL_CAPA_DATECRE</t>
  </si>
  <si>
    <t>CAL_CAPA_DATEMOD</t>
  </si>
  <si>
    <t>CAL_CAPA_USERCRE</t>
  </si>
  <si>
    <t>CAL_CAPA_USERMOD</t>
  </si>
  <si>
    <t>DESC_CAL</t>
  </si>
  <si>
    <t>CAL_COMPO_DATECRE</t>
  </si>
  <si>
    <t>CAL_COMPO_DATEMOD</t>
  </si>
  <si>
    <t>CAL_COMPO_USERCRE</t>
  </si>
  <si>
    <t>CAL_COMPO_USERMOD</t>
  </si>
  <si>
    <t>DEB_PER</t>
  </si>
  <si>
    <t>DESC_PER</t>
  </si>
  <si>
    <t>FIN_PER</t>
  </si>
  <si>
    <t>CAL_SS_CYCLE_DATECRE</t>
  </si>
  <si>
    <t>CAL_SS_CYCLE_DATEMOD</t>
  </si>
  <si>
    <t>CAL_SS_CYCLE_USERCRE</t>
  </si>
  <si>
    <t>CAL_SS_CYCLE_USERMOD</t>
  </si>
  <si>
    <t>CAPA_QTE</t>
  </si>
  <si>
    <t>CAPA_TPS</t>
  </si>
  <si>
    <t>NB_EXEMPL</t>
  </si>
  <si>
    <t>RENDEMENT</t>
  </si>
  <si>
    <t>UNIT_TPS</t>
  </si>
  <si>
    <t>BIBL_TYPE</t>
  </si>
  <si>
    <t>LIBMACROG</t>
  </si>
  <si>
    <t>STATMACROG</t>
  </si>
  <si>
    <t>INFO_FIELD1</t>
  </si>
  <si>
    <t>INFO_FIELD2</t>
  </si>
  <si>
    <t>LIBMACROARTIC</t>
  </si>
  <si>
    <t>M_VER_EFFET_DEBUT</t>
  </si>
  <si>
    <t>M_VER_EFFET_FIN</t>
  </si>
  <si>
    <t>LIB_VER_MACRO_ART</t>
  </si>
  <si>
    <t>VER_VALIDE</t>
  </si>
  <si>
    <t>LIBETAP</t>
  </si>
  <si>
    <t>ETATSER</t>
  </si>
  <si>
    <t>LIBSERIEA</t>
  </si>
  <si>
    <t>OFSA_CH_LIBR1</t>
  </si>
  <si>
    <t>OFSA_CH_LIBR1_DESC</t>
  </si>
  <si>
    <t>OFSA_CH_LIBR2</t>
  </si>
  <si>
    <t>OFSA_CH_LIBR2_DESC</t>
  </si>
  <si>
    <t>OFSA_CH_LIBR3</t>
  </si>
  <si>
    <t>OFSA_CH_LIBR3_DESC</t>
  </si>
  <si>
    <t>OFSA_CH_LIBR4</t>
  </si>
  <si>
    <t>OFSA_CH_LIBR4_DESC</t>
  </si>
  <si>
    <t>SERCODECLI</t>
  </si>
  <si>
    <t>SER_CH_DESC</t>
  </si>
  <si>
    <t>SER_CH_LIBR</t>
  </si>
  <si>
    <t>SER_C_DUE_DATE</t>
  </si>
  <si>
    <t>CALP_DATECRE</t>
  </si>
  <si>
    <t>CALP_DATEMOD</t>
  </si>
  <si>
    <t>CALP_USERCRE</t>
  </si>
  <si>
    <t>CALP_USERMOD</t>
  </si>
  <si>
    <t>DATE_DEB</t>
  </si>
  <si>
    <t>DATE_FIN</t>
  </si>
  <si>
    <t>TYPE_DE_PERIODE</t>
  </si>
  <si>
    <t>BES_ID</t>
  </si>
  <si>
    <t>BES_DATECRE</t>
  </si>
  <si>
    <t>BES_DATEMOD</t>
  </si>
  <si>
    <t>BES_DEPENDANT</t>
  </si>
  <si>
    <t>BES_DPLUSTOT</t>
  </si>
  <si>
    <t>BES_FIGE</t>
  </si>
  <si>
    <t>BES_FPLUSTARD</t>
  </si>
  <si>
    <t>BES_PRIORITE</t>
  </si>
  <si>
    <t>BES_QTE_FAITE</t>
  </si>
  <si>
    <t>BES_RAPPROCHE</t>
  </si>
  <si>
    <t>BES_USERCRE</t>
  </si>
  <si>
    <t>BES_USERMOD</t>
  </si>
  <si>
    <t>ENV_ID</t>
  </si>
  <si>
    <t>ORIG_BES</t>
  </si>
  <si>
    <t>QTE_BES</t>
  </si>
  <si>
    <t>QTE_BES_CUMUL</t>
  </si>
  <si>
    <t>QTE_COUVERTE_FERME</t>
  </si>
  <si>
    <t>QTE_COUVERTE_OF</t>
  </si>
  <si>
    <t>QTE_COUVERTE_STOCK</t>
  </si>
  <si>
    <t>QTE_VALIDE</t>
  </si>
  <si>
    <t>QUALIF_QT</t>
  </si>
  <si>
    <t>STAT_BES</t>
  </si>
  <si>
    <t>TYPE_ORIG</t>
  </si>
  <si>
    <t>COMMANDE_CLIENT</t>
  </si>
  <si>
    <t>COMMANDE_CODE_GESTION</t>
  </si>
  <si>
    <t>COMMANDE_DATE</t>
  </si>
  <si>
    <t>COMMANDE_LIBELLE</t>
  </si>
  <si>
    <t>COMMENTAIRE</t>
  </si>
  <si>
    <t>DELAI</t>
  </si>
  <si>
    <t>QUANTITE</t>
  </si>
  <si>
    <t>VERSION_ART</t>
  </si>
  <si>
    <t>DESCR</t>
  </si>
  <si>
    <t>READSTATUS</t>
  </si>
  <si>
    <t>BT_AFFECT</t>
  </si>
  <si>
    <t>BT_AFFECTFORCE</t>
  </si>
  <si>
    <t>BT_ART_CAL_MP</t>
  </si>
  <si>
    <t>BT_ART_CAL_SF</t>
  </si>
  <si>
    <t>BT_CODEBASET</t>
  </si>
  <si>
    <t>BT_CODEBASET_CHARGE</t>
  </si>
  <si>
    <t>BT_COEF_FRAC</t>
  </si>
  <si>
    <t>BT_COEF_QTE</t>
  </si>
  <si>
    <t>BT_COEF_T</t>
  </si>
  <si>
    <t>BT_CSFREEZE</t>
  </si>
  <si>
    <t>BT_CSINITIAL</t>
  </si>
  <si>
    <t>BT_CSMANAGEMENT</t>
  </si>
  <si>
    <t>BT_CSMINIMAL</t>
  </si>
  <si>
    <t>BT_CST_CHARGE</t>
  </si>
  <si>
    <t>BT_CSUNITMODE</t>
  </si>
  <si>
    <t>BT_DATEFIN</t>
  </si>
  <si>
    <t>BT_DATEG</t>
  </si>
  <si>
    <t>BT_DATE_CAL</t>
  </si>
  <si>
    <t>BT_DATE_CAL_MP</t>
  </si>
  <si>
    <t>BT_DATE_CAL_SAUVE</t>
  </si>
  <si>
    <t>BT_DATE_CAL_SF</t>
  </si>
  <si>
    <t>BT_DATE_DATE_CAL</t>
  </si>
  <si>
    <t>BT_DATE_DEB_OBJ</t>
  </si>
  <si>
    <t>BT_DATE_DEB_PLA_REF</t>
  </si>
  <si>
    <t>BT_DATE_DEB_PLUSTOT</t>
  </si>
  <si>
    <t>BT_DATE_DEB_PROD</t>
  </si>
  <si>
    <t>BT_DATE_FIN_OBJ</t>
  </si>
  <si>
    <t>BT_DATE_FIN_PLA_REF</t>
  </si>
  <si>
    <t>BT_DATE_LIS</t>
  </si>
  <si>
    <t>BT_DELAI</t>
  </si>
  <si>
    <t>BT_DISPO</t>
  </si>
  <si>
    <t>BT_DURCHANG</t>
  </si>
  <si>
    <t>BT_DURPREP</t>
  </si>
  <si>
    <t>BT_DURREAL</t>
  </si>
  <si>
    <t>BT_DURREAL_CHARGE</t>
  </si>
  <si>
    <t>BT_EFFECTMAX</t>
  </si>
  <si>
    <t>BT_EFFECTMIN</t>
  </si>
  <si>
    <t>BT_EFFECTSTAN</t>
  </si>
  <si>
    <t>BT_ETATOP</t>
  </si>
  <si>
    <t>BT_FINPLUSTARD</t>
  </si>
  <si>
    <t>BT_INTENSITE</t>
  </si>
  <si>
    <t>BT_INTENSITE_QTE</t>
  </si>
  <si>
    <t>BT_INTERUPT</t>
  </si>
  <si>
    <t>BT_LIBPHASE</t>
  </si>
  <si>
    <t>BT_LIEN_SUPPR</t>
  </si>
  <si>
    <t>BT_MEM</t>
  </si>
  <si>
    <t>BT_MODE_CHARGE</t>
  </si>
  <si>
    <t>BT_MONTEE_CADENCE</t>
  </si>
  <si>
    <t>BT_NUMORDRE</t>
  </si>
  <si>
    <t>BT_OPE</t>
  </si>
  <si>
    <t>BT_OPEDESCR</t>
  </si>
  <si>
    <t>BT_PREMSUIVI</t>
  </si>
  <si>
    <t>BT_PRIORITE</t>
  </si>
  <si>
    <t>BT_PROP_DATE_CAL</t>
  </si>
  <si>
    <t>BT_PUN</t>
  </si>
  <si>
    <t>BT_PUN_DATE_DEB</t>
  </si>
  <si>
    <t>BT_PUN_DATE_FIN</t>
  </si>
  <si>
    <t>BT_PUN_DURCHANG</t>
  </si>
  <si>
    <t>BT_PUN_STATUT</t>
  </si>
  <si>
    <t>BT_QTE</t>
  </si>
  <si>
    <t>BT_QTEREAL</t>
  </si>
  <si>
    <t>BT_QTEREST</t>
  </si>
  <si>
    <t>BT_QTE_FCT</t>
  </si>
  <si>
    <t>BT_ROLE</t>
  </si>
  <si>
    <t>BT_STATION_COUNT</t>
  </si>
  <si>
    <t>BT_STATION_FROM</t>
  </si>
  <si>
    <t>BT_STATION_TO</t>
  </si>
  <si>
    <t>BT_STATUT_MATIERE</t>
  </si>
  <si>
    <t>BT_TAKT_TIME</t>
  </si>
  <si>
    <t>BT_TEMPSCYCL</t>
  </si>
  <si>
    <t>BT_TEMPSPASS</t>
  </si>
  <si>
    <t>BT_TEMPSREST</t>
  </si>
  <si>
    <t>BT_TEMPSTECH</t>
  </si>
  <si>
    <t>BT_THM</t>
  </si>
  <si>
    <t>BT_THM_AV</t>
  </si>
  <si>
    <t>CALAGETOT</t>
  </si>
  <si>
    <t>CHGT_PARAM</t>
  </si>
  <si>
    <t>DATE_DEB_ENCOURS</t>
  </si>
  <si>
    <t>DATE_PLA</t>
  </si>
  <si>
    <t>DURLCREST</t>
  </si>
  <si>
    <t>DURLCRESTI</t>
  </si>
  <si>
    <t>FORCER_ACTIF_POTENTIEL</t>
  </si>
  <si>
    <t>LBE_FIGE</t>
  </si>
  <si>
    <t>PHASE_LOGIQUE</t>
  </si>
  <si>
    <t>RANG_GPE_RESS</t>
  </si>
  <si>
    <t>STATUS_POTENTIEL</t>
  </si>
  <si>
    <t>BM_DATE_PREV</t>
  </si>
  <si>
    <t>BT_ACTIF</t>
  </si>
  <si>
    <t>BT_LIENCNX</t>
  </si>
  <si>
    <t>BT_LIENMAT</t>
  </si>
  <si>
    <t>BT_PROPPREC</t>
  </si>
  <si>
    <t>BT_TAUXCHEVA</t>
  </si>
  <si>
    <t>NUMLIEN_AR</t>
  </si>
  <si>
    <t>QTE_ALIM</t>
  </si>
  <si>
    <t>QTE_CONSO</t>
  </si>
  <si>
    <t>STAT</t>
  </si>
  <si>
    <t>GRANDEUR_PHY</t>
  </si>
  <si>
    <t>NRJ_STOCKABLE</t>
  </si>
  <si>
    <t>STOCK_INITIAL</t>
  </si>
  <si>
    <t>UNITE_NRJ</t>
  </si>
  <si>
    <t>UNITE_PHY</t>
  </si>
  <si>
    <t>CONSO_FIXE</t>
  </si>
  <si>
    <t>NRJ_OBLIG</t>
  </si>
  <si>
    <t>NRJ_UTIL</t>
  </si>
  <si>
    <t>PARAM_BATCH</t>
  </si>
  <si>
    <t>SEUIL_NRJ</t>
  </si>
  <si>
    <t>VAL_NRJ</t>
  </si>
  <si>
    <t>VAL_NRJ_MAX</t>
  </si>
  <si>
    <t>NRJ_CADE_OBLIG</t>
  </si>
  <si>
    <t>NRJ_CADE_UTIL</t>
  </si>
  <si>
    <t>PARAM_BATCH_MAX</t>
  </si>
  <si>
    <t>PARAM_BATCH_MIN</t>
  </si>
  <si>
    <t>VAL_NRJ_CADE</t>
  </si>
  <si>
    <t>VAL_MVT_NRJ</t>
  </si>
  <si>
    <t>BES_DEPENDANT2</t>
  </si>
  <si>
    <t>BES_DPLUSTOT2</t>
  </si>
  <si>
    <t>BES_FIGE2</t>
  </si>
  <si>
    <t>BES_ID2</t>
  </si>
  <si>
    <t>BES_PRIORITE2</t>
  </si>
  <si>
    <t>BES_QTE_FAITE2</t>
  </si>
  <si>
    <t>BES_RAPPROCHE2</t>
  </si>
  <si>
    <t>CORRESP_SCP2</t>
  </si>
  <si>
    <t>DES_DPLUSTARD2</t>
  </si>
  <si>
    <t>ENV_ID2</t>
  </si>
  <si>
    <t>FREE12</t>
  </si>
  <si>
    <t>FREE22</t>
  </si>
  <si>
    <t>FREE32</t>
  </si>
  <si>
    <t>FREE42</t>
  </si>
  <si>
    <t>FREE52</t>
  </si>
  <si>
    <t>ORIG_BES2</t>
  </si>
  <si>
    <t>QTE_BES2</t>
  </si>
  <si>
    <t>QTE_BES_CUMUL2</t>
  </si>
  <si>
    <t>QTE_COUVERTE_FERME2</t>
  </si>
  <si>
    <t>QTE_COUVERTE_OF2</t>
  </si>
  <si>
    <t>QTE_COUVERTE_STOCK2</t>
  </si>
  <si>
    <t>QTE_VALIDE2</t>
  </si>
  <si>
    <t>QUALIF_QT2</t>
  </si>
  <si>
    <t>RESERVED12</t>
  </si>
  <si>
    <t>RESERVED22</t>
  </si>
  <si>
    <t>RESERVED32</t>
  </si>
  <si>
    <t>RESERVED42</t>
  </si>
  <si>
    <t>RESERVED52</t>
  </si>
  <si>
    <t>STAT_BES2</t>
  </si>
  <si>
    <t>TYPE_ORIG2</t>
  </si>
  <si>
    <t>UE_RESERVED12</t>
  </si>
  <si>
    <t>UE_RESERVED22</t>
  </si>
  <si>
    <t>LBE_CTRL_AVANCE2</t>
  </si>
  <si>
    <t>LBE_CTRL_RETARD2</t>
  </si>
  <si>
    <t>LBE_MARGE_AVANCE2</t>
  </si>
  <si>
    <t>LBE_MARGE_RETARD2</t>
  </si>
  <si>
    <t>LBE_PARAM_LOCAUX2</t>
  </si>
  <si>
    <t>LBE_SPECIF2</t>
  </si>
  <si>
    <t>LBE_STATUT2</t>
  </si>
  <si>
    <t>UE_RESERVED32</t>
  </si>
  <si>
    <t>UE_RESERVED42</t>
  </si>
  <si>
    <t>UE_RESERVED52</t>
  </si>
  <si>
    <t>URL2</t>
  </si>
  <si>
    <t>DESCR2</t>
  </si>
  <si>
    <t>BT_AFFECT2</t>
  </si>
  <si>
    <t>BT_AFFECTFORCE2</t>
  </si>
  <si>
    <t>BT_ART_CAL_MP2</t>
  </si>
  <si>
    <t>BT_ART_CAL_SF2</t>
  </si>
  <si>
    <t>BT_CODEBASET2</t>
  </si>
  <si>
    <t>BT_CODEBASET_CHARGE2</t>
  </si>
  <si>
    <t>BT_COEF_FRAC2</t>
  </si>
  <si>
    <t>BT_COEF_QTE2</t>
  </si>
  <si>
    <t>BT_COEF_T2</t>
  </si>
  <si>
    <t>BT_CSFREEZE2</t>
  </si>
  <si>
    <t>BT_CSINITIAL2</t>
  </si>
  <si>
    <t>BT_CSMANAGEMENT2</t>
  </si>
  <si>
    <t>BT_CSMINIMAL2</t>
  </si>
  <si>
    <t>BT_CST_CHARGE2</t>
  </si>
  <si>
    <t>BT_CSUNITMODE2</t>
  </si>
  <si>
    <t>BT_DATEFIN2</t>
  </si>
  <si>
    <t>BT_DATEG2</t>
  </si>
  <si>
    <t>BT_DATE_CAL2</t>
  </si>
  <si>
    <t>BT_DATE_CAL_MP2</t>
  </si>
  <si>
    <t>BT_DATE_CAL_SAUVE2</t>
  </si>
  <si>
    <t>BT_DATE_CAL_SF2</t>
  </si>
  <si>
    <t>BT_DATE_DATE_CAL2</t>
  </si>
  <si>
    <t>BT_DATE_DEB_OBJ2</t>
  </si>
  <si>
    <t>BT_DATE_DEB_PLA_REF2</t>
  </si>
  <si>
    <t>BT_DATE_DEB_PLUSTOT2</t>
  </si>
  <si>
    <t>BT_DATE_DEB_PROD2</t>
  </si>
  <si>
    <t>BT_DATE_FIN_OBJ2</t>
  </si>
  <si>
    <t>BT_DATE_FIN_PLA_REF2</t>
  </si>
  <si>
    <t>BT_DATE_LIS2</t>
  </si>
  <si>
    <t>BT_DELAI2</t>
  </si>
  <si>
    <t>BT_DISPO2</t>
  </si>
  <si>
    <t>BT_DURCHANG2</t>
  </si>
  <si>
    <t>BT_DURPREP2</t>
  </si>
  <si>
    <t>BT_DURREAL2</t>
  </si>
  <si>
    <t>BT_DURREAL_CHARGE2</t>
  </si>
  <si>
    <t>BT_EFFECTMAX2</t>
  </si>
  <si>
    <t>BT_EFFECTMIN2</t>
  </si>
  <si>
    <t>BT_EFFECTSTAN2</t>
  </si>
  <si>
    <t>BT_ETATOP2</t>
  </si>
  <si>
    <t>BT_FINPLUSTARD2</t>
  </si>
  <si>
    <t>BT_INTENSITE2</t>
  </si>
  <si>
    <t>BT_INTENSITE_QTE2</t>
  </si>
  <si>
    <t>BT_INTERUPT2</t>
  </si>
  <si>
    <t>BT_LIBPHASE2</t>
  </si>
  <si>
    <t>BT_LIEN_SUPPR2</t>
  </si>
  <si>
    <t>BT_MEM2</t>
  </si>
  <si>
    <t>BT_MODE_CHARGE2</t>
  </si>
  <si>
    <t>BT_MONTEE_CADENCE2</t>
  </si>
  <si>
    <t>BT_NUMORDRE2</t>
  </si>
  <si>
    <t>BT_OPE2</t>
  </si>
  <si>
    <t>BT_OPEDESCR2</t>
  </si>
  <si>
    <t>BT_PREMSUIVI2</t>
  </si>
  <si>
    <t>BT_PRIORITE2</t>
  </si>
  <si>
    <t>BT_PROP_DATE_CAL2</t>
  </si>
  <si>
    <t>BT_PUN2</t>
  </si>
  <si>
    <t>BT_PUN_DATE_DEB2</t>
  </si>
  <si>
    <t>BT_PUN_DATE_FIN2</t>
  </si>
  <si>
    <t>BT_PUN_DURCHANG2</t>
  </si>
  <si>
    <t>BT_PUN_STATUT2</t>
  </si>
  <si>
    <t>BT_QTE2</t>
  </si>
  <si>
    <t>BT_QTEREAL2</t>
  </si>
  <si>
    <t>BT_QTEREST2</t>
  </si>
  <si>
    <t>BT_QTE_FCT2</t>
  </si>
  <si>
    <t>BT_ROLE2</t>
  </si>
  <si>
    <t>BT_STATION_COUNT2</t>
  </si>
  <si>
    <t>BT_STATION_FROM2</t>
  </si>
  <si>
    <t>BT_STATION_TO2</t>
  </si>
  <si>
    <t>BT_STATUT_MATIERE2</t>
  </si>
  <si>
    <t>BT_TAKT_TIME2</t>
  </si>
  <si>
    <t>BT_TEMPSCYCL2</t>
  </si>
  <si>
    <t>BT_TEMPSPASS2</t>
  </si>
  <si>
    <t>BT_TEMPSREST2</t>
  </si>
  <si>
    <t>BT_TEMPSTECH2</t>
  </si>
  <si>
    <t>BT_THM2</t>
  </si>
  <si>
    <t>BT_THM_AV2</t>
  </si>
  <si>
    <t>CALAGETOT2</t>
  </si>
  <si>
    <t>CHGT_PARAM2</t>
  </si>
  <si>
    <t>DATE_DEB_ENCOURS2</t>
  </si>
  <si>
    <t>DATE_PLA2</t>
  </si>
  <si>
    <t>DURLCREST2</t>
  </si>
  <si>
    <t>FORCER_ACTIF_POTENTIEL2</t>
  </si>
  <si>
    <t>LBE_FIGE2</t>
  </si>
  <si>
    <t>NATURE2</t>
  </si>
  <si>
    <t>PHASE_LOGIQUE2</t>
  </si>
  <si>
    <t>PHASE_PROD2</t>
  </si>
  <si>
    <t>POTENTIEL2</t>
  </si>
  <si>
    <t>RANG_GPE_RESS2</t>
  </si>
  <si>
    <t>STATUS_POTENTIEL2</t>
  </si>
  <si>
    <t>BM_DATE_PREV2</t>
  </si>
  <si>
    <t>BT_ACTIF2</t>
  </si>
  <si>
    <t>BT_LIENCNX2</t>
  </si>
  <si>
    <t>BT_LIENMAT2</t>
  </si>
  <si>
    <t>BT_PROPPREC2</t>
  </si>
  <si>
    <t>BT_TAUXCHEVA2</t>
  </si>
  <si>
    <t>NUMLIEN_AR2</t>
  </si>
  <si>
    <t>QTE_ALIM2</t>
  </si>
  <si>
    <t>QTE_CONSO2</t>
  </si>
  <si>
    <t>SV_MACHINE</t>
  </si>
  <si>
    <t>SV_OPERATIONS</t>
  </si>
  <si>
    <t>SV_ROUTINGS</t>
  </si>
  <si>
    <t>SV_BOM</t>
  </si>
  <si>
    <t>SV_WO</t>
  </si>
  <si>
    <t>LIBOF</t>
  </si>
  <si>
    <t>LYON</t>
  </si>
  <si>
    <t>Milling</t>
  </si>
  <si>
    <t>Drilling</t>
  </si>
  <si>
    <t>MP</t>
  </si>
  <si>
    <t>SF</t>
  </si>
  <si>
    <t>Carter</t>
  </si>
  <si>
    <t>Calendar ID</t>
  </si>
  <si>
    <t>Calendar Name</t>
  </si>
  <si>
    <t>Start day number</t>
  </si>
  <si>
    <t>End day number</t>
  </si>
  <si>
    <t>Start time</t>
  </si>
  <si>
    <t>End time</t>
  </si>
  <si>
    <t>Section ID</t>
  </si>
  <si>
    <t>Machine ID</t>
  </si>
  <si>
    <t>Operation ID</t>
  </si>
  <si>
    <t>Unit</t>
  </si>
  <si>
    <t>Routing ID</t>
  </si>
  <si>
    <t>WO ID</t>
  </si>
  <si>
    <t>Serie ID</t>
  </si>
  <si>
    <t>Customer ID</t>
  </si>
  <si>
    <t>Earliest Start Date</t>
  </si>
  <si>
    <t>Quantity</t>
  </si>
  <si>
    <t>Priority</t>
  </si>
  <si>
    <t>CLIENT_FIELD_NAME</t>
  </si>
  <si>
    <t>SV_TABLE_NAME</t>
  </si>
  <si>
    <t>ORTEMS_FIELD_NAME</t>
  </si>
  <si>
    <t>SV_CALENDARS</t>
  </si>
  <si>
    <t>Cal_1x8</t>
  </si>
  <si>
    <t>Cal 1x8</t>
  </si>
  <si>
    <t>MANDATORY_OPTIONAL</t>
  </si>
  <si>
    <t/>
  </si>
  <si>
    <t>Carter Drilling</t>
  </si>
  <si>
    <t>10</t>
  </si>
  <si>
    <t>Start day number of working hours:
1: Monday
…
7: Sunday</t>
  </si>
  <si>
    <t>End day number of working hours:
1: Monday
…
7: Sunday</t>
  </si>
  <si>
    <t>Machine working mode:
NR: Standard
BA: Batch
RN: Run
CU: Tank</t>
  </si>
  <si>
    <t>In the following format: mm/dd/yyyy</t>
  </si>
  <si>
    <t>08:00</t>
  </si>
  <si>
    <t>14:00</t>
  </si>
  <si>
    <t>12:00</t>
  </si>
  <si>
    <t>17:00</t>
  </si>
  <si>
    <t>Section_A</t>
  </si>
  <si>
    <t>Section A</t>
  </si>
  <si>
    <t>Milling_1</t>
  </si>
  <si>
    <t>Milling 1</t>
  </si>
  <si>
    <t>Milling_2</t>
  </si>
  <si>
    <t>Milling 2</t>
  </si>
  <si>
    <t>Assembly Robot</t>
  </si>
  <si>
    <t>Assembly_Robot</t>
  </si>
  <si>
    <t>Section_B</t>
  </si>
  <si>
    <t>Section B</t>
  </si>
  <si>
    <t>Drilling_1</t>
  </si>
  <si>
    <t>Assembly_Robot_1</t>
  </si>
  <si>
    <t>Drilling 1</t>
  </si>
  <si>
    <t>Assembly Robot 1</t>
  </si>
  <si>
    <t>Cal_2x8</t>
  </si>
  <si>
    <t>Standard Axes</t>
  </si>
  <si>
    <t>MILL</t>
  </si>
  <si>
    <t>DRIL</t>
  </si>
  <si>
    <t>FINI</t>
  </si>
  <si>
    <t>ASSY</t>
  </si>
  <si>
    <t>Axes Milling</t>
  </si>
  <si>
    <t xml:space="preserve">Axes Finishing </t>
  </si>
  <si>
    <t>Gearbox Assembly</t>
  </si>
  <si>
    <t>SPT_Axes</t>
  </si>
  <si>
    <t>STD_Axes</t>
  </si>
  <si>
    <t>Sport Axes</t>
  </si>
  <si>
    <t>Carter drilling</t>
  </si>
  <si>
    <t>STD_Gearbox</t>
  </si>
  <si>
    <t>SPT_Gearbox</t>
  </si>
  <si>
    <t>Standard Gearbox</t>
  </si>
  <si>
    <t>Sport Gearbox</t>
  </si>
  <si>
    <t>Standard Axes milling</t>
  </si>
  <si>
    <t>Sport Axes milling</t>
  </si>
  <si>
    <t>Sport Axes finishing</t>
  </si>
  <si>
    <t>Standard Gearbox assembly</t>
  </si>
  <si>
    <t>Sport Gearbox assembly</t>
  </si>
  <si>
    <t>STD_GB</t>
  </si>
  <si>
    <t>R_Axes</t>
  </si>
  <si>
    <t>R_Carter</t>
  </si>
  <si>
    <t>SPT_GB</t>
  </si>
  <si>
    <t>Raw Axes</t>
  </si>
  <si>
    <t>Raw Carter</t>
  </si>
  <si>
    <t>STD</t>
  </si>
  <si>
    <t>SPT</t>
  </si>
  <si>
    <t>STD_AX</t>
  </si>
  <si>
    <t>SPT_AX</t>
  </si>
  <si>
    <t>CT</t>
  </si>
  <si>
    <t xml:space="preserve">  </t>
  </si>
  <si>
    <t>WO_1</t>
  </si>
  <si>
    <t>WO_2</t>
  </si>
  <si>
    <t>WO_3</t>
  </si>
  <si>
    <t>WO_4</t>
  </si>
  <si>
    <t>WO_5</t>
  </si>
  <si>
    <t>WO 1</t>
  </si>
  <si>
    <t>WO 2</t>
  </si>
  <si>
    <t>WO 3</t>
  </si>
  <si>
    <t>WO 4</t>
  </si>
  <si>
    <t>WO 5</t>
  </si>
  <si>
    <t>SERIE_1</t>
  </si>
  <si>
    <t>SERIE_2</t>
  </si>
  <si>
    <t>CUST_1</t>
  </si>
  <si>
    <t>CUST_2</t>
  </si>
  <si>
    <t>CUST_3</t>
  </si>
  <si>
    <t>Interruptible</t>
  </si>
  <si>
    <t>A calendar describes the working
hours of labor and machines.</t>
  </si>
  <si>
    <t>A Section is a practical grouping of 
machines for working purposes. 
E.g. physical sections in the plant.</t>
  </si>
  <si>
    <t>An operation describes 
a process performed by a machine.</t>
  </si>
  <si>
    <t>Machine ID of the machine performing the operation.
The machine ID must exist in the SV_MACHINE sheet.</t>
  </si>
  <si>
    <t>ID of the operation performed during the routing phase.
The operation ID must exist in the SV_OPERATIONS sheet.</t>
  </si>
  <si>
    <t>Routing ID used for the BOM.</t>
  </si>
  <si>
    <t>Phase code of the routing where the component item is consumed.</t>
  </si>
  <si>
    <t>CLIENT_COMMENT</t>
  </si>
  <si>
    <t>TECH-SALE_COMMENT</t>
  </si>
  <si>
    <t>Refers to :
B_CAL
Is referenced by:
B_MACH
B_PERI</t>
  </si>
  <si>
    <t>Refers to:
B_ZONE
Is referenced by:
B_MACH</t>
  </si>
  <si>
    <t>Refers to:
B_ILOT
Is referenced by:
B_OPE</t>
  </si>
  <si>
    <t>Refers to:
B_SECT
Is referenced by:
B_MACH</t>
  </si>
  <si>
    <t>Refers to:
B_MACH
Is referenced by:
B_OPE
B_CADE</t>
  </si>
  <si>
    <t>Refers to:
B_OPE
Is referenced by:
B_PHAS
B_CADE</t>
  </si>
  <si>
    <t>Refers to:
B_GAMM
Is referenced by:
B_PHAS
B_VER_ART
B_SER
B_OF</t>
  </si>
  <si>
    <t>Refers to :
B_PHAS
Is referenced by:
B_NOME</t>
  </si>
  <si>
    <t>Refers to:
B_ART
Is referenced by:
B_NOME
B_VER_ART</t>
  </si>
  <si>
    <t>Refers to:
B_VER_ART
Is referenced by:
B_OF
B_SER
B_NOME</t>
  </si>
  <si>
    <t>Refers to:
B_SER
Is referenced by:
B_OF</t>
  </si>
  <si>
    <t>Source sheet</t>
  </si>
  <si>
    <t>Source column</t>
  </si>
  <si>
    <t>Destination sheet</t>
  </si>
  <si>
    <t>Destination column</t>
  </si>
  <si>
    <t>Mapping ID</t>
  </si>
  <si>
    <t>Cal 2x8</t>
  </si>
  <si>
    <t>A serie is a logical grouping of WOs. 
It can be used to group different WOs into categories.
E.g. by client, by geographical zone…</t>
  </si>
  <si>
    <t>Database path:</t>
  </si>
  <si>
    <t>Help path:</t>
  </si>
  <si>
    <t>Default value</t>
  </si>
  <si>
    <t>Duplicate column</t>
  </si>
  <si>
    <t>Question ID</t>
  </si>
  <si>
    <t>Question text</t>
  </si>
  <si>
    <t>Next question ID Y</t>
  </si>
  <si>
    <t>Next question ID N</t>
  </si>
  <si>
    <t>Module ID N</t>
  </si>
  <si>
    <t>Module ID Y</t>
  </si>
  <si>
    <t>3</t>
  </si>
  <si>
    <t>4</t>
  </si>
  <si>
    <t>5</t>
  </si>
  <si>
    <t>6</t>
  </si>
  <si>
    <t>7</t>
  </si>
  <si>
    <t>8</t>
  </si>
  <si>
    <t>SV_CAPACITY</t>
  </si>
  <si>
    <t>Cycle ID</t>
  </si>
  <si>
    <t>Cycle name</t>
  </si>
  <si>
    <t>Period number</t>
  </si>
  <si>
    <t>Capacity quantity</t>
  </si>
  <si>
    <t>Capacity time</t>
  </si>
  <si>
    <t>Number resources</t>
  </si>
  <si>
    <t>Yield</t>
  </si>
  <si>
    <t>Lead time management</t>
  </si>
  <si>
    <t>Lead time min</t>
  </si>
  <si>
    <t>Load model</t>
  </si>
  <si>
    <t>Load value</t>
  </si>
  <si>
    <t>Load duration</t>
  </si>
  <si>
    <t>Time bucket type</t>
  </si>
  <si>
    <t>STANDARD</t>
  </si>
  <si>
    <t>1x8 1 Resource</t>
  </si>
  <si>
    <t>1x8_1Resource</t>
  </si>
  <si>
    <t>Capacity calendar ID</t>
  </si>
  <si>
    <t>2x8_1Resource</t>
  </si>
  <si>
    <t>16</t>
  </si>
  <si>
    <t>2x8 1 Resource</t>
  </si>
  <si>
    <t>SV_WO_LINKS</t>
  </si>
  <si>
    <t>Start WO ID</t>
  </si>
  <si>
    <t>Start routing ID</t>
  </si>
  <si>
    <t>Start phase code</t>
  </si>
  <si>
    <t>End WO ID</t>
  </si>
  <si>
    <t>End routing ID</t>
  </si>
  <si>
    <t>End phase code</t>
  </si>
  <si>
    <t>Precedence type</t>
  </si>
  <si>
    <t>SV_PRECEDENCES</t>
  </si>
  <si>
    <t>Overlap threshold</t>
  </si>
  <si>
    <t>Overlap type</t>
  </si>
  <si>
    <t>20</t>
  </si>
  <si>
    <t>Key column</t>
  </si>
  <si>
    <t>Duplicates columnn</t>
  </si>
  <si>
    <t>Secondary resource ID</t>
  </si>
  <si>
    <t>Secondary resource name</t>
  </si>
  <si>
    <t>Load mode</t>
  </si>
  <si>
    <t>SV_SEC_RESOURCES</t>
  </si>
  <si>
    <t>OPERATOR</t>
  </si>
  <si>
    <t>Operator</t>
  </si>
  <si>
    <t>Database name:</t>
  </si>
  <si>
    <t>If the load is propotional to the operation quantity, the Load value is the number of units produced during the load duration.
If the load is proportional to the operation duration, the Load value is the coefficent betweem the operating time and the load time.</t>
  </si>
  <si>
    <t>Only for a load proportional to operation quantity.
Defines the duration for the Load value.
The time unit is the one given in the "Unit" column.</t>
  </si>
  <si>
    <t>Defines the minimum time to add besides the operating time 
in order to obtain the total load time of the operation.
E.g. wait times or margins for unknown factors.
The time unit is the one given in the "Unit" column.</t>
  </si>
  <si>
    <t>Movement name</t>
  </si>
  <si>
    <t>Type</t>
  </si>
  <si>
    <t>*</t>
  </si>
  <si>
    <t>SV_MARKERS</t>
  </si>
  <si>
    <t>Marker ID</t>
  </si>
  <si>
    <t>Phase code</t>
  </si>
  <si>
    <t>Marker state ID</t>
  </si>
  <si>
    <t>Marker state name</t>
  </si>
  <si>
    <t>SV_LIM_RESOURCES</t>
  </si>
  <si>
    <t>Limited resource ID</t>
  </si>
  <si>
    <t>Number resources used</t>
  </si>
  <si>
    <t>Number resources total</t>
  </si>
  <si>
    <t>Limited resource name</t>
  </si>
  <si>
    <t>SV_PARAMETERS</t>
  </si>
  <si>
    <t>Changeover time</t>
  </si>
  <si>
    <t>Parameter ID</t>
  </si>
  <si>
    <t>Parameter name</t>
  </si>
  <si>
    <t>Parameter value ID</t>
  </si>
  <si>
    <t>Parameter value name</t>
  </si>
  <si>
    <t>Continuous parameter value</t>
  </si>
  <si>
    <t>SV_C_PARAMETERS</t>
  </si>
  <si>
    <t>Nominal value</t>
  </si>
  <si>
    <t>Upper bound</t>
  </si>
  <si>
    <t>Lower bound</t>
  </si>
  <si>
    <t>SV_MPS_BUCKET</t>
  </si>
  <si>
    <t>SV_FORECAST</t>
  </si>
  <si>
    <t>Independent quantity</t>
  </si>
  <si>
    <t>SV_SALES_ORDER</t>
  </si>
  <si>
    <t>Sales order ID</t>
  </si>
  <si>
    <t xml:space="preserve">Sales order name </t>
  </si>
  <si>
    <t>Client name</t>
  </si>
  <si>
    <t>Due date</t>
  </si>
  <si>
    <t>Netting rule</t>
  </si>
  <si>
    <t>Supply type</t>
  </si>
  <si>
    <t>12</t>
  </si>
  <si>
    <t>Is the client asking to see inventory functions in detail, e.g. replenishments of raw materials (Inventory movements)? [Yes/No]</t>
  </si>
  <si>
    <t>9</t>
  </si>
  <si>
    <t>11</t>
  </si>
  <si>
    <t>13</t>
  </si>
  <si>
    <t>14</t>
  </si>
  <si>
    <t>Is the client talking about item characteristics that varies continuously, e.g. growing weight or changing concentration (Continuous parameters)? [Yes/No]</t>
  </si>
  <si>
    <t>Does the client needs machines where operations can be grouped in a batch, e.g. oven (Batch machines)? [Yes/No]</t>
  </si>
  <si>
    <t>Ortems column</t>
  </si>
  <si>
    <t>Source view</t>
  </si>
  <si>
    <t>Ortems table</t>
  </si>
  <si>
    <t>0001</t>
  </si>
  <si>
    <t>0002</t>
  </si>
  <si>
    <t>0003</t>
  </si>
  <si>
    <t>0005</t>
  </si>
  <si>
    <t>0004</t>
  </si>
  <si>
    <t>0006</t>
  </si>
  <si>
    <t>1003</t>
  </si>
  <si>
    <t>1001</t>
  </si>
  <si>
    <t>1002</t>
  </si>
  <si>
    <t>1004</t>
  </si>
  <si>
    <t>1005</t>
  </si>
  <si>
    <t>1006</t>
  </si>
  <si>
    <t>1007</t>
  </si>
  <si>
    <t>1009</t>
  </si>
  <si>
    <t>1008</t>
  </si>
  <si>
    <t>1010</t>
  </si>
  <si>
    <t>1011</t>
  </si>
  <si>
    <t>1501</t>
  </si>
  <si>
    <t>1502</t>
  </si>
  <si>
    <t>1503</t>
  </si>
  <si>
    <t>Source order ID</t>
  </si>
  <si>
    <t>Module name</t>
  </si>
  <si>
    <t>SRP</t>
  </si>
  <si>
    <t>WO links</t>
  </si>
  <si>
    <t>Secondary resources</t>
  </si>
  <si>
    <t>Inventory movements</t>
  </si>
  <si>
    <t>Limited resources</t>
  </si>
  <si>
    <t>Parameters</t>
  </si>
  <si>
    <t>Markers</t>
  </si>
  <si>
    <t>Continuous parameters</t>
  </si>
  <si>
    <t>Complex routings</t>
  </si>
  <si>
    <t>15</t>
  </si>
  <si>
    <t>Does the client needs an automatic synchronization of WOs between different BOM levels,
e.g. a finished product WO automatically generates the WO for all the other BOM levels (SRP module)? [Yes/No]</t>
  </si>
  <si>
    <t>Are the WO linked with pre-defined precedences constraints given by the client (WO precedences)? [Yes/No]</t>
  </si>
  <si>
    <t>Is the client asking for labor or tools constraints? Does he need optimization on multiple resources for a given operation, 
e.g. tools and labor (Secondary resources)? [Yes/No]</t>
  </si>
  <si>
    <t>SV_GROUPING_CODES</t>
  </si>
  <si>
    <t>Batch group ID</t>
  </si>
  <si>
    <t>Batch group name</t>
  </si>
  <si>
    <t>Miminum capacity</t>
  </si>
  <si>
    <t>Maximum capacity</t>
  </si>
  <si>
    <t>Batch Machines</t>
  </si>
  <si>
    <t>17</t>
  </si>
  <si>
    <t>18</t>
  </si>
  <si>
    <t>Is it important to show visual indications on the planning to indicate special events. 
Does the client wants to see how planners can colaborate (Markers)? [Yes/No]</t>
  </si>
  <si>
    <t>Site ID</t>
  </si>
  <si>
    <t>Site name of machines (plant).</t>
  </si>
  <si>
    <t>Site ID of machines (plant).</t>
  </si>
  <si>
    <t>A work center represents a set of machines
performing the same operations.
A given machine must belong to 1 work center only.</t>
  </si>
  <si>
    <t>Work center ID</t>
  </si>
  <si>
    <t>Work center type</t>
  </si>
  <si>
    <t>Calendar name</t>
  </si>
  <si>
    <t>Site name</t>
  </si>
  <si>
    <t>Work center capacity management:
2: Finite capacity
4: Infinite capacity</t>
  </si>
  <si>
    <t>Work center name</t>
  </si>
  <si>
    <t>Section name</t>
  </si>
  <si>
    <t>Machine type</t>
  </si>
  <si>
    <t>Machine name</t>
  </si>
  <si>
    <t>A machine must belong to 1 work center only,
i.e. only one line per machine.</t>
  </si>
  <si>
    <t>Operation name</t>
  </si>
  <si>
    <t>Work center ID of the machines performing the operation.
The work center ID must exist in the SV_MACHINE sheet.</t>
  </si>
  <si>
    <t>Reference quantity</t>
  </si>
  <si>
    <t>Number of material produced according to the reference duration.
For example, if 100 items are produced per hour,
put 100 in reference quantity, 1 in reference duration and H in unit.</t>
  </si>
  <si>
    <t>Reference duration</t>
  </si>
  <si>
    <t>Duration for the reference quantity.
For example, if during 1 hour, 100 materials are produced,
put 1 in reference duration, H in unit and 100 in reference quantity.</t>
  </si>
  <si>
    <t>Time unit for the reference duration:
J: Days
H: Hours
C: Hundredth of hours</t>
  </si>
  <si>
    <t>Corresponds to the length of time for which production is not available after the operation.
The time unit is HH (Hundredth of Hour).</t>
  </si>
  <si>
    <t>Corresponds to the length of time needed to prepare the machine before the operation.
During this time the machine is considered as used.
The time unit is HH (Hundredth of Hour)</t>
  </si>
  <si>
    <t>An iterruptible operation can be stopped and re-started later,
e.g. at the end of the day until the next morning.
1: Interruptible operation
0: Non-interruptible operation</t>
  </si>
  <si>
    <t>Defines how the load is calculated for the operation:
C: Constant load
D: Proportional to quantity
Q: Proportional to duration</t>
  </si>
  <si>
    <t>A routing represents the set of operations 
needed to produce a material.</t>
  </si>
  <si>
    <t>Routing name</t>
  </si>
  <si>
    <t>Time out after operation</t>
  </si>
  <si>
    <t>Preparation time</t>
  </si>
  <si>
    <t>Phase code of the operation performed in the routing.
The phase code must be a number: 01,  10, 20, 100</t>
  </si>
  <si>
    <t>Phase name</t>
  </si>
  <si>
    <t>Material ID</t>
  </si>
  <si>
    <t>A material is a product that is used or produced
during the production process.
E.g. raw materials, finished products.</t>
  </si>
  <si>
    <t>Material name</t>
  </si>
  <si>
    <t>Material version</t>
  </si>
  <si>
    <t>Defines the material type:
MP: Raw material (only consummed, input)
SF: Semi-finished product (produced and consummed, input/output)
PF: Finished product (only produced, output)</t>
  </si>
  <si>
    <t>Material type</t>
  </si>
  <si>
    <t>Stock quantity</t>
  </si>
  <si>
    <t>Initial stock quantity of the material.</t>
  </si>
  <si>
    <t>Parent material ID</t>
  </si>
  <si>
    <t>ID of the parent material for which
the component material is used.</t>
  </si>
  <si>
    <t>Parent material version</t>
  </si>
  <si>
    <t>SV_MATERIALS</t>
  </si>
  <si>
    <t>Component material ID used to
produce the parent material.</t>
  </si>
  <si>
    <t>Version of  the parent material.
Different versions can have different BOMs.</t>
  </si>
  <si>
    <t>Component material ID</t>
  </si>
  <si>
    <t>Required quantity</t>
  </si>
  <si>
    <t>Quantity of parent materials produced when 
an amount of component materials equal to required 
quantity is consumed.</t>
  </si>
  <si>
    <t>Quantity of component materials consumed 
to produce an amount of parent materials 
equal to the required quantity.</t>
  </si>
  <si>
    <t>A Work order is a production order describing
the material to produce, its quantity, and the due date.</t>
  </si>
  <si>
    <t>WO name</t>
  </si>
  <si>
    <t>Due Date</t>
  </si>
  <si>
    <t>Material ID to produce for the WO. 
The Material ID must exist in the SV_ITEMS table</t>
  </si>
  <si>
    <t>Routing ID used for the material. 
The Routing ID must be associated 
with the Material ID in the SV_ITEMS sheet</t>
  </si>
  <si>
    <t>Material version to produce for the WO. 
The material version must be associated 
with the Item ID in the SV_ITEMS sheet.</t>
  </si>
  <si>
    <t>Quantity to produce for the WO.</t>
  </si>
  <si>
    <t>SV_STOCK_MOVEMENTS</t>
  </si>
  <si>
    <t>Command line ID</t>
  </si>
  <si>
    <t>Is the client asking for a continuous scheduling of operations (PS module)? [Yes]
Or is the client asking for a bucket-based planning with load leveling (MP module)? [No]</t>
  </si>
  <si>
    <t>Does the client needs an automatic synchronization of WOs between different BOM levels,
e.g. a finished product WO automatically generates the WOs for all the other BOM levels (SRP module)? [Yes/No]</t>
  </si>
  <si>
    <t>Are the routing of materials complex, non-linear or requiring synchronization constraints,
 e.g. start-start synchronization (Tree-structure routings and synchnonizations)? [Yes/No]</t>
  </si>
  <si>
    <t>Is there any resource, with a limited number, shared between multiple operations (Limited resources)? [Yes/No]</t>
  </si>
  <si>
    <t>Defines the time bucket for each period:
0: Hour
1: Day
2: Week</t>
  </si>
  <si>
    <t>The number of the period, i.e. first (1), second (2), third (3) bucket.</t>
  </si>
  <si>
    <t>A capacity calendar describes the capacity of a resource over time, e.g. time capacity of a machine.
It is composed of periods having a defined capacity.
Capacity calendars are used to compute loads.</t>
  </si>
  <si>
    <t>Capacity for the current period in quantity, e.g. square meters for storage areas.
Express the capacity in time or quantity, not both.</t>
  </si>
  <si>
    <t>Capacity for the current period in time, e.g. time capacity of a machine.
The time is in Hours.
Express the capacity in time or quantity, not both.</t>
  </si>
  <si>
    <t>Yield associated with the period in percentage.</t>
  </si>
  <si>
    <t>Number of resources associated with the period,
e.g. if the time capacity for the period is 8H and the number of resources is 2,
the total capacity for the period is 16H.</t>
  </si>
  <si>
    <t>WO ID of the succeeding WO.</t>
  </si>
  <si>
    <t>Routing ID of the succeeding WO.
The routing ID must be the one associated to the WO ID in the SV_WO sheet.</t>
  </si>
  <si>
    <t>Phase code of the succeeding WO.</t>
  </si>
  <si>
    <t>Precedence type between the two WOs:
T: Total precedence
D: Start-start synchronization
F: End-End synchronization</t>
  </si>
  <si>
    <t>Routing ID of the preceding and suceeding phase.
The routing ID must exist in the SV_ROUTINGS sheet.</t>
  </si>
  <si>
    <t>WO ID of the preceding t WO.</t>
  </si>
  <si>
    <t>Routing ID of the preceding WO.
The routing ID must be the one associated to the WO ID in the SV_WO sheet.</t>
  </si>
  <si>
    <t>Phase code of the preceding WO.</t>
  </si>
  <si>
    <t>Phase code of the preceding phase.</t>
  </si>
  <si>
    <t>Phase code of the succeeeding phase.</t>
  </si>
  <si>
    <t>Precedence type between the two phases:
T: Total precedence
D: Start-start synchronization
F: End-End synchronization</t>
  </si>
  <si>
    <t>A secondary resource is a resource needed during an operation in complement of the machine, e.g. labor.</t>
  </si>
  <si>
    <t>Material ID for the stock movement.
The material ID must exist in the SV_MATERIALS sheet.</t>
  </si>
  <si>
    <t>Date of the stock movement.
The date format must be: dd/mm/yyyy.</t>
  </si>
  <si>
    <t>Stock movement type:
E: To stock
S: From stock</t>
  </si>
  <si>
    <t>A limited resource is a resource available in limited number and shared between multiple operations.</t>
  </si>
  <si>
    <t>Operation ID using the limited resource.
The operation ID must exist in the SV_OPERATIONS sheet.</t>
  </si>
  <si>
    <t>Number of resources used by the operation.</t>
  </si>
  <si>
    <t>Total number of available limited resources.</t>
  </si>
  <si>
    <t>Material ID of the current parameter value.
The material ID must exist in the SV_MATERIALS sheet.</t>
  </si>
  <si>
    <t>Material version of the current parameter value.
The material version must be associated to the Material ID in the SV_MATERIALS sheet.</t>
  </si>
  <si>
    <t>Routing ID of the current parameter value.
The Routing ID must be associated to the Material ID in the SV_MATERIALS sheet.</t>
  </si>
  <si>
    <t>Phase code for the current parameter value.</t>
  </si>
  <si>
    <t>Possible value of the parameter, e.g. temperature value of the parameter temperature.</t>
  </si>
  <si>
    <t>Changeover time betweem two parameter values.</t>
  </si>
  <si>
    <t>Time unit for the changeover time:
J: Days
H: Hours
C: Hundredth of hours</t>
  </si>
  <si>
    <t>Bucket ID</t>
  </si>
  <si>
    <t>Start date</t>
  </si>
  <si>
    <t>End date</t>
  </si>
  <si>
    <t>Start date of the time bucket.</t>
  </si>
  <si>
    <t>End date of the time bucket.</t>
  </si>
  <si>
    <t>Bucket ID for the MPS calculation.
Calculation of the forecasts and sales orders will be based on these periods.</t>
  </si>
  <si>
    <t>Bucket ID for the forecast.
The bucket ID must exist in the SV_MPS_BUCKET sheet.</t>
  </si>
  <si>
    <t>Command line ID of the sales order. 
Each command line represents a different material order for the same sales order ID.
The command line ID must be a number.</t>
  </si>
  <si>
    <t>In mm/dd/yyyy format.</t>
  </si>
  <si>
    <t>Netting rule for MPS calculation:
1: Requirements = forecasts only
2: Requirements = sales order only
3: Requirements = sales order + forecast
4: Requirements = Max(sales order, forecast)</t>
  </si>
  <si>
    <t>Bucket size used to calculate material requirements and group WOs.</t>
  </si>
  <si>
    <t>MRP bucket size</t>
  </si>
  <si>
    <t>Time unit for the MRP bucket size:
J: Day
H: Hour
C: Hundredth of hour</t>
  </si>
  <si>
    <t>DESCRIPTION</t>
  </si>
  <si>
    <t>SV_FOERECAST</t>
  </si>
  <si>
    <t>A parameter is a material characteristic such as temperature, thickness or color.
Parameters can be used to group materials for campaign management or as tool changeovers.</t>
  </si>
  <si>
    <t>A routing describes the steps of a manufacturing process. It is composed of a sequence of phases. Each row represents a phase of a given routing.</t>
  </si>
  <si>
    <t>A WO link is a precedence link between 2 WOs, e.g. precedences constraints or synchonization constraints. Each row represents a different WO link.</t>
  </si>
  <si>
    <t>A MPS bucket is  a time buckets used to calculate the MPS from the forecast and sales order. Each row represents a different time bucket.</t>
  </si>
  <si>
    <t>A sales order is a customer's purchase order. A sales order contains the customer, the material to produce, the quantity and the due date. Each row represents a different sales order.</t>
  </si>
  <si>
    <t>30</t>
  </si>
  <si>
    <t>TEMPERATURE_300</t>
  </si>
  <si>
    <t>Tenmperature 300</t>
  </si>
  <si>
    <t>TEMPERATURE_500</t>
  </si>
  <si>
    <t>Tenmperature 500</t>
  </si>
  <si>
    <t>RAW_MATERIAL</t>
  </si>
  <si>
    <t>MISSING</t>
  </si>
  <si>
    <t>Missing raw material</t>
  </si>
  <si>
    <t>AVAILABLE</t>
  </si>
  <si>
    <t>Available raw material</t>
  </si>
  <si>
    <t>Milling tool</t>
  </si>
  <si>
    <t>TOOL_MILL</t>
  </si>
  <si>
    <t>MILL_FINISH_TOOL</t>
  </si>
  <si>
    <t>Milling and finishing tool</t>
  </si>
  <si>
    <t>TOOL_FINI</t>
  </si>
  <si>
    <t>Finishing tool</t>
  </si>
  <si>
    <t>E</t>
  </si>
  <si>
    <t>TOOL</t>
  </si>
  <si>
    <t>Tool</t>
  </si>
  <si>
    <t>Raw carter replenishment</t>
  </si>
  <si>
    <t>Bucket 1</t>
  </si>
  <si>
    <t>Bucket 2</t>
  </si>
  <si>
    <t>Bucket 3</t>
  </si>
  <si>
    <t>Bucket 4</t>
  </si>
  <si>
    <t>Bucket 5</t>
  </si>
  <si>
    <t>BUCKET 2</t>
  </si>
  <si>
    <t>STD_Gearboxe</t>
  </si>
  <si>
    <t>SPT_Gearboxe</t>
  </si>
  <si>
    <t>BUCKET 3</t>
  </si>
  <si>
    <t>150</t>
  </si>
  <si>
    <t>80</t>
  </si>
  <si>
    <t>120</t>
  </si>
  <si>
    <t>ORDER_1</t>
  </si>
  <si>
    <t>Order 1</t>
  </si>
  <si>
    <t>Client 1</t>
  </si>
  <si>
    <t>50</t>
  </si>
  <si>
    <t>ORDER_2</t>
  </si>
  <si>
    <t>Order 2</t>
  </si>
  <si>
    <t>Client 2</t>
  </si>
  <si>
    <t>PS</t>
  </si>
  <si>
    <t>1. Database selection</t>
  </si>
  <si>
    <t>3. Toolbox usage</t>
  </si>
  <si>
    <t>Advanced functionalities</t>
  </si>
  <si>
    <t>Workflow</t>
  </si>
  <si>
    <t>The goal of this Excel file is to help client's data integration in Ortems.</t>
  </si>
  <si>
    <t>The file is composed of different tabs each representing a different concept, such as machines or materials.</t>
  </si>
  <si>
    <t>To help you fill the tabs, each tab has a generic description and columns are commented if you need further explanations.</t>
  </si>
  <si>
    <t>You can also use the simple examples provided on the right of each tab.</t>
  </si>
  <si>
    <t>In the case you don’t know how to fill your data, don't hesitate to ask your tech-sale.</t>
  </si>
  <si>
    <t>Data entry file</t>
  </si>
  <si>
    <t>If any specific data format is needed, you will find it in the column's comment.</t>
  </si>
  <si>
    <t>- "ID" =&gt; data must be alphanumeric, without spaces.</t>
  </si>
  <si>
    <t>- "Name" =&gt; data can include spaces.</t>
  </si>
  <si>
    <t>Please, also note the following, if the column name contains:</t>
  </si>
  <si>
    <t>- "Date" =&gt; date format is dd/mm/yyyy hh:mm.</t>
  </si>
  <si>
    <t>EXAMPLE</t>
  </si>
  <si>
    <t>ILOT;MACHINE</t>
  </si>
  <si>
    <t>B_V_CODEARTIC;VER_ART</t>
  </si>
  <si>
    <t>CODEARTIC;VER_ART</t>
  </si>
  <si>
    <t>CODEARTIC;NOMG;VER_ART</t>
  </si>
  <si>
    <t>NOMG;NOPHASE</t>
  </si>
  <si>
    <t>NOMG;B_P_NOPHASE</t>
  </si>
  <si>
    <t>CODEARTIC;BES_VER_ART</t>
  </si>
  <si>
    <t>CODEARTIC;VERSION_ART</t>
  </si>
  <si>
    <t>1;2;3</t>
  </si>
  <si>
    <t>2;7</t>
  </si>
  <si>
    <t>01/01/1995 00:00</t>
  </si>
  <si>
    <t>A material version corresponds to the specific routing used for production.
A material can have multiple versions and thus different routings and BOMs.
Versions are defined by a different name or number:
VER_A: Routing A version
02: Routing B version</t>
  </si>
  <si>
    <t>Routing ID associated with the material's version.
The routing ID is needed only for finished or semi-finished products, not for raw materials. 
The routing ID must exist in the SV_ROUTINGS sheet</t>
  </si>
  <si>
    <t>The calendar represents 
the opening of the machine. 
The ID must exist in the SV_CALENDARS sheet.</t>
  </si>
  <si>
    <t>The capacity calendar defines the available capacity of the machine.
It is not the same as the "Calendar ID" accounting only for the opening hours. 
For example, the machine can be opened every morning at 8 a.m., but if there's a setup operation of 1h every morning,
the capacity calendar will start at 9 a.m. as the machine cannot work from 8 to 9.
The capacity calendar ID must exist in the SV_CAPACITY sheet.</t>
  </si>
  <si>
    <t>Operation ID using the secondary resource.
The operation ID must exist in the SV_OPERATIONS sheet.</t>
  </si>
  <si>
    <t>Insertion order ID</t>
  </si>
  <si>
    <t>Capacity calendar ID associated with the resource. 
The capacty calendar defines the working hours and the load availability of the resource.
The capacity calendar ID must exist in the SV_CAPACITY sheet.</t>
  </si>
  <si>
    <t xml:space="preserve">If a quantity load mode is selected in the column "Load mode".
Enter the coefficient value to link the operation quantity to the secondary resource consumption: 
Load = Operation quantity * coefficient
</t>
  </si>
  <si>
    <t xml:space="preserve">If a time load mode is selected in the column "Load mode".
Enter the coefficient value to link the operation duration to the secondary resource consumption: 
Load = Operation duration * coefficient
Example: If an operator works exactly for the same duration as the machine, you will input 1 in this column.
</t>
  </si>
  <si>
    <t>Indiquates if the load is calculated according to the quantity to produce or the operation duration.
Do your resource is consumming time (like labor) or a quantity (like storage space)?
0: Load calculation in time (i.e. secondary resource consuming time)
1: Load calculation in quantity (i.e. secondary resource consuming a quantity)</t>
  </si>
  <si>
    <t>Quantity coefficient</t>
  </si>
  <si>
    <t>Time coefficient</t>
  </si>
  <si>
    <t>Machine ID performing the operation and using the secondary resource.
The Machine ID must exist in the SV_MACHINE sheet.</t>
  </si>
  <si>
    <t>Work center ID performing the opeation and using the secondary resource.
The Work center ID must exist in the SV_MACHINE sheet.</t>
  </si>
  <si>
    <t>Source sheet order ID</t>
  </si>
  <si>
    <t>1012</t>
  </si>
  <si>
    <t>Does the client needs articles to be grouped into different categories, by color or temperature, i.e. campaign management?
Does he need changeover times between tools/machines (Parameters)?  [Yes/No]</t>
  </si>
  <si>
    <t>OPE;ILOT;MACHINE</t>
  </si>
  <si>
    <t>Foreign key SV sheet</t>
  </si>
  <si>
    <t>Foreign key oclumn</t>
  </si>
  <si>
    <t>Primary key SV sheet</t>
  </si>
  <si>
    <t>Primary key column</t>
  </si>
  <si>
    <t>SV sheet</t>
  </si>
  <si>
    <t>Column</t>
  </si>
  <si>
    <t>Format</t>
  </si>
  <si>
    <t>DATE</t>
  </si>
  <si>
    <t>CELL</t>
  </si>
  <si>
    <t>NOF;NOMG</t>
  </si>
  <si>
    <t>A calendar defines the working hours of machines or labor. For a given calendar, you can create as many working shifts you want, e.g. from 8 a.m. to 3 p.m on Monday. Each row represents a working shift of a given calendar.</t>
  </si>
  <si>
    <t>A machine is a resource performing operations. Machines can be grouped in work center if they can perform the same operations. A machine must belong to one work center only. Each row represents a machine.</t>
  </si>
  <si>
    <t>An operation is a step in a production process, such as a phase in a manufacturing routing. An operation is acsociated to a machine, so if an operation can be performed on 3 machines, you will have 3 operation rows. Each row represents an operation performed on a given machine.</t>
  </si>
  <si>
    <t>An material is a product you can buy or manufacture. Each item can have multiple versions, the versions are used to define alternative routings or BOMs, e.g. version A for routing A and version B for routing B. Each row represents a version of a given item.</t>
  </si>
  <si>
    <t>A BOM is the list of materials required to create another material. A BOM is composed of parent material and component material relationships, e.g. material A is used at the phase 10 of the routing R to produce material B. Each row represents a relation betwen a parent and component material.</t>
  </si>
  <si>
    <t>A WO is a production order, it contains the material to produce, the quantity and the due date. WOs can be grouped in series for management purposes, e.g. serie EUR for Europe and serie USA for USA. Each row represents a different WO.</t>
  </si>
  <si>
    <t>A capacity calendar is used to compute the load of the different resources. A capacity calendar is composed of working shifts (like in SV_CALENDARS) and the number of resources. The available load is calculated as Number of hours * Number of resources. Each row represents a working shift of a given calendar.</t>
  </si>
  <si>
    <t>A precedence is the link between 2 phases of a routing. Precedences are used to create non-linear routings or to synchronize phases in a routing, e.g. start-start synchonization. Each row represents a precedence between 2 phases for a given routing.</t>
  </si>
  <si>
    <t>A secondary resource is a resource needed during an operation in complement of the machine, e.g. labor. Secondary resources have a defined load capacity given by the capacity calendar. Each row represents the utilization of a secondary resource for a given operation performed on a machine.</t>
  </si>
  <si>
    <t>A marker is a visual indicator assigned to a WO phase. Markers are used for collaboration between planners or to indicate special events. Each row represents a marker state at a given phase of a given operation.</t>
  </si>
  <si>
    <t>A stock movement is a movement of material in or out of the stock at a given date. Each row represents a stock movement.</t>
  </si>
  <si>
    <t>A limited resources is a resources available in limited number and shared between multiple operations. Limited resources don't have a calendar as they can operate at any time such as tools. Each row represents the utilization of a limited resource for a given operation.</t>
  </si>
  <si>
    <t>A parameter is a material characteristic such as temperature, thickness or color. They can be used to group materials for campaign management or as tool changeovers. Each row represents a parameter state at a given phase of a given routing.</t>
  </si>
  <si>
    <t>A forecast is the sales prediction of a material during a defnied period, in Ortems' case, during a MPS bucket. Each row represents a forecast of a material for a given MPS bucket.</t>
  </si>
  <si>
    <t>A grouping code is a material characteristic used to group them when they are processed by a batch machine, e.g. materials cooking at the same temperature in an oven. Each row represents a different grouping.</t>
  </si>
  <si>
    <t>Foreign key columns</t>
  </si>
  <si>
    <t>Primary key columns</t>
  </si>
  <si>
    <t xml:space="preserve">Optional step: If you want to check that your data is correctly entrered, </t>
  </si>
  <si>
    <t>you can perform an integrity check by clicking on the button below:</t>
  </si>
  <si>
    <t>BT_ART</t>
  </si>
  <si>
    <t>BT_ART2</t>
  </si>
  <si>
    <t>BT_BT</t>
  </si>
  <si>
    <t>BT_BT2</t>
  </si>
  <si>
    <t>BT_LIMI</t>
  </si>
  <si>
    <t>BT_LIMI2</t>
  </si>
  <si>
    <t>BT_PARM</t>
  </si>
  <si>
    <t>BT_PARM2</t>
  </si>
  <si>
    <t>BT_PARMC</t>
  </si>
  <si>
    <t>BT_PARMC2</t>
  </si>
  <si>
    <t>BT_QUAL</t>
  </si>
  <si>
    <t>BT_QUAL_RS</t>
  </si>
  <si>
    <t>BT_QUAL_RS2</t>
  </si>
  <si>
    <t>BT_QUAL2</t>
  </si>
  <si>
    <t>BT_SER</t>
  </si>
  <si>
    <t>BT_SER2</t>
  </si>
  <si>
    <t>BTBL</t>
  </si>
  <si>
    <t>BUREAU</t>
  </si>
  <si>
    <t>BUREAU_FICHIER</t>
  </si>
  <si>
    <t>BUSINESS_CONFIG</t>
  </si>
  <si>
    <t>CADE_LIMI</t>
  </si>
  <si>
    <t>CHARGE_ILOT</t>
  </si>
  <si>
    <t>CHARGE_ILOT2</t>
  </si>
  <si>
    <t>CHARGE_MACH</t>
  </si>
  <si>
    <t>CHARGE_MACH2</t>
  </si>
  <si>
    <t>CHARGE_OPRT</t>
  </si>
  <si>
    <t>CHARGE_OPRT2</t>
  </si>
  <si>
    <t>CHARGE_QUALIF</t>
  </si>
  <si>
    <t>CHARGE_QUALIF2</t>
  </si>
  <si>
    <t>CHARGE_SECT</t>
  </si>
  <si>
    <t>CHARGE_SECT2</t>
  </si>
  <si>
    <t>CHARGE_SER_ILOT</t>
  </si>
  <si>
    <t>CHARGE_SER_ILOT2</t>
  </si>
  <si>
    <t>CRIT_COMPO</t>
  </si>
  <si>
    <t>E_ACHAT</t>
  </si>
  <si>
    <t>E_ACHAT_MARK</t>
  </si>
  <si>
    <t>E_ALIM_STOC</t>
  </si>
  <si>
    <t>E_ALIM_STOC2</t>
  </si>
  <si>
    <t>E_ART_PERI</t>
  </si>
  <si>
    <t>E_ART_PERI2</t>
  </si>
  <si>
    <t>E_CALEND_PERI</t>
  </si>
  <si>
    <t>E_COP</t>
  </si>
  <si>
    <t>E_COP2</t>
  </si>
  <si>
    <t>E_CPP</t>
  </si>
  <si>
    <t>E_CPP2</t>
  </si>
  <si>
    <t>E_DISPATCH</t>
  </si>
  <si>
    <t>E_GROSS_REQ</t>
  </si>
  <si>
    <t>E_GROSS_REQ2</t>
  </si>
  <si>
    <t>E_HISTO_PERF</t>
  </si>
  <si>
    <t>E_HISTO_PERF_INDIC</t>
  </si>
  <si>
    <t>E_HISTO_PERF_INDIC2</t>
  </si>
  <si>
    <t>E_HISTO_PERF2</t>
  </si>
  <si>
    <t>E_MAJ_ACHAT</t>
  </si>
  <si>
    <t>E_NET_REQ</t>
  </si>
  <si>
    <t>E_NET_REQ2</t>
  </si>
  <si>
    <t>E_NOME</t>
  </si>
  <si>
    <t>E_NOME2</t>
  </si>
  <si>
    <t>E_OF_E_OF</t>
  </si>
  <si>
    <t>E_OF_E_OF2</t>
  </si>
  <si>
    <t>E_OF_TYPV</t>
  </si>
  <si>
    <t>E_OF_TYPV2</t>
  </si>
  <si>
    <t>E_OF_VER</t>
  </si>
  <si>
    <t>E_OF_VER2</t>
  </si>
  <si>
    <t>E_OPERAT</t>
  </si>
  <si>
    <t>E_OPERAT2</t>
  </si>
  <si>
    <t>E_REG</t>
  </si>
  <si>
    <t>E_REG2</t>
  </si>
  <si>
    <t>E_RSV_RES</t>
  </si>
  <si>
    <t>E_RSV_RES2</t>
  </si>
  <si>
    <t>E_SER</t>
  </si>
  <si>
    <t>E_SER2</t>
  </si>
  <si>
    <t>E_SPLI</t>
  </si>
  <si>
    <t>E_WRK</t>
  </si>
  <si>
    <t>E_WRK2</t>
  </si>
  <si>
    <t>EFF_MACH</t>
  </si>
  <si>
    <t>EFF_MACH2</t>
  </si>
  <si>
    <t>EFF_QUAL</t>
  </si>
  <si>
    <t>EFF_QUAL_MACH</t>
  </si>
  <si>
    <t>EFF_QUAL_MACH2</t>
  </si>
  <si>
    <t>EFF_QUAL2</t>
  </si>
  <si>
    <t>ELEM_COMPO</t>
  </si>
  <si>
    <t>ENC_CAD</t>
  </si>
  <si>
    <t>ENC_CAD_LIMI</t>
  </si>
  <si>
    <t>ENC_CAD_LIMI2</t>
  </si>
  <si>
    <t>ENC_CAD_QUAL</t>
  </si>
  <si>
    <t>ENC_CAD_QUAL_RS</t>
  </si>
  <si>
    <t>ENC_CAD_QUAL_RS2</t>
  </si>
  <si>
    <t>ENC_CAD_QUAL2</t>
  </si>
  <si>
    <t>ENC_CAD2</t>
  </si>
  <si>
    <t>ENC_EXEMPL</t>
  </si>
  <si>
    <t>ENC_EXEMPL2</t>
  </si>
  <si>
    <t>ENC_NRJ_CAD</t>
  </si>
  <si>
    <t>ENC_NRJ_MACH</t>
  </si>
  <si>
    <t>EVENTS</t>
  </si>
  <si>
    <t>EVENTS_PARAMS</t>
  </si>
  <si>
    <t>I_NOME</t>
  </si>
  <si>
    <t>I_PART</t>
  </si>
  <si>
    <t>I_PARTC</t>
  </si>
  <si>
    <t>I_PREN</t>
  </si>
  <si>
    <t>I_VER_ART</t>
  </si>
  <si>
    <t>ILOT_ENCOURS</t>
  </si>
  <si>
    <t>INFO_ART</t>
  </si>
  <si>
    <t>INFO_MACH</t>
  </si>
  <si>
    <t>INFO_OF</t>
  </si>
  <si>
    <t>INFO_SER</t>
  </si>
  <si>
    <t>JOURNAL</t>
  </si>
  <si>
    <t>LST_JOUR</t>
  </si>
  <si>
    <t>LST_MODL</t>
  </si>
  <si>
    <t>LST_PERI</t>
  </si>
  <si>
    <t>MACH_ENCOURS</t>
  </si>
  <si>
    <t>MACH_PLAN_CAP</t>
  </si>
  <si>
    <t>OF_DEL</t>
  </si>
  <si>
    <t>OF_TYPV</t>
  </si>
  <si>
    <t>P_CEFF_MACH</t>
  </si>
  <si>
    <t>P_CEX_MACH</t>
  </si>
  <si>
    <t>P_CEX_OPRT</t>
  </si>
  <si>
    <t>P_MACH_CAPA</t>
  </si>
  <si>
    <t>P_MACH_CAPA_EXC</t>
  </si>
  <si>
    <t>P_QUAL</t>
  </si>
  <si>
    <t>P_QUAL_CAPA</t>
  </si>
  <si>
    <t>P_QUAL_CAPA_EXC</t>
  </si>
  <si>
    <t>PARM_MACH</t>
  </si>
  <si>
    <t>PLAN_CAP</t>
  </si>
  <si>
    <t>REPORT_PARAMS</t>
  </si>
  <si>
    <t>REPORT_QUERIES</t>
  </si>
  <si>
    <t>REPORT_TYPES</t>
  </si>
  <si>
    <t>REPORTS</t>
  </si>
  <si>
    <t>REPORTS_TEMPLATES</t>
  </si>
  <si>
    <t>RSV_RES</t>
  </si>
  <si>
    <t>S_ART</t>
  </si>
  <si>
    <t>SYS_LOCK</t>
  </si>
  <si>
    <t>SYS_TRACEUSER</t>
  </si>
  <si>
    <t>T_B_PREN</t>
  </si>
  <si>
    <t>TYPM_ILOT</t>
  </si>
  <si>
    <t>TYPM_MACH</t>
  </si>
  <si>
    <t>TYPMC_ILOT</t>
  </si>
  <si>
    <t>USER_TRACE</t>
  </si>
  <si>
    <t>TBL</t>
  </si>
  <si>
    <t>COD</t>
  </si>
  <si>
    <t>LANGUE</t>
  </si>
  <si>
    <t>BT_ART_ENTSOR</t>
  </si>
  <si>
    <t>BT_ART_ENTSOR2</t>
  </si>
  <si>
    <t>TYPEARC</t>
  </si>
  <si>
    <t>TYPEARC2</t>
  </si>
  <si>
    <t>NOM_BUREAU</t>
  </si>
  <si>
    <t>PROP_BUREAU</t>
  </si>
  <si>
    <t>NOM_FICHIER</t>
  </si>
  <si>
    <t>PARAM_SECTION</t>
  </si>
  <si>
    <t>PARAM_ID</t>
  </si>
  <si>
    <t>ILOT_DATE_DEB</t>
  </si>
  <si>
    <t>ILOT_DATE_DEB2</t>
  </si>
  <si>
    <t>MACH_DATE_DEB</t>
  </si>
  <si>
    <t>MACH_DATE_DEB2</t>
  </si>
  <si>
    <t>OPRT_DATE_DEB</t>
  </si>
  <si>
    <t>OPRT_DATE_DEB2</t>
  </si>
  <si>
    <t>QUALIF_DATE_DEB</t>
  </si>
  <si>
    <t>QUALIF_DATE_DEB2</t>
  </si>
  <si>
    <t>SECT_DATE_DEB</t>
  </si>
  <si>
    <t>SECT_DATE_DEB2</t>
  </si>
  <si>
    <t>SER_DATE_DEB</t>
  </si>
  <si>
    <t>SER_DATE_DEB2</t>
  </si>
  <si>
    <t>CRIT_COMPO_NOM</t>
  </si>
  <si>
    <t>CRIT_COMPO_TYPE</t>
  </si>
  <si>
    <t>CRIT_COMPO_MODE</t>
  </si>
  <si>
    <t>EFF_DATE_DEB</t>
  </si>
  <si>
    <t>EFF_DATE_DEB2</t>
  </si>
  <si>
    <t>QUAL_DATE_DEB</t>
  </si>
  <si>
    <t>QUAL_DATE_DEB2</t>
  </si>
  <si>
    <t>EFF_QU_M_DATE_DEB</t>
  </si>
  <si>
    <t>EFF_QU_M_DATE_DEB2</t>
  </si>
  <si>
    <t>CRIT_ELEM_LIBELLE</t>
  </si>
  <si>
    <t>ELEM_COMPO_ORDRE</t>
  </si>
  <si>
    <t>EXEMPLAIRE</t>
  </si>
  <si>
    <t>EXEMPLAIRE2</t>
  </si>
  <si>
    <t>EVT_ID</t>
  </si>
  <si>
    <t>SENS</t>
  </si>
  <si>
    <t>CREAT</t>
  </si>
  <si>
    <t>DAT_MV</t>
  </si>
  <si>
    <t>SENS2</t>
  </si>
  <si>
    <t>CREAT2</t>
  </si>
  <si>
    <t>DAT_MV2</t>
  </si>
  <si>
    <t>TYPE_ENR</t>
  </si>
  <si>
    <t>ART_PERI_DATE_DEB</t>
  </si>
  <si>
    <t>TYPE_ENR2</t>
  </si>
  <si>
    <t>ART_PERI_DATE_DEB2</t>
  </si>
  <si>
    <t>DEBCALEND</t>
  </si>
  <si>
    <t>COP_DATE_DEB</t>
  </si>
  <si>
    <t>COP_DATE_DEB2</t>
  </si>
  <si>
    <t>CPP_DATE_DEB</t>
  </si>
  <si>
    <t>CPP_DATE_FIN</t>
  </si>
  <si>
    <t>CPP_DATE_DEB2</t>
  </si>
  <si>
    <t>CPP_DATE_FIN2</t>
  </si>
  <si>
    <t>TYPE_ATTRIBUTION</t>
  </si>
  <si>
    <t>TYPE_BESOIN</t>
  </si>
  <si>
    <t>DISPATCH_ID1</t>
  </si>
  <si>
    <t>DISPATCH_ID2</t>
  </si>
  <si>
    <t>DATE_DEB_GROSS</t>
  </si>
  <si>
    <t>DATE_FIN_GROSS</t>
  </si>
  <si>
    <t>DATE_DEB_GROSS2</t>
  </si>
  <si>
    <t>DATE_FIN_GROSS2</t>
  </si>
  <si>
    <t>ID_SAUV</t>
  </si>
  <si>
    <t>ID_SAUV2</t>
  </si>
  <si>
    <t>NOM_INDIC</t>
  </si>
  <si>
    <t>NOM_INDIC2</t>
  </si>
  <si>
    <t>MAJ_IDENT_CMD</t>
  </si>
  <si>
    <t>DATE_DEB_NET</t>
  </si>
  <si>
    <t>DATE_FIN_NET</t>
  </si>
  <si>
    <t>DATE_DEB_NET2</t>
  </si>
  <si>
    <t>DATE_FIN_NET2</t>
  </si>
  <si>
    <t>E_O_NOM_ENC</t>
  </si>
  <si>
    <t>E_O_E_NOF</t>
  </si>
  <si>
    <t>E_O_E_NOF2</t>
  </si>
  <si>
    <t>OPERAT_DATE_DEB</t>
  </si>
  <si>
    <t>OPERAT_DATE_DEB2</t>
  </si>
  <si>
    <t>WRK_DATE_DEB</t>
  </si>
  <si>
    <t>WRK_DATE_DEB2</t>
  </si>
  <si>
    <t>I_VER_EFFET_DEBUT</t>
  </si>
  <si>
    <t>I_VER_EFFET_FIN</t>
  </si>
  <si>
    <t>ID</t>
  </si>
  <si>
    <t>MODELE</t>
  </si>
  <si>
    <t>NUM_JOUR</t>
  </si>
  <si>
    <t>DEBUT_PERIODE</t>
  </si>
  <si>
    <t>FIN_PERIODE</t>
  </si>
  <si>
    <t>CEFF_DATE_DEB_MACH</t>
  </si>
  <si>
    <t>CEFF_DATE_FIN_MACH</t>
  </si>
  <si>
    <t>CEX_DATE_DEB_MACH</t>
  </si>
  <si>
    <t>CEX_DATE_FIN_MACH</t>
  </si>
  <si>
    <t>CEX_DATE_DEB_OPRT</t>
  </si>
  <si>
    <t>CEX_DATE_FIN_OPRT</t>
  </si>
  <si>
    <t>DEB_CAPAM_EXC</t>
  </si>
  <si>
    <t>FIN_CAPAM_EXC</t>
  </si>
  <si>
    <t>M_DEBUT_EXC</t>
  </si>
  <si>
    <t>M_FIN_EXC</t>
  </si>
  <si>
    <t>P_QUAL_DATE_DEB</t>
  </si>
  <si>
    <t>P_QUAL_DATE_FIN</t>
  </si>
  <si>
    <t>DEB_CAPAQ_EXC</t>
  </si>
  <si>
    <t>FIN_CAPAQ_EXC</t>
  </si>
  <si>
    <t>Q_DEBUT_EXC</t>
  </si>
  <si>
    <t>Q_FIN_EXC</t>
  </si>
  <si>
    <t>REPORT_NAME</t>
  </si>
  <si>
    <t>REPORT_TYPE</t>
  </si>
  <si>
    <t>PARAM_NAME</t>
  </si>
  <si>
    <t>QUERY_NAME</t>
  </si>
  <si>
    <t>REP_REPORT_NAME</t>
  </si>
  <si>
    <t>REP_QUERY_NAME</t>
  </si>
  <si>
    <t>MODULE</t>
  </si>
  <si>
    <t>CODE</t>
  </si>
  <si>
    <t>CONNECTION_ID</t>
  </si>
  <si>
    <t>T_BT_TYPEPREC</t>
  </si>
  <si>
    <t>T_NUMLIEN</t>
  </si>
  <si>
    <t>TR_ID</t>
  </si>
  <si>
    <t>CRIT_COMPO_LIBELLE</t>
  </si>
  <si>
    <t>ELEM_COMPO_MARGE</t>
  </si>
  <si>
    <t>ELEM_COMPO_POND</t>
  </si>
  <si>
    <t>LST_MODL_DATECRE</t>
  </si>
  <si>
    <t>LST_MODL_DATEMOD</t>
  </si>
  <si>
    <t>LST_MODL_USERCRE</t>
  </si>
  <si>
    <t>LST_MODL_USERMOD</t>
  </si>
  <si>
    <t>NBRE_JOUR</t>
  </si>
  <si>
    <t>NBRE_PERIODE</t>
  </si>
  <si>
    <t>LST_PERI_DATECRE</t>
  </si>
  <si>
    <t>LST_PERI_DATEMOD</t>
  </si>
  <si>
    <t>LST_PERI_USERCRE</t>
  </si>
  <si>
    <t>LST_PERI_USERMOD</t>
  </si>
  <si>
    <t>COCHER</t>
  </si>
  <si>
    <t>LST_JOUR_DATECRE</t>
  </si>
  <si>
    <t>LST_JOUR_DATEMOD</t>
  </si>
  <si>
    <t>LST_JOUR_USERCRE</t>
  </si>
  <si>
    <t>LST_JOUR_USERMOD</t>
  </si>
  <si>
    <t>FINCALEND</t>
  </si>
  <si>
    <t>CADE_LIMI_DATECRE</t>
  </si>
  <si>
    <t>CADE_LIMI_DATEMOD</t>
  </si>
  <si>
    <t>CADE_LIMI_USERCRE</t>
  </si>
  <si>
    <t>CADE_LIMI_USERMOD</t>
  </si>
  <si>
    <t>CADE_NBLIMI</t>
  </si>
  <si>
    <t>RSV_DATECRE</t>
  </si>
  <si>
    <t>RSV_DATEMOD</t>
  </si>
  <si>
    <t>RSV_NBLIMI</t>
  </si>
  <si>
    <t>RSV_USERCRE</t>
  </si>
  <si>
    <t>RSV_USERMOD</t>
  </si>
  <si>
    <t>ILOT_DESC_EXCEPT</t>
  </si>
  <si>
    <t>ILOT_PONDERMAT</t>
  </si>
  <si>
    <t>ILOT_TEMPSCST</t>
  </si>
  <si>
    <t>ILOT_UNITE</t>
  </si>
  <si>
    <t>MACH_DESC_EXCEPT</t>
  </si>
  <si>
    <t>MACH_DUR_MAX</t>
  </si>
  <si>
    <t>MACH_PONDERMAT</t>
  </si>
  <si>
    <t>MACH_TEMPSCST</t>
  </si>
  <si>
    <t>MACH_TPS_DUR</t>
  </si>
  <si>
    <t>MACH_TYPE_MAX</t>
  </si>
  <si>
    <t>MACH_UNITE</t>
  </si>
  <si>
    <t>MACH_UNITE_DUR</t>
  </si>
  <si>
    <t>MACH_UNITE_DUR_MAX</t>
  </si>
  <si>
    <t>TYPMC_DATECRE</t>
  </si>
  <si>
    <t>TYPMC_DATEMOD</t>
  </si>
  <si>
    <t>TYPMC_SENS</t>
  </si>
  <si>
    <t>TYPMC_USERCRE</t>
  </si>
  <si>
    <t>TYPMC_USERMOD</t>
  </si>
  <si>
    <t>PMACH_DATECRE</t>
  </si>
  <si>
    <t>PMACH_DATEMOD</t>
  </si>
  <si>
    <t>PMACH_DUR_MAX</t>
  </si>
  <si>
    <t>PMACH_TPS_DUR</t>
  </si>
  <si>
    <t>PMACH_TYPE_MAX</t>
  </si>
  <si>
    <t>PMACH_UNITE_DUR</t>
  </si>
  <si>
    <t>PMACH_UNITE_DUR_MAX</t>
  </si>
  <si>
    <t>PMACH_USERCRE</t>
  </si>
  <si>
    <t>PMACH_USERMOD</t>
  </si>
  <si>
    <t>I_PARTC_VAL</t>
  </si>
  <si>
    <t>I_LIEN_STOCK</t>
  </si>
  <si>
    <t>I_MODE_UTIL</t>
  </si>
  <si>
    <t>I_NOME_LIENCNX</t>
  </si>
  <si>
    <t>I_NOME_LIENMAT</t>
  </si>
  <si>
    <t>I_NOME_LOI_CALCUL</t>
  </si>
  <si>
    <t>I_NOME_LOI_CONS</t>
  </si>
  <si>
    <t>I_NOME_LOI_PROD</t>
  </si>
  <si>
    <t>I_NOME_PROPPREC</t>
  </si>
  <si>
    <t>I_NOME_TAUXCHEVA</t>
  </si>
  <si>
    <t>I_NOME_TYPEPREC</t>
  </si>
  <si>
    <t>I_QTEINC</t>
  </si>
  <si>
    <t>I_QTENEC</t>
  </si>
  <si>
    <t>I_QTEREF</t>
  </si>
  <si>
    <t>I_RESERVED1</t>
  </si>
  <si>
    <t>I_RESERVED2</t>
  </si>
  <si>
    <t>I_RESERVED3</t>
  </si>
  <si>
    <t>I_RESERVED4</t>
  </si>
  <si>
    <t>I_RESERVED5</t>
  </si>
  <si>
    <t>I_UE_RESERVED1</t>
  </si>
  <si>
    <t>I_UE_RESERVED2</t>
  </si>
  <si>
    <t>I_UE_RESERVED3</t>
  </si>
  <si>
    <t>ACCEPTE</t>
  </si>
  <si>
    <t>ACHAT_FERME</t>
  </si>
  <si>
    <t>DATE_CMD</t>
  </si>
  <si>
    <t>DATE_CREATION</t>
  </si>
  <si>
    <t>DATE_REC</t>
  </si>
  <si>
    <t>ORIGINE</t>
  </si>
  <si>
    <t>QTE_CMD</t>
  </si>
  <si>
    <t>QTE_REC</t>
  </si>
  <si>
    <t>ART_MARQ_DATE_PREV</t>
  </si>
  <si>
    <t>MAJ_ACCEPTE</t>
  </si>
  <si>
    <t>MAJ_ACHAT_FERME</t>
  </si>
  <si>
    <t>MAJ_DATE_CMD</t>
  </si>
  <si>
    <t>MAJ_DATE_CREATION</t>
  </si>
  <si>
    <t>MAJ_DATE_REC</t>
  </si>
  <si>
    <t>MAJ_ORIGINE</t>
  </si>
  <si>
    <t>MAJ_QTE_CMD</t>
  </si>
  <si>
    <t>MAJ_QTE_REC</t>
  </si>
  <si>
    <t>DATE_PREV_CHG</t>
  </si>
  <si>
    <t>C_OF_BLOB1</t>
  </si>
  <si>
    <t>C_OF_NUM1</t>
  </si>
  <si>
    <t>C_OF_NUM2</t>
  </si>
  <si>
    <t>C_OF_NUM3</t>
  </si>
  <si>
    <t>C_OF_NUM4</t>
  </si>
  <si>
    <t>C_OF_NUM5</t>
  </si>
  <si>
    <t>C_OF_STR1</t>
  </si>
  <si>
    <t>C_OF_STR10</t>
  </si>
  <si>
    <t>C_OF_STR2</t>
  </si>
  <si>
    <t>C_OF_STR3</t>
  </si>
  <si>
    <t>C_OF_STR4</t>
  </si>
  <si>
    <t>C_OF_STR5</t>
  </si>
  <si>
    <t>C_OF_STR6</t>
  </si>
  <si>
    <t>C_OF_STR7</t>
  </si>
  <si>
    <t>C_OF_STR8</t>
  </si>
  <si>
    <t>C_OF_STR9</t>
  </si>
  <si>
    <t>L_OF_BLOB1</t>
  </si>
  <si>
    <t>L_OF_NUM1</t>
  </si>
  <si>
    <t>L_OF_NUM2</t>
  </si>
  <si>
    <t>L_OF_NUM3</t>
  </si>
  <si>
    <t>L_OF_NUM4</t>
  </si>
  <si>
    <t>L_OF_NUM5</t>
  </si>
  <si>
    <t>L_OF_STR1</t>
  </si>
  <si>
    <t>L_OF_STR10</t>
  </si>
  <si>
    <t>L_OF_STR2</t>
  </si>
  <si>
    <t>L_OF_STR3</t>
  </si>
  <si>
    <t>L_OF_STR4</t>
  </si>
  <si>
    <t>L_OF_STR5</t>
  </si>
  <si>
    <t>L_OF_STR6</t>
  </si>
  <si>
    <t>L_OF_STR7</t>
  </si>
  <si>
    <t>L_OF_STR8</t>
  </si>
  <si>
    <t>L_OF_STR9</t>
  </si>
  <si>
    <t>C_SER_BLOB1</t>
  </si>
  <si>
    <t>C_SER_NUM1</t>
  </si>
  <si>
    <t>C_SER_NUM2</t>
  </si>
  <si>
    <t>C_SER_NUM3</t>
  </si>
  <si>
    <t>C_SER_NUM4</t>
  </si>
  <si>
    <t>C_SER_NUM5</t>
  </si>
  <si>
    <t>C_SER_STR1</t>
  </si>
  <si>
    <t>C_SER_STR10</t>
  </si>
  <si>
    <t>C_SER_STR2</t>
  </si>
  <si>
    <t>C_SER_STR3</t>
  </si>
  <si>
    <t>C_SER_STR4</t>
  </si>
  <si>
    <t>C_SER_STR5</t>
  </si>
  <si>
    <t>C_SER_STR6</t>
  </si>
  <si>
    <t>C_SER_STR7</t>
  </si>
  <si>
    <t>C_SER_STR8</t>
  </si>
  <si>
    <t>C_SER_STR9</t>
  </si>
  <si>
    <t>L_SER_BLOB1</t>
  </si>
  <si>
    <t>L_SER_NUM1</t>
  </si>
  <si>
    <t>L_SER_NUM2</t>
  </si>
  <si>
    <t>L_SER_NUM3</t>
  </si>
  <si>
    <t>L_SER_NUM4</t>
  </si>
  <si>
    <t>L_SER_NUM5</t>
  </si>
  <si>
    <t>L_SER_STR1</t>
  </si>
  <si>
    <t>L_SER_STR10</t>
  </si>
  <si>
    <t>L_SER_STR2</t>
  </si>
  <si>
    <t>L_SER_STR3</t>
  </si>
  <si>
    <t>L_SER_STR4</t>
  </si>
  <si>
    <t>L_SER_STR5</t>
  </si>
  <si>
    <t>L_SER_STR6</t>
  </si>
  <si>
    <t>L_SER_STR7</t>
  </si>
  <si>
    <t>L_SER_STR8</t>
  </si>
  <si>
    <t>L_SER_STR9</t>
  </si>
  <si>
    <t>C_ART_BLOB1</t>
  </si>
  <si>
    <t>C_ART_NUM1</t>
  </si>
  <si>
    <t>C_ART_NUM2</t>
  </si>
  <si>
    <t>C_ART_NUM3</t>
  </si>
  <si>
    <t>C_ART_NUM4</t>
  </si>
  <si>
    <t>C_ART_NUM5</t>
  </si>
  <si>
    <t>C_ART_STR1</t>
  </si>
  <si>
    <t>C_ART_STR10</t>
  </si>
  <si>
    <t>C_ART_STR2</t>
  </si>
  <si>
    <t>C_ART_STR3</t>
  </si>
  <si>
    <t>C_ART_STR4</t>
  </si>
  <si>
    <t>C_ART_STR5</t>
  </si>
  <si>
    <t>C_ART_STR6</t>
  </si>
  <si>
    <t>C_ART_STR7</t>
  </si>
  <si>
    <t>C_ART_STR8</t>
  </si>
  <si>
    <t>C_ART_STR9</t>
  </si>
  <si>
    <t>L_ART_BLOB1</t>
  </si>
  <si>
    <t>L_ART_NUM1</t>
  </si>
  <si>
    <t>L_ART_NUM2</t>
  </si>
  <si>
    <t>L_ART_NUM3</t>
  </si>
  <si>
    <t>L_ART_NUM4</t>
  </si>
  <si>
    <t>L_ART_NUM5</t>
  </si>
  <si>
    <t>L_ART_STR1</t>
  </si>
  <si>
    <t>L_ART_STR10</t>
  </si>
  <si>
    <t>L_ART_STR2</t>
  </si>
  <si>
    <t>L_ART_STR3</t>
  </si>
  <si>
    <t>L_ART_STR4</t>
  </si>
  <si>
    <t>L_ART_STR5</t>
  </si>
  <si>
    <t>L_ART_STR6</t>
  </si>
  <si>
    <t>L_ART_STR7</t>
  </si>
  <si>
    <t>L_ART_STR8</t>
  </si>
  <si>
    <t>L_ART_STR9</t>
  </si>
  <si>
    <t>C_MACH_BLOB1</t>
  </si>
  <si>
    <t>C_MACH_NUM1</t>
  </si>
  <si>
    <t>C_MACH_NUM2</t>
  </si>
  <si>
    <t>C_MACH_NUM3</t>
  </si>
  <si>
    <t>C_MACH_NUM4</t>
  </si>
  <si>
    <t>C_MACH_NUM5</t>
  </si>
  <si>
    <t>C_MACH_STR1</t>
  </si>
  <si>
    <t>C_MACH_STR10</t>
  </si>
  <si>
    <t>C_MACH_STR2</t>
  </si>
  <si>
    <t>C_MACH_STR3</t>
  </si>
  <si>
    <t>C_MACH_STR4</t>
  </si>
  <si>
    <t>C_MACH_STR5</t>
  </si>
  <si>
    <t>C_MACH_STR6</t>
  </si>
  <si>
    <t>C_MACH_STR7</t>
  </si>
  <si>
    <t>C_MACH_STR8</t>
  </si>
  <si>
    <t>C_MACH_STR9</t>
  </si>
  <si>
    <t>L_MACH_BLOB1</t>
  </si>
  <si>
    <t>L_MACH_NUM1</t>
  </si>
  <si>
    <t>L_MACH_NUM2</t>
  </si>
  <si>
    <t>L_MACH_NUM3</t>
  </si>
  <si>
    <t>L_MACH_NUM4</t>
  </si>
  <si>
    <t>L_MACH_NUM5</t>
  </si>
  <si>
    <t>L_MACH_STR1</t>
  </si>
  <si>
    <t>L_MACH_STR10</t>
  </si>
  <si>
    <t>L_MACH_STR2</t>
  </si>
  <si>
    <t>L_MACH_STR3</t>
  </si>
  <si>
    <t>L_MACH_STR4</t>
  </si>
  <si>
    <t>L_MACH_STR5</t>
  </si>
  <si>
    <t>L_MACH_STR6</t>
  </si>
  <si>
    <t>L_MACH_STR7</t>
  </si>
  <si>
    <t>L_MACH_STR8</t>
  </si>
  <si>
    <t>L_MACH_STR9</t>
  </si>
  <si>
    <t>EVT_CODE</t>
  </si>
  <si>
    <t>EVT_CREATION_DATE</t>
  </si>
  <si>
    <t>EVT_CREATION_USER</t>
  </si>
  <si>
    <t>EVT_STATUS</t>
  </si>
  <si>
    <t>EVT_VALIDATION_DATE</t>
  </si>
  <si>
    <t>EVT_VALIDATION_USER</t>
  </si>
  <si>
    <t>EVT_WRITING_DATE</t>
  </si>
  <si>
    <t>EVT_PARAM_ID</t>
  </si>
  <si>
    <t>EVT_PARAM_NAME</t>
  </si>
  <si>
    <t>EVT_VALUE_BOOLEAN</t>
  </si>
  <si>
    <t>EVT_VALUE_DATE</t>
  </si>
  <si>
    <t>EVT_VALUE_DECIMAL</t>
  </si>
  <si>
    <t>EVT_VALUE_INTEGER</t>
  </si>
  <si>
    <t>EVT_VALUE_STRING</t>
  </si>
  <si>
    <t>LIB_PLAN_CAP</t>
  </si>
  <si>
    <t>CRITERE</t>
  </si>
  <si>
    <t>CRIT_COMP</t>
  </si>
  <si>
    <t>DEFCRIT</t>
  </si>
  <si>
    <t>CRIT_PLAC</t>
  </si>
  <si>
    <t>DEFPLAC</t>
  </si>
  <si>
    <t>CRIT_PLAC_COMP</t>
  </si>
  <si>
    <t>CEX_LIB_PERI_MACH</t>
  </si>
  <si>
    <t>CEX_CALMODIF</t>
  </si>
  <si>
    <t>CEX_LIB_PERI_OPRT</t>
  </si>
  <si>
    <t>P_QUAL_CAPA_UNITE</t>
  </si>
  <si>
    <t>P_QUAL_LIB</t>
  </si>
  <si>
    <t>P_QUAL_NB_OPERAT</t>
  </si>
  <si>
    <t>CEFF_LIB_PERI_MACH</t>
  </si>
  <si>
    <t>MACH_EFFICACITE</t>
  </si>
  <si>
    <t>DESC_CAPA_EXC</t>
  </si>
  <si>
    <t>M_CAPA_QTE</t>
  </si>
  <si>
    <t>M_CAPA_TPS</t>
  </si>
  <si>
    <t>M_DESC_CAPA_EXC</t>
  </si>
  <si>
    <t>M_NB_EXEMPL</t>
  </si>
  <si>
    <t>M_RENDEMENT</t>
  </si>
  <si>
    <t>M_TYPE_MAILLE</t>
  </si>
  <si>
    <t>M_UNIT_TPS</t>
  </si>
  <si>
    <t>Q_CAPA_QTE</t>
  </si>
  <si>
    <t>Q_CAPA_TPS</t>
  </si>
  <si>
    <t>Q_DESC_CAPA_EXC</t>
  </si>
  <si>
    <t>Q_NB_EXEMPL</t>
  </si>
  <si>
    <t>Q_RENDEMENT</t>
  </si>
  <si>
    <t>Q_TYPE_MAILLE</t>
  </si>
  <si>
    <t>Q_UNIT_TPS</t>
  </si>
  <si>
    <t>COUT_TOT</t>
  </si>
  <si>
    <t>DATE_DEB_HOR</t>
  </si>
  <si>
    <t>DATE_ECRITURE</t>
  </si>
  <si>
    <t>DATE_FIN_HOR</t>
  </si>
  <si>
    <t>DATE_FIN_PER_FIGEE</t>
  </si>
  <si>
    <t>DATE_REP_MRP</t>
  </si>
  <si>
    <t>DATE_SUIV_ART</t>
  </si>
  <si>
    <t>EFFICACITE</t>
  </si>
  <si>
    <t>EFFICACITE_CLIENT</t>
  </si>
  <si>
    <t>ILOT_CHARGE_MAXI</t>
  </si>
  <si>
    <t>ILOT_CHARGE_MINI</t>
  </si>
  <si>
    <t>ILOT_OCCUP_MAXI</t>
  </si>
  <si>
    <t>ILOT_OCCUP_MINI</t>
  </si>
  <si>
    <t>LIB_ENCOURS</t>
  </si>
  <si>
    <t>LOCK_SAVE</t>
  </si>
  <si>
    <t>LONGUEUR_HO</t>
  </si>
  <si>
    <t>MACHINE_CHARGE_MAXI</t>
  </si>
  <si>
    <t>MACHINE_CHARGE_MINI</t>
  </si>
  <si>
    <t>MACHINE_OCCUP_MAXI</t>
  </si>
  <si>
    <t>MACHINE_OCCUP_MINI</t>
  </si>
  <si>
    <t>NUM_CHRONO</t>
  </si>
  <si>
    <t>OF_ECOUL_MAXI</t>
  </si>
  <si>
    <t>OF_ECOUL_MINI</t>
  </si>
  <si>
    <t>OF_RETARD_MAXI</t>
  </si>
  <si>
    <t>OF_RETARD_MINI</t>
  </si>
  <si>
    <t>OF_SEJOUR_MAXI</t>
  </si>
  <si>
    <t>OF_SEJOUR_MINI</t>
  </si>
  <si>
    <t>PROPRIETAIRE</t>
  </si>
  <si>
    <t>RETARD_MAXI</t>
  </si>
  <si>
    <t>RETARD_MINI</t>
  </si>
  <si>
    <t>RETARD_MOYEN</t>
  </si>
  <si>
    <t>TAUX_ADH_DAT_DEB_OP</t>
  </si>
  <si>
    <t>TAUX_ADH_DAT_FIN_OF</t>
  </si>
  <si>
    <t>TAUX_ADH_DAT_FIN_OP</t>
  </si>
  <si>
    <t>TAUX_ADH_DAT_FIN_SER</t>
  </si>
  <si>
    <t>TAUX_ADH_QTE_OP</t>
  </si>
  <si>
    <t>TAUX_CHARGE_MAXI</t>
  </si>
  <si>
    <t>TAUX_CHARGE_MINI</t>
  </si>
  <si>
    <t>TAUX_CHARGE_MOYEN</t>
  </si>
  <si>
    <t>TAUX_ECOUL_MAXI</t>
  </si>
  <si>
    <t>TAUX_ECOUL_MINI</t>
  </si>
  <si>
    <t>TAUX_ECOUL_MOYEN</t>
  </si>
  <si>
    <t>TAUX_JUSTE_TPS</t>
  </si>
  <si>
    <t>TAUX_OCCUP_MAXI</t>
  </si>
  <si>
    <t>TAUX_OCCUP_MINI</t>
  </si>
  <si>
    <t>TAUX_OCCUP_MOYEN</t>
  </si>
  <si>
    <t>TAUX_RETARD</t>
  </si>
  <si>
    <t>TEMPS_ATTENTE_MOYEN</t>
  </si>
  <si>
    <t>TEMPS_ATT_OF_MOYEN</t>
  </si>
  <si>
    <t>TEMPS_REGLAGE</t>
  </si>
  <si>
    <t>TEMPS_SEJOUR_MAXI</t>
  </si>
  <si>
    <t>TEMPS_SEJOUR_MINI</t>
  </si>
  <si>
    <t>TEMPS_SEJOUR_MOYEN</t>
  </si>
  <si>
    <t>TYPE_PROP</t>
  </si>
  <si>
    <t>UE_GLOBAL1</t>
  </si>
  <si>
    <t>UE_GLOBAL2</t>
  </si>
  <si>
    <t>UE_GLOBAL3</t>
  </si>
  <si>
    <t>UE_MCHMAX</t>
  </si>
  <si>
    <t>UE_MCHMEAN</t>
  </si>
  <si>
    <t>UE_MCHMIN</t>
  </si>
  <si>
    <t>UE_SERIEMAX</t>
  </si>
  <si>
    <t>UE_SERIEMEAN</t>
  </si>
  <si>
    <t>UE_SERIEMIN</t>
  </si>
  <si>
    <t>UE_WOMAX</t>
  </si>
  <si>
    <t>UE_WOMEAN</t>
  </si>
  <si>
    <t>UE_WOMIN</t>
  </si>
  <si>
    <t>TAUX_CHARGE_MACH</t>
  </si>
  <si>
    <t>TAUX_OCCUP_MACH</t>
  </si>
  <si>
    <t>TEMPS_ATTENT_MACH</t>
  </si>
  <si>
    <t>TEMPS_REGLE_MACH</t>
  </si>
  <si>
    <t>TEMPS_TRAVAILLE</t>
  </si>
  <si>
    <t>UE_INDIC</t>
  </si>
  <si>
    <t>DATE_LANC</t>
  </si>
  <si>
    <t>DUREE_LANC</t>
  </si>
  <si>
    <t>CHEMIN_CRITIQUE</t>
  </si>
  <si>
    <t>E_ALIM_FIGEE</t>
  </si>
  <si>
    <t>E_ALIM_FIGEE_FORCEE</t>
  </si>
  <si>
    <t>NA</t>
  </si>
  <si>
    <t>E_ALIM_LOT</t>
  </si>
  <si>
    <t>E_CODECLIEN</t>
  </si>
  <si>
    <t>E_CODECOUL</t>
  </si>
  <si>
    <t>E_CODEGEST</t>
  </si>
  <si>
    <t>E_CODEGROUP</t>
  </si>
  <si>
    <t>E_CODE_PERI</t>
  </si>
  <si>
    <t>E_CONSOMMABLE</t>
  </si>
  <si>
    <t>E_DATE_DEB_OBJ</t>
  </si>
  <si>
    <t>E_DATE_DEB_PLA_REF</t>
  </si>
  <si>
    <t>E_DATE_FIN_OBJ</t>
  </si>
  <si>
    <t>E_DATE_FIN_PLA_REF</t>
  </si>
  <si>
    <t>E_DELART</t>
  </si>
  <si>
    <t>E_DELGAM</t>
  </si>
  <si>
    <t>E_DELOPE</t>
  </si>
  <si>
    <t>E_DPLUSTOT</t>
  </si>
  <si>
    <t>E_ETATOF</t>
  </si>
  <si>
    <t>E_FPLUSTARD</t>
  </si>
  <si>
    <t>E_LIBEOF</t>
  </si>
  <si>
    <t>E_NOMG</t>
  </si>
  <si>
    <t>E_OF_CH_DESC1</t>
  </si>
  <si>
    <t>E_OF_CH_LIBR1</t>
  </si>
  <si>
    <t>E_OF_C_DUE_DATE</t>
  </si>
  <si>
    <t>E_OF_DATE_DEB_CAL</t>
  </si>
  <si>
    <t>E_OF_DATE_DEB_PLA</t>
  </si>
  <si>
    <t>E_OF_DATE_DEB_VAL</t>
  </si>
  <si>
    <t>E_OF_DATE_FIN_CAL</t>
  </si>
  <si>
    <t>E_OF_DATE_FIN_PLA</t>
  </si>
  <si>
    <t>E_OF_DATE_FIN_VAL</t>
  </si>
  <si>
    <t>E_OF_PCB</t>
  </si>
  <si>
    <t>E_PARTIC</t>
  </si>
  <si>
    <t>E_PRIORITE</t>
  </si>
  <si>
    <t>E_QTE</t>
  </si>
  <si>
    <t>E_RATTACHE_BES</t>
  </si>
  <si>
    <t>E_STATUT_MATIERE</t>
  </si>
  <si>
    <t>E_SUPPR</t>
  </si>
  <si>
    <t>E_TYPEGAM</t>
  </si>
  <si>
    <t>E_TYPEOF</t>
  </si>
  <si>
    <t>JUSTE_A_TEMPS_OF</t>
  </si>
  <si>
    <t>NB_PHASES_ACTIVES</t>
  </si>
  <si>
    <t>NO_SOUS_GRPH</t>
  </si>
  <si>
    <t>OF_LOGIQUE</t>
  </si>
  <si>
    <t>OF_MARQUE</t>
  </si>
  <si>
    <t>QTE_AVT_FRAC</t>
  </si>
  <si>
    <t>QTE_INIT</t>
  </si>
  <si>
    <t>RETARD_OF</t>
  </si>
  <si>
    <t>TAUX_ECOUL_OF</t>
  </si>
  <si>
    <t>TEMPS_ATTENT_OF</t>
  </si>
  <si>
    <t>TEMPS_SEJOUR_OF</t>
  </si>
  <si>
    <t>OF_DATE_PREV</t>
  </si>
  <si>
    <t>QTE_VER</t>
  </si>
  <si>
    <t>TRANSMUTE</t>
  </si>
  <si>
    <t>USED</t>
  </si>
  <si>
    <t>VER_PF</t>
  </si>
  <si>
    <t>E_QTE_FRAC</t>
  </si>
  <si>
    <t>E_RSV_NBLIMI</t>
  </si>
  <si>
    <t>BT_ART_QTE_NEC</t>
  </si>
  <si>
    <t>BT_ART_QTE_REF</t>
  </si>
  <si>
    <t>PARMC_VAL</t>
  </si>
  <si>
    <t>BT_LIMI_NBLIMI</t>
  </si>
  <si>
    <t>BT_QUAL_CODEAFFEC</t>
  </si>
  <si>
    <t>BT_QUAL_EFFECTMAX</t>
  </si>
  <si>
    <t>BT_QUAL_EFFECTMIN</t>
  </si>
  <si>
    <t>BT_QUAL_EFFECTREG</t>
  </si>
  <si>
    <t>ENC_CAD_CODEBASET</t>
  </si>
  <si>
    <t>ENC_CAD_CODEBASET_CHARGE</t>
  </si>
  <si>
    <t>ENC_CAD_CSINITIAL</t>
  </si>
  <si>
    <t>ENC_CAD_CSMINIMAL</t>
  </si>
  <si>
    <t>ENC_CAD_CST_CHARGE</t>
  </si>
  <si>
    <t>ENC_CAD_DURE_INIT</t>
  </si>
  <si>
    <t>ENC_CAD_DURREAL</t>
  </si>
  <si>
    <t>ENC_CAD_DURREAL_CHARGE</t>
  </si>
  <si>
    <t>ENC_CAD_EFFECTMAX</t>
  </si>
  <si>
    <t>ENC_CAD_EFFECTMIN</t>
  </si>
  <si>
    <t>ENC_CAD_EFFECTSTAN</t>
  </si>
  <si>
    <t>ENC_CAD_MODE_CHARGE</t>
  </si>
  <si>
    <t>ENC_CAD_MONTEE_CAD</t>
  </si>
  <si>
    <t>ENC_CAD_PRIORITE</t>
  </si>
  <si>
    <t>ENC_CAD_QTE_FCT</t>
  </si>
  <si>
    <t>ENC_CAD_NBLIMI</t>
  </si>
  <si>
    <t>CAD_Q_CODEAFFEC</t>
  </si>
  <si>
    <t>CAD_Q_EFFECTMAX</t>
  </si>
  <si>
    <t>CAD_Q_EFFECTMIN</t>
  </si>
  <si>
    <t>CAD_Q_EFFECTREG</t>
  </si>
  <si>
    <t>ALT_ACTIVE</t>
  </si>
  <si>
    <t>COP_DATE_FIN</t>
  </si>
  <si>
    <t>COP_DUREE</t>
  </si>
  <si>
    <t>COP_QTE</t>
  </si>
  <si>
    <t>DUREE_CHG</t>
  </si>
  <si>
    <t>D_DEB_CHG</t>
  </si>
  <si>
    <t>D_FIN_CHG</t>
  </si>
  <si>
    <t>REGL_ARR</t>
  </si>
  <si>
    <t>REGL_DEP</t>
  </si>
  <si>
    <t>LIB_MV</t>
  </si>
  <si>
    <t>QTE_ALIM_S</t>
  </si>
  <si>
    <t>QTE_CONSO_S</t>
  </si>
  <si>
    <t>CONSO_FIXE_NRJ_MACH</t>
  </si>
  <si>
    <t>OBLIG_NRJ_MACH</t>
  </si>
  <si>
    <t>PARAM_BATCH_CAD</t>
  </si>
  <si>
    <t>SEUIL_NRJ_MACH</t>
  </si>
  <si>
    <t>UTIL_NRJ_MACH</t>
  </si>
  <si>
    <t>VAL_MAX_NRJ_MACH</t>
  </si>
  <si>
    <t>VAL_NRJ_MACH</t>
  </si>
  <si>
    <t>ENC_NRJ_CAD_OBLIG</t>
  </si>
  <si>
    <t>ENC_NRJ_CAD_UTIL</t>
  </si>
  <si>
    <t>PARAM_BATCH_MAX_ENC</t>
  </si>
  <si>
    <t>PARAM_BATCH_MIN_ENC</t>
  </si>
  <si>
    <t>TAUX_CONV_NRJ</t>
  </si>
  <si>
    <t>TAUX_CONV_PARAM</t>
  </si>
  <si>
    <t>VAL_ENC_NRJ_CAD</t>
  </si>
  <si>
    <t>CHEMIN_CRITIQUE2</t>
  </si>
  <si>
    <t>COEFF_RND2</t>
  </si>
  <si>
    <t>CST_RND2</t>
  </si>
  <si>
    <t>E_ALIM_FIGEE2</t>
  </si>
  <si>
    <t>E_ALIM_FIGEE_FORCEE2</t>
  </si>
  <si>
    <t>E_ALIM_LOT2</t>
  </si>
  <si>
    <t>E_CODECLIEN2</t>
  </si>
  <si>
    <t>E_CODECOUL2</t>
  </si>
  <si>
    <t>E_CODEGEST2</t>
  </si>
  <si>
    <t>E_CODEGROUP2</t>
  </si>
  <si>
    <t>E_CODE_PERI2</t>
  </si>
  <si>
    <t>E_CONSOMMABLE2</t>
  </si>
  <si>
    <t>E_DATE_DEB_OBJ2</t>
  </si>
  <si>
    <t>E_DATE_DEB_PLA_REF2</t>
  </si>
  <si>
    <t>E_DATE_FIN_OBJ2</t>
  </si>
  <si>
    <t>E_DATE_FIN_PLA_REF2</t>
  </si>
  <si>
    <t>E_DELART2</t>
  </si>
  <si>
    <t>E_DELGAM2</t>
  </si>
  <si>
    <t>E_DELOPE2</t>
  </si>
  <si>
    <t>E_DPLUSTOT2</t>
  </si>
  <si>
    <t>E_ETATOF2</t>
  </si>
  <si>
    <t>E_FPLUSTARD2</t>
  </si>
  <si>
    <t>E_LIBEOF2</t>
  </si>
  <si>
    <t>E_NOMG2</t>
  </si>
  <si>
    <t>E_OF_CH_DESC12</t>
  </si>
  <si>
    <t>E_OF_CH_LIBR12</t>
  </si>
  <si>
    <t>E_OF_C_DUE_DATE2</t>
  </si>
  <si>
    <t>E_OF_DATE_DEB_CAL2</t>
  </si>
  <si>
    <t>E_OF_DATE_DEB_PLA2</t>
  </si>
  <si>
    <t>E_OF_DATE_DEB_VAL2</t>
  </si>
  <si>
    <t>E_OF_DATE_FIN_CAL2</t>
  </si>
  <si>
    <t>E_OF_DATE_FIN_PLA2</t>
  </si>
  <si>
    <t>E_OF_DATE_FIN_VAL2</t>
  </si>
  <si>
    <t>E_OF_PCB2</t>
  </si>
  <si>
    <t>E_PARTIC2</t>
  </si>
  <si>
    <t>E_PRIORITE2</t>
  </si>
  <si>
    <t>E_QTE2</t>
  </si>
  <si>
    <t>E_RATTACHE_BES2</t>
  </si>
  <si>
    <t>E_STATUT_MATIERE2</t>
  </si>
  <si>
    <t>E_SUPPR2</t>
  </si>
  <si>
    <t>E_TYPEGAM2</t>
  </si>
  <si>
    <t>E_TYPEOF2</t>
  </si>
  <si>
    <t>JUSTE_A_TEMPS_OF2</t>
  </si>
  <si>
    <t>NB_PHASES_ACTIVES2</t>
  </si>
  <si>
    <t>NO_SOUS_GRPH2</t>
  </si>
  <si>
    <t>OF_LOGIQUE2</t>
  </si>
  <si>
    <t>OF_MARQUE2</t>
  </si>
  <si>
    <t>QTE_AVT_FRAC2</t>
  </si>
  <si>
    <t>QTE_INIT2</t>
  </si>
  <si>
    <t>RETARD_OF2</t>
  </si>
  <si>
    <t>TAUX_ECOUL_OF2</t>
  </si>
  <si>
    <t>TEMPS_ATTENT_OF2</t>
  </si>
  <si>
    <t>TEMPS_SEJOUR_OF2</t>
  </si>
  <si>
    <t>UE_INDIC2</t>
  </si>
  <si>
    <t>VER_UPD2</t>
  </si>
  <si>
    <t>OF_DATE_PREV2</t>
  </si>
  <si>
    <t>QTE_VER2</t>
  </si>
  <si>
    <t>TRANSMUTE2</t>
  </si>
  <si>
    <t>USED2</t>
  </si>
  <si>
    <t>VER_FIGEE2</t>
  </si>
  <si>
    <t>VER_PF2</t>
  </si>
  <si>
    <t>E_RSV_NBLIMI2</t>
  </si>
  <si>
    <t>BT_ART_QTE_NEC2</t>
  </si>
  <si>
    <t>BT_ART_QTE_REF2</t>
  </si>
  <si>
    <t>PARMC_VAL2</t>
  </si>
  <si>
    <t>BT_LIMI_NBLIMI2</t>
  </si>
  <si>
    <t>BT_QUAL_CODEAFFEC2</t>
  </si>
  <si>
    <t>BT_QUAL_EFFECTMAX2</t>
  </si>
  <si>
    <t>BT_QUAL_EFFECTMIN2</t>
  </si>
  <si>
    <t>BT_QUAL_EFFECTREG2</t>
  </si>
  <si>
    <t>ENC_CAD_CODEBASET2</t>
  </si>
  <si>
    <t>ENC_CAD_CODEBASET_CHARGE2</t>
  </si>
  <si>
    <t>ENC_CAD_CSINITIAL2</t>
  </si>
  <si>
    <t>ENC_CAD_CSMINIMAL2</t>
  </si>
  <si>
    <t>ENC_CAD_CST_CHARGE2</t>
  </si>
  <si>
    <t>ENC_CAD_DURE_INIT2</t>
  </si>
  <si>
    <t>ENC_CAD_DURREAL2</t>
  </si>
  <si>
    <t>ENC_CAD_DURREAL_CHARGE2</t>
  </si>
  <si>
    <t>ENC_CAD_EFFECTMAX2</t>
  </si>
  <si>
    <t>ENC_CAD_EFFECTMIN2</t>
  </si>
  <si>
    <t>ENC_CAD_EFFECTSTAN2</t>
  </si>
  <si>
    <t>ENC_CAD_MODE_CHARGE2</t>
  </si>
  <si>
    <t>ENC_CAD_MONTEE_CAD2</t>
  </si>
  <si>
    <t>ENC_CAD_PRIORITE2</t>
  </si>
  <si>
    <t>ENC_CAD_QTE_FCT2</t>
  </si>
  <si>
    <t>ENC_CAD_NBLIMI2</t>
  </si>
  <si>
    <t>CAD_Q_CODEAFFEC2</t>
  </si>
  <si>
    <t>CAD_Q_EFFECTMAX2</t>
  </si>
  <si>
    <t>CAD_Q_EFFECTMIN2</t>
  </si>
  <si>
    <t>CAD_Q_EFFECTREG2</t>
  </si>
  <si>
    <t>ALT_ACTIVE2</t>
  </si>
  <si>
    <t>ALT_PRIORITE2</t>
  </si>
  <si>
    <t>CST_DUR2</t>
  </si>
  <si>
    <t>CST_QTE2</t>
  </si>
  <si>
    <t>VAL_DUR2</t>
  </si>
  <si>
    <t>VAL_QTE2</t>
  </si>
  <si>
    <t>LIB_MV2</t>
  </si>
  <si>
    <t>QTE_ALIM_S2</t>
  </si>
  <si>
    <t>QTE_CONSO_S2</t>
  </si>
  <si>
    <t>S_ART_QTE</t>
  </si>
  <si>
    <t>S_SECURITE_A</t>
  </si>
  <si>
    <t>S_SECURITE_REF</t>
  </si>
  <si>
    <t>LIB_TYPE</t>
  </si>
  <si>
    <t>CANMODIFY</t>
  </si>
  <si>
    <t>REPORT_DEFINED</t>
  </si>
  <si>
    <t>REPORT_LIB</t>
  </si>
  <si>
    <t>REPORT</t>
  </si>
  <si>
    <t>REPORT_TEMPLATE</t>
  </si>
  <si>
    <t>PARAM_DEFAULT</t>
  </si>
  <si>
    <t>PARAM_DESC</t>
  </si>
  <si>
    <t>PARAM_LKP_ATTR</t>
  </si>
  <si>
    <t>PARAM_LKP_ENT</t>
  </si>
  <si>
    <t>PARAM_LKP_FIELD</t>
  </si>
  <si>
    <t>PARAM_LKP_TABLE</t>
  </si>
  <si>
    <t>QUERY_DESC</t>
  </si>
  <si>
    <t>QUERY_MASTER</t>
  </si>
  <si>
    <t>QUERY_SQL</t>
  </si>
  <si>
    <t>01/01/2050 00:00</t>
  </si>
  <si>
    <t xml:space="preserve"> </t>
  </si>
  <si>
    <t>2.Model generation</t>
  </si>
  <si>
    <t>1505</t>
  </si>
  <si>
    <t>1507</t>
  </si>
  <si>
    <t>1508</t>
  </si>
  <si>
    <t>1509</t>
  </si>
  <si>
    <t>1510</t>
  </si>
  <si>
    <t>1504</t>
  </si>
  <si>
    <t>1506</t>
  </si>
  <si>
    <t>3001</t>
  </si>
  <si>
    <t>3002</t>
  </si>
  <si>
    <t>3003</t>
  </si>
  <si>
    <t>3004</t>
  </si>
  <si>
    <t>3005</t>
  </si>
  <si>
    <t>4001</t>
  </si>
  <si>
    <t>4002</t>
  </si>
  <si>
    <t>4003</t>
  </si>
  <si>
    <t>4006</t>
  </si>
  <si>
    <t>4004</t>
  </si>
  <si>
    <t>4005</t>
  </si>
  <si>
    <t>4501</t>
  </si>
  <si>
    <t>4502</t>
  </si>
  <si>
    <t>4503</t>
  </si>
  <si>
    <t>4504</t>
  </si>
  <si>
    <t>4505</t>
  </si>
  <si>
    <t>4506</t>
  </si>
  <si>
    <t>4507</t>
  </si>
  <si>
    <t>6503</t>
  </si>
  <si>
    <t>6501</t>
  </si>
  <si>
    <t>6502</t>
  </si>
  <si>
    <t>6504</t>
  </si>
  <si>
    <t>6505</t>
  </si>
  <si>
    <t>6506</t>
  </si>
  <si>
    <t>6507</t>
  </si>
  <si>
    <t>6509</t>
  </si>
  <si>
    <t>6508</t>
  </si>
  <si>
    <t>6510</t>
  </si>
  <si>
    <t>6511</t>
  </si>
  <si>
    <t>1511</t>
  </si>
  <si>
    <t>1512</t>
  </si>
  <si>
    <t>1513</t>
  </si>
  <si>
    <t>1514</t>
  </si>
  <si>
    <t>7001</t>
  </si>
  <si>
    <t>7002</t>
  </si>
  <si>
    <t>7003</t>
  </si>
  <si>
    <t>7004</t>
  </si>
  <si>
    <t>7005</t>
  </si>
  <si>
    <t>7006</t>
  </si>
  <si>
    <t>7007</t>
  </si>
  <si>
    <t>3501</t>
  </si>
  <si>
    <t>3502</t>
  </si>
  <si>
    <t>3503</t>
  </si>
  <si>
    <t>3504</t>
  </si>
  <si>
    <t>3505</t>
  </si>
  <si>
    <t>3506</t>
  </si>
  <si>
    <t>2001</t>
  </si>
  <si>
    <t>2002</t>
  </si>
  <si>
    <t>2003</t>
  </si>
  <si>
    <t>2004</t>
  </si>
  <si>
    <t>2005</t>
  </si>
  <si>
    <t>2006</t>
  </si>
  <si>
    <t>2007</t>
  </si>
  <si>
    <t>2008</t>
  </si>
  <si>
    <t>2009</t>
  </si>
  <si>
    <t>2010</t>
  </si>
  <si>
    <t>9001</t>
  </si>
  <si>
    <t>9002</t>
  </si>
  <si>
    <t>9003</t>
  </si>
  <si>
    <t>9004</t>
  </si>
  <si>
    <t>9005</t>
  </si>
  <si>
    <t>9501</t>
  </si>
  <si>
    <t>9502</t>
  </si>
  <si>
    <t>9503</t>
  </si>
  <si>
    <t>9504</t>
  </si>
  <si>
    <t>9505</t>
  </si>
  <si>
    <t>9506</t>
  </si>
  <si>
    <t>2501</t>
  </si>
  <si>
    <t>2502</t>
  </si>
  <si>
    <t>2503</t>
  </si>
  <si>
    <t>2504</t>
  </si>
  <si>
    <t>2505</t>
  </si>
  <si>
    <t>5001</t>
  </si>
  <si>
    <t>5002</t>
  </si>
  <si>
    <t>5004</t>
  </si>
  <si>
    <t>5005</t>
  </si>
  <si>
    <t>5006</t>
  </si>
  <si>
    <t>5007</t>
  </si>
  <si>
    <t>5009</t>
  </si>
  <si>
    <t>5010</t>
  </si>
  <si>
    <t>5011</t>
  </si>
  <si>
    <t>5012</t>
  </si>
  <si>
    <t>5501</t>
  </si>
  <si>
    <t>5502</t>
  </si>
  <si>
    <t>5503</t>
  </si>
  <si>
    <t>5504</t>
  </si>
  <si>
    <t>5505</t>
  </si>
  <si>
    <t>5506</t>
  </si>
  <si>
    <t>3507</t>
  </si>
  <si>
    <t>3509</t>
  </si>
  <si>
    <t>3510</t>
  </si>
  <si>
    <t>3508</t>
  </si>
  <si>
    <t>7501</t>
  </si>
  <si>
    <t>7502</t>
  </si>
  <si>
    <t>7503</t>
  </si>
  <si>
    <t>8001</t>
  </si>
  <si>
    <t>8002</t>
  </si>
  <si>
    <t>8003</t>
  </si>
  <si>
    <t>8004</t>
  </si>
  <si>
    <t>8501</t>
  </si>
  <si>
    <t>8502</t>
  </si>
  <si>
    <t>8503</t>
  </si>
  <si>
    <t>8504</t>
  </si>
  <si>
    <t>8506</t>
  </si>
  <si>
    <t>8507</t>
  </si>
  <si>
    <t>8508</t>
  </si>
  <si>
    <t>8505</t>
  </si>
  <si>
    <t>6001</t>
  </si>
  <si>
    <t>6002</t>
  </si>
  <si>
    <t>6003</t>
  </si>
  <si>
    <t>6004</t>
  </si>
  <si>
    <t>1515</t>
  </si>
  <si>
    <t>A continuous parameters are parameters varying continously, e.g. a growing weight. Each row represents a continuous parameter value at a given phase of a given routing.</t>
  </si>
  <si>
    <t>SV_C_PARAMETERS_RANGE</t>
  </si>
  <si>
    <t>A continuous parameters are parameters varying continously, e.g. a growing weight. Each row represents a continuous parameter range used for changeover times.</t>
  </si>
  <si>
    <t>Continuous parameter ID</t>
  </si>
  <si>
    <t>Continuous parameter name</t>
  </si>
  <si>
    <t>5601</t>
  </si>
  <si>
    <t>5602</t>
  </si>
  <si>
    <t>5603</t>
  </si>
  <si>
    <t>5604</t>
  </si>
  <si>
    <t>5605</t>
  </si>
  <si>
    <t>5606</t>
  </si>
  <si>
    <t>104</t>
  </si>
  <si>
    <t>5507</t>
  </si>
  <si>
    <t>5508</t>
  </si>
  <si>
    <t>Time unit</t>
  </si>
  <si>
    <t>Module ID list</t>
  </si>
  <si>
    <t>0501</t>
  </si>
  <si>
    <t>0502</t>
  </si>
  <si>
    <t>0503</t>
  </si>
  <si>
    <t>0504</t>
  </si>
  <si>
    <t>0505</t>
  </si>
  <si>
    <t>0506</t>
  </si>
  <si>
    <t>0507</t>
  </si>
  <si>
    <t>0508</t>
  </si>
  <si>
    <t xml:space="preserve">Customer data template name: </t>
  </si>
  <si>
    <t>00:00</t>
  </si>
  <si>
    <t>Working hours start time.
In 24h format: 14:00.
Days are from 00:00 to 23:59.</t>
  </si>
  <si>
    <t>Working hours end time. 
In 24h format:17:00.
Days are from 00:00 to 23:59.</t>
  </si>
  <si>
    <t>Toolbox v2.0.1 - Customer data template.xlsm</t>
  </si>
  <si>
    <t>B_O_NOF;B_P_NOMG</t>
  </si>
  <si>
    <t>B_P_NOMG;B_P_NOPHASE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</si>
</sst>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b/>
      <sz val="18"/>
      <color theme="0"/>
      <name val="Calibri"/>
      <family val="2"/>
      <scheme val="minor"/>
    </font>
    <font>
      <b/>
      <sz val="24"/>
      <color theme="0"/>
      <name val="Calibri"/>
      <family val="2"/>
      <scheme val="minor"/>
    </font>
    <font>
      <b/>
      <sz val="14"/>
      <color theme="1"/>
      <name val="Calibri"/>
      <family val="2"/>
      <scheme val="minor"/>
    </font>
    <font>
      <sz val="11"/>
      <color rgb="FFFF0000"/>
      <name val="Calibri"/>
      <family val="2"/>
      <scheme val="minor"/>
    </font>
    <font>
      <sz val="9"/>
      <color indexed="81"/>
      <name val="Tahoma"/>
      <family val="2"/>
    </font>
    <font>
      <b/>
      <sz val="12"/>
      <color theme="1"/>
      <name val="Calibri"/>
      <family val="2"/>
      <scheme val="minor"/>
    </font>
    <font>
      <b/>
      <sz val="11"/>
      <color theme="1"/>
      <name val="Calibri"/>
      <family val="2"/>
      <scheme val="minor"/>
    </font>
    <font>
      <b/>
      <sz val="16"/>
      <color theme="1"/>
      <name val="Calibri"/>
      <family val="2"/>
      <scheme val="minor"/>
    </font>
    <font>
      <sz val="9"/>
      <color indexed="81"/>
      <name val="Tahoma"/>
      <charset val="1"/>
    </font>
  </fonts>
  <fills count="9">
    <fill>
      <patternFill patternType="none"/>
    </fill>
    <fill>
      <patternFill patternType="gray125"/>
    </fill>
    <fill>
      <patternFill patternType="solid">
        <fgColor rgb="FFFF0000"/>
        <bgColor indexed="64"/>
      </patternFill>
    </fill>
    <fill>
      <patternFill patternType="solid">
        <fgColor theme="6"/>
        <bgColor indexed="64"/>
      </patternFill>
    </fill>
    <fill>
      <patternFill patternType="solid">
        <fgColor theme="1" tint="0.249977111117893"/>
        <bgColor indexed="64"/>
      </patternFill>
    </fill>
    <fill>
      <patternFill patternType="solid">
        <fgColor theme="0"/>
        <bgColor indexed="64"/>
      </patternFill>
    </fill>
    <fill>
      <patternFill patternType="solid">
        <fgColor theme="8"/>
        <bgColor indexed="64"/>
      </patternFill>
    </fill>
    <fill>
      <patternFill patternType="solid">
        <fgColor theme="4" tint="-0.249977111117893"/>
        <bgColor indexed="64"/>
      </patternFill>
    </fill>
    <fill>
      <patternFill patternType="solid">
        <fgColor theme="0" tint="-0.34998626667073579"/>
        <bgColor indexed="64"/>
      </patternFill>
    </fill>
  </fills>
  <borders count="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69">
    <xf numFmtId="0" fontId="0" fillId="0" borderId="0" xfId="0"/>
    <xf numFmtId="49" fontId="0" fillId="0" borderId="0" xfId="0" applyNumberFormat="1"/>
    <xf numFmtId="49" fontId="1" fillId="2" borderId="0" xfId="0" applyNumberFormat="1" applyFont="1" applyFill="1" applyAlignment="1">
      <alignment horizontal="center" vertical="center"/>
    </xf>
    <xf numFmtId="0" fontId="0" fillId="5" borderId="0" xfId="0" applyFill="1"/>
    <xf numFmtId="49" fontId="0" fillId="4" borderId="0" xfId="0" applyNumberFormat="1" applyFill="1"/>
    <xf numFmtId="0" fontId="2" fillId="6" borderId="0" xfId="0" applyFont="1" applyFill="1"/>
    <xf numFmtId="0" fontId="3" fillId="3" borderId="0" xfId="0" applyFont="1" applyFill="1"/>
    <xf numFmtId="49" fontId="1" fillId="0" borderId="0" xfId="0" applyNumberFormat="1" applyFont="1" applyFill="1" applyAlignment="1">
      <alignment horizontal="center" vertical="center"/>
    </xf>
    <xf numFmtId="49" fontId="0" fillId="0" borderId="0" xfId="0" applyNumberFormat="1" applyAlignment="1">
      <alignment horizontal="left"/>
    </xf>
    <xf numFmtId="49" fontId="0" fillId="0" borderId="0" xfId="0" applyNumberFormat="1" applyFont="1" applyAlignment="1"/>
    <xf numFmtId="0" fontId="0" fillId="0" borderId="0" xfId="0" applyNumberFormat="1"/>
    <xf numFmtId="49" fontId="0" fillId="0" borderId="0" xfId="0" applyNumberFormat="1" applyFont="1" applyAlignment="1">
      <alignment horizontal="left"/>
    </xf>
    <xf numFmtId="49" fontId="0" fillId="0" borderId="0" xfId="0" applyNumberFormat="1" applyAlignment="1"/>
    <xf numFmtId="49" fontId="0" fillId="0" borderId="0" xfId="0" applyNumberFormat="1" applyFont="1" applyFill="1" applyAlignment="1">
      <alignment horizontal="left" vertical="center"/>
    </xf>
    <xf numFmtId="49" fontId="1" fillId="2" borderId="0" xfId="0" applyNumberFormat="1" applyFont="1" applyFill="1" applyAlignment="1">
      <alignment vertical="center"/>
    </xf>
    <xf numFmtId="0" fontId="6" fillId="5" borderId="0" xfId="0" applyFont="1" applyFill="1"/>
    <xf numFmtId="0" fontId="0" fillId="5" borderId="0" xfId="0" applyFont="1" applyFill="1" applyAlignment="1">
      <alignment horizontal="left"/>
    </xf>
    <xf numFmtId="0" fontId="0" fillId="5" borderId="0" xfId="0" applyFill="1" applyBorder="1"/>
    <xf numFmtId="49" fontId="0" fillId="5" borderId="0" xfId="0" applyNumberFormat="1" applyFill="1" applyBorder="1"/>
    <xf numFmtId="0" fontId="0" fillId="5" borderId="0" xfId="0" applyFont="1" applyFill="1" applyBorder="1"/>
    <xf numFmtId="49" fontId="0" fillId="0" borderId="0" xfId="0" applyNumberFormat="1" applyFont="1"/>
    <xf numFmtId="0" fontId="0" fillId="0" borderId="0" xfId="0" applyNumberFormat="1" applyAlignment="1">
      <alignment horizontal="right"/>
    </xf>
    <xf numFmtId="49" fontId="0" fillId="0" borderId="0" xfId="0" applyNumberFormat="1" applyAlignment="1">
      <alignment horizontal="right"/>
    </xf>
    <xf numFmtId="49" fontId="7" fillId="0" borderId="0" xfId="0" applyNumberFormat="1" applyFont="1"/>
    <xf numFmtId="49" fontId="7" fillId="0" borderId="0" xfId="0" applyNumberFormat="1" applyFont="1" applyAlignment="1">
      <alignment horizontal="left"/>
    </xf>
    <xf numFmtId="49" fontId="7" fillId="0" borderId="0" xfId="0" applyNumberFormat="1" applyFont="1" applyAlignment="1"/>
    <xf numFmtId="49" fontId="0" fillId="0" borderId="0" xfId="0" applyNumberFormat="1" applyAlignment="1">
      <alignment horizontal="center"/>
    </xf>
    <xf numFmtId="0" fontId="0" fillId="7" borderId="0" xfId="0" applyFill="1" applyBorder="1"/>
    <xf numFmtId="14" fontId="0" fillId="5" borderId="0" xfId="0" applyNumberFormat="1" applyFill="1" applyBorder="1"/>
    <xf numFmtId="0" fontId="1" fillId="7" borderId="0" xfId="0" applyFont="1" applyFill="1" applyBorder="1" applyAlignment="1">
      <alignment horizontal="left" vertical="center"/>
    </xf>
    <xf numFmtId="0" fontId="3" fillId="0" borderId="0" xfId="0" applyFont="1" applyFill="1"/>
    <xf numFmtId="49" fontId="0" fillId="2" borderId="0" xfId="0" applyNumberFormat="1" applyFill="1"/>
    <xf numFmtId="49" fontId="1" fillId="2" borderId="0" xfId="0" applyNumberFormat="1" applyFont="1" applyFill="1"/>
    <xf numFmtId="49" fontId="0" fillId="0" borderId="0" xfId="0" applyNumberFormat="1" applyFill="1"/>
    <xf numFmtId="0" fontId="9" fillId="5" borderId="0" xfId="0" applyFont="1" applyFill="1" applyAlignment="1">
      <alignment horizontal="left"/>
    </xf>
    <xf numFmtId="0" fontId="9" fillId="5" borderId="0" xfId="0" applyFont="1" applyFill="1"/>
    <xf numFmtId="0" fontId="3" fillId="5" borderId="0" xfId="0" applyFont="1" applyFill="1" applyBorder="1"/>
    <xf numFmtId="0" fontId="0" fillId="8" borderId="0" xfId="0" applyFill="1" applyBorder="1"/>
    <xf numFmtId="0" fontId="1" fillId="8" borderId="0" xfId="0" applyFont="1" applyFill="1" applyBorder="1" applyAlignment="1">
      <alignment horizontal="center" vertical="center"/>
    </xf>
    <xf numFmtId="49" fontId="0" fillId="8" borderId="0" xfId="0" applyNumberFormat="1" applyFill="1" applyBorder="1"/>
    <xf numFmtId="0" fontId="5" fillId="5" borderId="0" xfId="0" applyFont="1" applyFill="1" applyBorder="1" applyAlignment="1">
      <alignment horizontal="left" vertical="center"/>
    </xf>
    <xf numFmtId="0" fontId="4" fillId="5" borderId="0" xfId="0" applyFont="1" applyFill="1" applyBorder="1" applyAlignment="1">
      <alignment horizontal="left" vertical="center"/>
    </xf>
    <xf numFmtId="0" fontId="4" fillId="0" borderId="0" xfId="0" applyFont="1" applyFill="1" applyBorder="1" applyAlignment="1">
      <alignment horizontal="left" vertical="center"/>
    </xf>
    <xf numFmtId="0" fontId="4" fillId="8" borderId="2" xfId="0" applyFont="1" applyFill="1" applyBorder="1" applyAlignment="1">
      <alignment horizontal="left" vertical="center"/>
    </xf>
    <xf numFmtId="0" fontId="0" fillId="8" borderId="2" xfId="0" applyFill="1" applyBorder="1"/>
    <xf numFmtId="0" fontId="3" fillId="8" borderId="2" xfId="0" applyFont="1" applyFill="1" applyBorder="1"/>
    <xf numFmtId="0" fontId="5" fillId="8" borderId="1" xfId="0" applyFont="1" applyFill="1" applyBorder="1" applyAlignment="1">
      <alignment horizontal="left" vertical="center"/>
    </xf>
    <xf numFmtId="0" fontId="11" fillId="5" borderId="0" xfId="0" applyFont="1" applyFill="1" applyAlignment="1">
      <alignment horizontal="right" vertical="top"/>
    </xf>
    <xf numFmtId="49" fontId="0" fillId="5" borderId="0" xfId="0" applyNumberFormat="1" applyFill="1"/>
    <xf numFmtId="49" fontId="5" fillId="7" borderId="0" xfId="0" applyNumberFormat="1" applyFont="1" applyFill="1"/>
    <xf numFmtId="49" fontId="0" fillId="7" borderId="0" xfId="0" applyNumberFormat="1" applyFill="1"/>
    <xf numFmtId="49" fontId="10" fillId="5" borderId="0" xfId="0" applyNumberFormat="1" applyFont="1" applyFill="1"/>
    <xf numFmtId="0" fontId="5" fillId="7" borderId="1" xfId="0" applyFont="1" applyFill="1" applyBorder="1" applyAlignment="1"/>
    <xf numFmtId="0" fontId="4" fillId="7" borderId="2" xfId="0" applyFont="1" applyFill="1" applyBorder="1" applyAlignment="1"/>
    <xf numFmtId="0" fontId="0" fillId="5" borderId="2" xfId="0" applyFill="1" applyBorder="1" applyAlignment="1"/>
    <xf numFmtId="49" fontId="3" fillId="0" borderId="0" xfId="0" applyNumberFormat="1" applyFont="1" applyFill="1" applyAlignment="1">
      <alignment horizontal="left" vertical="center"/>
    </xf>
    <xf numFmtId="0" fontId="3" fillId="0" borderId="0" xfId="0" applyFont="1" applyAlignment="1"/>
    <xf numFmtId="49" fontId="3" fillId="0" borderId="0" xfId="0" applyNumberFormat="1" applyFont="1" applyAlignment="1"/>
    <xf numFmtId="49" fontId="3" fillId="0" borderId="0" xfId="0" applyNumberFormat="1" applyFont="1" applyFill="1" applyAlignment="1">
      <alignment vertical="center"/>
    </xf>
    <xf numFmtId="0" fontId="3" fillId="0" borderId="0" xfId="0" applyFont="1" applyAlignment="1">
      <alignment horizontal="left"/>
    </xf>
    <xf numFmtId="49" fontId="10" fillId="0" borderId="0" xfId="0" applyNumberFormat="1" applyFont="1"/>
    <xf numFmtId="0" fontId="10" fillId="5" borderId="0" xfId="0" applyFont="1" applyFill="1" applyBorder="1"/>
    <xf numFmtId="0" fontId="3" fillId="0" borderId="0" xfId="0" applyFont="1" applyFill="1" applyAlignment="1"/>
    <xf numFmtId="0" fontId="0" fillId="0" borderId="0" xfId="0" applyFill="1" applyBorder="1"/>
    <xf numFmtId="0" fontId="0" fillId="0" borderId="0" xfId="0" applyFill="1"/>
    <xf numFmtId="49" fontId="3" fillId="0" borderId="0" xfId="0" applyNumberFormat="1" applyFont="1" applyFill="1" applyAlignment="1"/>
    <xf numFmtId="49" fontId="3" fillId="0" borderId="0" xfId="0" applyNumberFormat="1" applyFont="1" applyAlignment="1">
      <alignment horizontal="left"/>
    </xf>
    <xf numFmtId="49" fontId="0" fillId="0" borderId="0" xfId="0" applyNumberFormat="1" applyFont="1" applyAlignment="1">
      <alignment wrapText="1"/>
    </xf>
    <xf numFmtId="0" fontId="0" fillId="5" borderId="0" xfId="0" applyFill="1" applyAlignment="1"/>
  </cellXfs>
  <cellStyles count="1">
    <cellStyle name="Normal" xfId="0" builtinId="0"/>
  </cellStyles>
  <dxfs count="0"/>
  <tableStyles count="0" defaultTableStyle="TableStyleMedium2" defaultPivotStyle="PivotStyleLight16"/>
  <colors>
    <mruColors>
      <color rgb="FF003856"/>
      <color rgb="FFFF0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584200</xdr:colOff>
          <xdr:row>14</xdr:row>
          <xdr:rowOff>146050</xdr:rowOff>
        </xdr:from>
        <xdr:to>
          <xdr:col>13</xdr:col>
          <xdr:colOff>133350</xdr:colOff>
          <xdr:row>28</xdr:row>
          <xdr:rowOff>6350</xdr:rowOff>
        </xdr:to>
        <xdr:sp macro="" textlink="">
          <xdr:nvSpPr>
            <xdr:cNvPr id="214017" name="ListBox_module_selection"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absolute">
    <xdr:from>
      <xdr:col>1</xdr:col>
      <xdr:colOff>801543</xdr:colOff>
      <xdr:row>4</xdr:row>
      <xdr:rowOff>85725</xdr:rowOff>
    </xdr:from>
    <xdr:to>
      <xdr:col>3</xdr:col>
      <xdr:colOff>307975</xdr:colOff>
      <xdr:row>8</xdr:row>
      <xdr:rowOff>15875</xdr:rowOff>
    </xdr:to>
    <xdr:sp macro="[0]!Btn_browse_database" textlink="">
      <xdr:nvSpPr>
        <xdr:cNvPr id="2" name="Rounded Rectangle 1"/>
        <xdr:cNvSpPr/>
      </xdr:nvSpPr>
      <xdr:spPr>
        <a:xfrm>
          <a:off x="2300143" y="1031875"/>
          <a:ext cx="1525732" cy="749300"/>
        </a:xfrm>
        <a:prstGeom prst="round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t>Browse </a:t>
          </a:r>
          <a:r>
            <a:rPr lang="en-US" sz="1400" b="1">
              <a:latin typeface="+mn-lt"/>
            </a:rPr>
            <a:t>database</a:t>
          </a:r>
        </a:p>
      </xdr:txBody>
    </xdr:sp>
    <xdr:clientData/>
  </xdr:twoCellAnchor>
  <xdr:twoCellAnchor>
    <xdr:from>
      <xdr:col>10</xdr:col>
      <xdr:colOff>9524</xdr:colOff>
      <xdr:row>4</xdr:row>
      <xdr:rowOff>85725</xdr:rowOff>
    </xdr:from>
    <xdr:to>
      <xdr:col>13</xdr:col>
      <xdr:colOff>180975</xdr:colOff>
      <xdr:row>8</xdr:row>
      <xdr:rowOff>114300</xdr:rowOff>
    </xdr:to>
    <xdr:sp macro="[0]!Btn_dynamic_configuration" textlink="">
      <xdr:nvSpPr>
        <xdr:cNvPr id="13" name="Rounded Rectangle 12"/>
        <xdr:cNvSpPr/>
      </xdr:nvSpPr>
      <xdr:spPr>
        <a:xfrm>
          <a:off x="7648574" y="1038225"/>
          <a:ext cx="2000251" cy="790575"/>
        </a:xfrm>
        <a:prstGeom prst="round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ctr"/>
          <a:r>
            <a:rPr lang="en-US" sz="1400" b="1">
              <a:solidFill>
                <a:schemeClr val="lt1"/>
              </a:solidFill>
              <a:latin typeface="+mn-lt"/>
              <a:ea typeface="+mn-ea"/>
              <a:cs typeface="+mn-cs"/>
            </a:rPr>
            <a:t>Automatic generation</a:t>
          </a:r>
        </a:p>
      </xdr:txBody>
    </xdr:sp>
    <xdr:clientData/>
  </xdr:twoCellAnchor>
  <xdr:twoCellAnchor>
    <xdr:from>
      <xdr:col>2</xdr:col>
      <xdr:colOff>336550</xdr:colOff>
      <xdr:row>30</xdr:row>
      <xdr:rowOff>171451</xdr:rowOff>
    </xdr:from>
    <xdr:to>
      <xdr:col>5</xdr:col>
      <xdr:colOff>187826</xdr:colOff>
      <xdr:row>32</xdr:row>
      <xdr:rowOff>76813</xdr:rowOff>
    </xdr:to>
    <xdr:sp macro="[0]!Btn_create_backup" textlink="">
      <xdr:nvSpPr>
        <xdr:cNvPr id="15" name="Rounded Rectangle 14"/>
        <xdr:cNvSpPr/>
      </xdr:nvSpPr>
      <xdr:spPr>
        <a:xfrm>
          <a:off x="2654300" y="6356351"/>
          <a:ext cx="2334126" cy="292712"/>
        </a:xfrm>
        <a:prstGeom prst="round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t>Create</a:t>
          </a:r>
          <a:r>
            <a:rPr lang="en-US" sz="1400" b="1" baseline="0"/>
            <a:t> backup</a:t>
          </a:r>
          <a:endParaRPr lang="en-US" sz="1400" b="1"/>
        </a:p>
      </xdr:txBody>
    </xdr:sp>
    <xdr:clientData/>
  </xdr:twoCellAnchor>
  <xdr:twoCellAnchor>
    <xdr:from>
      <xdr:col>5</xdr:col>
      <xdr:colOff>349492</xdr:colOff>
      <xdr:row>30</xdr:row>
      <xdr:rowOff>166941</xdr:rowOff>
    </xdr:from>
    <xdr:to>
      <xdr:col>9</xdr:col>
      <xdr:colOff>228600</xdr:colOff>
      <xdr:row>32</xdr:row>
      <xdr:rowOff>78278</xdr:rowOff>
    </xdr:to>
    <xdr:sp macro="[0]!Btn_relaunch_WO" textlink="">
      <xdr:nvSpPr>
        <xdr:cNvPr id="16" name="Rounded Rectangle 15"/>
        <xdr:cNvSpPr/>
      </xdr:nvSpPr>
      <xdr:spPr>
        <a:xfrm>
          <a:off x="5150092" y="6351841"/>
          <a:ext cx="2457208" cy="298687"/>
        </a:xfrm>
        <a:prstGeom prst="round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t>Relaunch WO</a:t>
          </a:r>
        </a:p>
      </xdr:txBody>
    </xdr:sp>
    <xdr:clientData/>
  </xdr:twoCellAnchor>
  <xdr:twoCellAnchor>
    <xdr:from>
      <xdr:col>5</xdr:col>
      <xdr:colOff>349578</xdr:colOff>
      <xdr:row>32</xdr:row>
      <xdr:rowOff>177258</xdr:rowOff>
    </xdr:from>
    <xdr:to>
      <xdr:col>9</xdr:col>
      <xdr:colOff>209550</xdr:colOff>
      <xdr:row>34</xdr:row>
      <xdr:rowOff>101600</xdr:rowOff>
    </xdr:to>
    <xdr:sp macro="[0]!Btn_clear_database" textlink="">
      <xdr:nvSpPr>
        <xdr:cNvPr id="17" name="Rounded Rectangle 16"/>
        <xdr:cNvSpPr/>
      </xdr:nvSpPr>
      <xdr:spPr>
        <a:xfrm>
          <a:off x="5150178" y="6749508"/>
          <a:ext cx="2438072" cy="292642"/>
        </a:xfrm>
        <a:prstGeom prst="round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ctr"/>
          <a:r>
            <a:rPr lang="en-US" sz="1400" b="1">
              <a:solidFill>
                <a:srgbClr val="FF0000"/>
              </a:solidFill>
              <a:latin typeface="+mn-lt"/>
              <a:ea typeface="+mn-ea"/>
              <a:cs typeface="+mn-cs"/>
            </a:rPr>
            <a:t>Clear database</a:t>
          </a:r>
        </a:p>
      </xdr:txBody>
    </xdr:sp>
    <xdr:clientData/>
  </xdr:twoCellAnchor>
  <xdr:twoCellAnchor>
    <xdr:from>
      <xdr:col>2</xdr:col>
      <xdr:colOff>334711</xdr:colOff>
      <xdr:row>32</xdr:row>
      <xdr:rowOff>168440</xdr:rowOff>
    </xdr:from>
    <xdr:to>
      <xdr:col>5</xdr:col>
      <xdr:colOff>205205</xdr:colOff>
      <xdr:row>34</xdr:row>
      <xdr:rowOff>95250</xdr:rowOff>
    </xdr:to>
    <xdr:sp macro="[0]!Btn_execute_SQL" textlink="">
      <xdr:nvSpPr>
        <xdr:cNvPr id="18" name="Rounded Rectangle 17"/>
        <xdr:cNvSpPr/>
      </xdr:nvSpPr>
      <xdr:spPr>
        <a:xfrm>
          <a:off x="2652461" y="6740690"/>
          <a:ext cx="2353344" cy="295110"/>
        </a:xfrm>
        <a:prstGeom prst="round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t>Execute SQL</a:t>
          </a:r>
        </a:p>
      </xdr:txBody>
    </xdr:sp>
    <xdr:clientData/>
  </xdr:twoCellAnchor>
  <xdr:twoCellAnchor editAs="absolute">
    <xdr:from>
      <xdr:col>10</xdr:col>
      <xdr:colOff>64861</xdr:colOff>
      <xdr:row>12</xdr:row>
      <xdr:rowOff>109764</xdr:rowOff>
    </xdr:from>
    <xdr:to>
      <xdr:col>13</xdr:col>
      <xdr:colOff>48987</xdr:colOff>
      <xdr:row>13</xdr:row>
      <xdr:rowOff>272596</xdr:rowOff>
    </xdr:to>
    <xdr:sp macro="[0]!Btn_generate_configuration" textlink="">
      <xdr:nvSpPr>
        <xdr:cNvPr id="20" name="Rounded Rectangle 19"/>
        <xdr:cNvSpPr/>
      </xdr:nvSpPr>
      <xdr:spPr>
        <a:xfrm>
          <a:off x="8093075" y="2595335"/>
          <a:ext cx="2025198" cy="344261"/>
        </a:xfrm>
        <a:prstGeom prst="round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t>Manual generation</a:t>
          </a:r>
          <a:endParaRPr lang="en-US" sz="1400" b="1">
            <a:latin typeface="+mn-lt"/>
          </a:endParaRPr>
        </a:p>
      </xdr:txBody>
    </xdr:sp>
    <xdr:clientData/>
  </xdr:twoCellAnchor>
  <xdr:twoCellAnchor>
    <xdr:from>
      <xdr:col>0</xdr:col>
      <xdr:colOff>132014</xdr:colOff>
      <xdr:row>32</xdr:row>
      <xdr:rowOff>164305</xdr:rowOff>
    </xdr:from>
    <xdr:to>
      <xdr:col>2</xdr:col>
      <xdr:colOff>177132</xdr:colOff>
      <xdr:row>34</xdr:row>
      <xdr:rowOff>84499</xdr:rowOff>
    </xdr:to>
    <xdr:sp macro="[0]!Btn_export_CSV" textlink="">
      <xdr:nvSpPr>
        <xdr:cNvPr id="19" name="Rounded Rectangle 18"/>
        <xdr:cNvSpPr/>
      </xdr:nvSpPr>
      <xdr:spPr>
        <a:xfrm>
          <a:off x="132014" y="6736555"/>
          <a:ext cx="2362868" cy="288494"/>
        </a:xfrm>
        <a:prstGeom prst="round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t>Export</a:t>
          </a:r>
          <a:r>
            <a:rPr lang="en-US" sz="1400" b="1" baseline="0"/>
            <a:t> CSV</a:t>
          </a:r>
          <a:endParaRPr lang="en-US" sz="1400" b="1"/>
        </a:p>
      </xdr:txBody>
    </xdr:sp>
    <xdr:clientData/>
  </xdr:twoCellAnchor>
  <xdr:twoCellAnchor>
    <xdr:from>
      <xdr:col>0</xdr:col>
      <xdr:colOff>139775</xdr:colOff>
      <xdr:row>30</xdr:row>
      <xdr:rowOff>160112</xdr:rowOff>
    </xdr:from>
    <xdr:to>
      <xdr:col>2</xdr:col>
      <xdr:colOff>165100</xdr:colOff>
      <xdr:row>32</xdr:row>
      <xdr:rowOff>55814</xdr:rowOff>
    </xdr:to>
    <xdr:sp macro="[0]!Btn_export_client" textlink="">
      <xdr:nvSpPr>
        <xdr:cNvPr id="22" name="Rounded Rectangle 21"/>
        <xdr:cNvSpPr/>
      </xdr:nvSpPr>
      <xdr:spPr>
        <a:xfrm>
          <a:off x="139775" y="6345012"/>
          <a:ext cx="2343075" cy="283052"/>
        </a:xfrm>
        <a:prstGeom prst="round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t>Export</a:t>
          </a:r>
          <a:r>
            <a:rPr lang="en-US" sz="1400" b="1" baseline="0"/>
            <a:t> client</a:t>
          </a:r>
          <a:endParaRPr lang="en-US" sz="1400" b="1"/>
        </a:p>
      </xdr:txBody>
    </xdr:sp>
    <xdr:clientData/>
  </xdr:twoCellAnchor>
  <xdr:twoCellAnchor>
    <xdr:from>
      <xdr:col>3</xdr:col>
      <xdr:colOff>473075</xdr:colOff>
      <xdr:row>6</xdr:row>
      <xdr:rowOff>34925</xdr:rowOff>
    </xdr:from>
    <xdr:to>
      <xdr:col>9</xdr:col>
      <xdr:colOff>356768</xdr:colOff>
      <xdr:row>20</xdr:row>
      <xdr:rowOff>93245</xdr:rowOff>
    </xdr:to>
    <xdr:grpSp>
      <xdr:nvGrpSpPr>
        <xdr:cNvPr id="7" name="Group 6"/>
        <xdr:cNvGrpSpPr/>
      </xdr:nvGrpSpPr>
      <xdr:grpSpPr>
        <a:xfrm>
          <a:off x="3983718" y="1341211"/>
          <a:ext cx="3757193" cy="2806963"/>
          <a:chOff x="3946525" y="1311275"/>
          <a:chExt cx="3744493" cy="2839620"/>
        </a:xfrm>
      </xdr:grpSpPr>
      <xdr:sp macro="" textlink="">
        <xdr:nvSpPr>
          <xdr:cNvPr id="3" name="Right Arrow 2"/>
          <xdr:cNvSpPr/>
        </xdr:nvSpPr>
        <xdr:spPr>
          <a:xfrm>
            <a:off x="3946525" y="1311275"/>
            <a:ext cx="3727450" cy="173650"/>
          </a:xfrm>
          <a:prstGeom prst="rightArrow">
            <a:avLst/>
          </a:prstGeom>
          <a:solidFill>
            <a:schemeClr val="accent1">
              <a:lumMod val="75000"/>
            </a:schemeClr>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14019" name="Bent-Up Arrow 214018"/>
          <xdr:cNvSpPr/>
        </xdr:nvSpPr>
        <xdr:spPr>
          <a:xfrm rot="5400000">
            <a:off x="5734634" y="2194512"/>
            <a:ext cx="2781299" cy="1131468"/>
          </a:xfrm>
          <a:prstGeom prst="bentUpArrow">
            <a:avLst>
              <a:gd name="adj1" fmla="val 7639"/>
              <a:gd name="adj2" fmla="val 8583"/>
              <a:gd name="adj3" fmla="val 8447"/>
            </a:avLst>
          </a:prstGeom>
          <a:solidFill>
            <a:schemeClr val="accent1">
              <a:lumMod val="75000"/>
            </a:schemeClr>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absolute">
    <xdr:from>
      <xdr:col>18</xdr:col>
      <xdr:colOff>403307</xdr:colOff>
      <xdr:row>4</xdr:row>
      <xdr:rowOff>126545</xdr:rowOff>
    </xdr:from>
    <xdr:to>
      <xdr:col>21</xdr:col>
      <xdr:colOff>615950</xdr:colOff>
      <xdr:row>8</xdr:row>
      <xdr:rowOff>63045</xdr:rowOff>
    </xdr:to>
    <xdr:sp macro="[0]!Btn_go_config" textlink="">
      <xdr:nvSpPr>
        <xdr:cNvPr id="23" name="Rounded Rectangle 22"/>
        <xdr:cNvSpPr/>
      </xdr:nvSpPr>
      <xdr:spPr>
        <a:xfrm>
          <a:off x="13795457" y="1072695"/>
          <a:ext cx="2371643" cy="755650"/>
        </a:xfrm>
        <a:prstGeom prst="round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t>To the CONFIG</a:t>
          </a:r>
          <a:r>
            <a:rPr lang="en-US" sz="1400" b="1" baseline="0"/>
            <a:t> sheet</a:t>
          </a:r>
          <a:endParaRPr lang="en-US" sz="1400" b="1">
            <a:latin typeface="+mn-lt"/>
          </a:endParaRPr>
        </a:p>
      </xdr:txBody>
    </xdr:sp>
    <xdr:clientData/>
  </xdr:twoCellAnchor>
  <xdr:twoCellAnchor>
    <xdr:from>
      <xdr:col>18</xdr:col>
      <xdr:colOff>427263</xdr:colOff>
      <xdr:row>9</xdr:row>
      <xdr:rowOff>35490</xdr:rowOff>
    </xdr:from>
    <xdr:to>
      <xdr:col>21</xdr:col>
      <xdr:colOff>606425</xdr:colOff>
      <xdr:row>10</xdr:row>
      <xdr:rowOff>143677</xdr:rowOff>
    </xdr:to>
    <xdr:sp macro="[0]!Btn_config_help" textlink="">
      <xdr:nvSpPr>
        <xdr:cNvPr id="24" name="Rounded Rectangle 23"/>
        <xdr:cNvSpPr/>
      </xdr:nvSpPr>
      <xdr:spPr>
        <a:xfrm>
          <a:off x="13813063" y="1984940"/>
          <a:ext cx="2338162" cy="292337"/>
        </a:xfrm>
        <a:prstGeom prst="round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t>Help</a:t>
          </a:r>
        </a:p>
      </xdr:txBody>
    </xdr:sp>
    <xdr:clientData/>
  </xdr:twoCellAnchor>
  <xdr:twoCellAnchor>
    <xdr:from>
      <xdr:col>13</xdr:col>
      <xdr:colOff>473075</xdr:colOff>
      <xdr:row>6</xdr:row>
      <xdr:rowOff>44450</xdr:rowOff>
    </xdr:from>
    <xdr:to>
      <xdr:col>18</xdr:col>
      <xdr:colOff>234950</xdr:colOff>
      <xdr:row>20</xdr:row>
      <xdr:rowOff>68629</xdr:rowOff>
    </xdr:to>
    <xdr:grpSp>
      <xdr:nvGrpSpPr>
        <xdr:cNvPr id="6" name="Group 5"/>
        <xdr:cNvGrpSpPr/>
      </xdr:nvGrpSpPr>
      <xdr:grpSpPr>
        <a:xfrm>
          <a:off x="10542361" y="1350736"/>
          <a:ext cx="3109232" cy="2772822"/>
          <a:chOff x="10391775" y="1314450"/>
          <a:chExt cx="2968625" cy="2805479"/>
        </a:xfrm>
      </xdr:grpSpPr>
      <xdr:sp macro="" textlink="">
        <xdr:nvSpPr>
          <xdr:cNvPr id="25" name="Right Arrow 24"/>
          <xdr:cNvSpPr/>
        </xdr:nvSpPr>
        <xdr:spPr>
          <a:xfrm>
            <a:off x="10391775" y="1314450"/>
            <a:ext cx="2968625" cy="184150"/>
          </a:xfrm>
          <a:prstGeom prst="rightArrow">
            <a:avLst/>
          </a:prstGeom>
          <a:solidFill>
            <a:schemeClr val="accent1">
              <a:lumMod val="75000"/>
            </a:schemeClr>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 name="Bent-Up Arrow 4"/>
          <xdr:cNvSpPr/>
        </xdr:nvSpPr>
        <xdr:spPr>
          <a:xfrm>
            <a:off x="10394950" y="1424355"/>
            <a:ext cx="1247943" cy="2695574"/>
          </a:xfrm>
          <a:prstGeom prst="bentUpArrow">
            <a:avLst>
              <a:gd name="adj1" fmla="val 7491"/>
              <a:gd name="adj2" fmla="val 15003"/>
              <a:gd name="adj3" fmla="val 0"/>
            </a:avLst>
          </a:prstGeom>
          <a:solidFill>
            <a:schemeClr val="accent1">
              <a:lumMod val="75000"/>
            </a:schemeClr>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7</xdr:col>
      <xdr:colOff>139700</xdr:colOff>
      <xdr:row>6</xdr:row>
      <xdr:rowOff>101600</xdr:rowOff>
    </xdr:from>
    <xdr:to>
      <xdr:col>8</xdr:col>
      <xdr:colOff>209550</xdr:colOff>
      <xdr:row>7</xdr:row>
      <xdr:rowOff>241300</xdr:rowOff>
    </xdr:to>
    <xdr:sp macro="" textlink="">
      <xdr:nvSpPr>
        <xdr:cNvPr id="4" name="TextBox 3"/>
        <xdr:cNvSpPr txBox="1"/>
      </xdr:nvSpPr>
      <xdr:spPr>
        <a:xfrm>
          <a:off x="6223000" y="1416050"/>
          <a:ext cx="4699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b="1"/>
            <a:t>OR</a:t>
          </a:r>
        </a:p>
      </xdr:txBody>
    </xdr:sp>
    <xdr:clientData/>
  </xdr:twoCellAnchor>
  <xdr:twoCellAnchor>
    <xdr:from>
      <xdr:col>9</xdr:col>
      <xdr:colOff>635242</xdr:colOff>
      <xdr:row>30</xdr:row>
      <xdr:rowOff>166941</xdr:rowOff>
    </xdr:from>
    <xdr:to>
      <xdr:col>13</xdr:col>
      <xdr:colOff>412750</xdr:colOff>
      <xdr:row>32</xdr:row>
      <xdr:rowOff>78278</xdr:rowOff>
    </xdr:to>
    <xdr:sp macro="[0]!Btn_integrity_check" textlink="">
      <xdr:nvSpPr>
        <xdr:cNvPr id="26" name="Rounded Rectangle 25"/>
        <xdr:cNvSpPr/>
      </xdr:nvSpPr>
      <xdr:spPr>
        <a:xfrm>
          <a:off x="8013942" y="6351841"/>
          <a:ext cx="2457208" cy="285987"/>
        </a:xfrm>
        <a:prstGeom prst="round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t>Integrity</a:t>
          </a:r>
          <a:r>
            <a:rPr lang="en-US" sz="1400" b="1" baseline="0"/>
            <a:t> check</a:t>
          </a:r>
          <a:endParaRPr lang="en-US" sz="14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0</xdr:row>
      <xdr:rowOff>1019175</xdr:rowOff>
    </xdr:to>
    <xdr:sp macro="[0]!Btn_generate_source_views" textlink="">
      <xdr:nvSpPr>
        <xdr:cNvPr id="3" name="Rectangle 2"/>
        <xdr:cNvSpPr>
          <a:spLocks/>
        </xdr:cNvSpPr>
      </xdr:nvSpPr>
      <xdr:spPr>
        <a:xfrm>
          <a:off x="0" y="0"/>
          <a:ext cx="1333500" cy="1019175"/>
        </a:xfrm>
        <a:prstGeom prst="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t>Generate source</a:t>
          </a:r>
          <a:r>
            <a:rPr lang="en-US" sz="1400" b="1" baseline="0"/>
            <a:t> views</a:t>
          </a:r>
        </a:p>
      </xdr:txBody>
    </xdr:sp>
    <xdr:clientData/>
  </xdr:twoCellAnchor>
  <xdr:twoCellAnchor>
    <xdr:from>
      <xdr:col>2</xdr:col>
      <xdr:colOff>9525</xdr:colOff>
      <xdr:row>0</xdr:row>
      <xdr:rowOff>0</xdr:rowOff>
    </xdr:from>
    <xdr:to>
      <xdr:col>3</xdr:col>
      <xdr:colOff>9525</xdr:colOff>
      <xdr:row>0</xdr:row>
      <xdr:rowOff>1019175</xdr:rowOff>
    </xdr:to>
    <xdr:sp macro="[0]!Btn_generate_Ortems_tables" textlink="">
      <xdr:nvSpPr>
        <xdr:cNvPr id="9" name="Rectangle 8"/>
        <xdr:cNvSpPr/>
      </xdr:nvSpPr>
      <xdr:spPr>
        <a:xfrm>
          <a:off x="2038350" y="0"/>
          <a:ext cx="1266825" cy="1019175"/>
        </a:xfrm>
        <a:prstGeom prst="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t>Generate Ortems</a:t>
          </a:r>
          <a:r>
            <a:rPr lang="en-US" sz="1400" b="1" baseline="0"/>
            <a:t> tables</a:t>
          </a:r>
        </a:p>
      </xdr:txBody>
    </xdr:sp>
    <xdr:clientData/>
  </xdr:twoCellAnchor>
  <xdr:twoCellAnchor>
    <xdr:from>
      <xdr:col>13</xdr:col>
      <xdr:colOff>1732</xdr:colOff>
      <xdr:row>0</xdr:row>
      <xdr:rowOff>0</xdr:rowOff>
    </xdr:from>
    <xdr:to>
      <xdr:col>14</xdr:col>
      <xdr:colOff>0</xdr:colOff>
      <xdr:row>0</xdr:row>
      <xdr:rowOff>1022350</xdr:rowOff>
    </xdr:to>
    <xdr:sp macro="[0]!Btn_clear_tables" textlink="">
      <xdr:nvSpPr>
        <xdr:cNvPr id="10" name="Rectangle 9"/>
        <xdr:cNvSpPr/>
      </xdr:nvSpPr>
      <xdr:spPr>
        <a:xfrm>
          <a:off x="13165282" y="0"/>
          <a:ext cx="1592118" cy="1022350"/>
        </a:xfrm>
        <a:prstGeom prst="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t>Clear</a:t>
          </a:r>
          <a:r>
            <a:rPr lang="en-US" sz="1400" b="1" baseline="0"/>
            <a:t> tables</a:t>
          </a:r>
        </a:p>
      </xdr:txBody>
    </xdr:sp>
    <xdr:clientData/>
  </xdr:twoCellAnchor>
  <xdr:twoCellAnchor>
    <xdr:from>
      <xdr:col>9</xdr:col>
      <xdr:colOff>6350</xdr:colOff>
      <xdr:row>0</xdr:row>
      <xdr:rowOff>0</xdr:rowOff>
    </xdr:from>
    <xdr:to>
      <xdr:col>10</xdr:col>
      <xdr:colOff>7619</xdr:colOff>
      <xdr:row>0</xdr:row>
      <xdr:rowOff>1019175</xdr:rowOff>
    </xdr:to>
    <xdr:sp macro="[0]!Btn_insert_update" textlink="">
      <xdr:nvSpPr>
        <xdr:cNvPr id="11" name="Rectangle 10"/>
        <xdr:cNvSpPr/>
      </xdr:nvSpPr>
      <xdr:spPr>
        <a:xfrm>
          <a:off x="9817100" y="0"/>
          <a:ext cx="1595119" cy="1019175"/>
        </a:xfrm>
        <a:prstGeom prst="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t>Insert</a:t>
          </a:r>
          <a:r>
            <a:rPr lang="en-US" sz="1400" b="1" baseline="0"/>
            <a:t>/u</a:t>
          </a:r>
          <a:r>
            <a:rPr lang="en-US" sz="1400" b="1"/>
            <a:t>pdate</a:t>
          </a:r>
          <a:r>
            <a:rPr lang="en-US" sz="1400" b="1" baseline="0"/>
            <a:t> database</a:t>
          </a:r>
        </a:p>
      </xdr:txBody>
    </xdr:sp>
    <xdr:clientData/>
  </xdr:twoCellAnchor>
  <xdr:twoCellAnchor>
    <xdr:from>
      <xdr:col>4</xdr:col>
      <xdr:colOff>0</xdr:colOff>
      <xdr:row>0</xdr:row>
      <xdr:rowOff>0</xdr:rowOff>
    </xdr:from>
    <xdr:to>
      <xdr:col>8</xdr:col>
      <xdr:colOff>0</xdr:colOff>
      <xdr:row>0</xdr:row>
      <xdr:rowOff>1019175</xdr:rowOff>
    </xdr:to>
    <xdr:sp macro="[0]!Btn_execute_mapping" textlink="">
      <xdr:nvSpPr>
        <xdr:cNvPr id="12" name="Rectangle 11"/>
        <xdr:cNvSpPr/>
      </xdr:nvSpPr>
      <xdr:spPr>
        <a:xfrm>
          <a:off x="4057650" y="0"/>
          <a:ext cx="4933950" cy="1019175"/>
        </a:xfrm>
        <a:prstGeom prst="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t>Execute</a:t>
          </a:r>
          <a:r>
            <a:rPr lang="en-US" sz="1400" b="1" baseline="0"/>
            <a:t> mapping</a:t>
          </a:r>
        </a:p>
      </xdr:txBody>
    </xdr:sp>
    <xdr:clientData/>
  </xdr:twoCellAnchor>
  <xdr:twoCellAnchor>
    <xdr:from>
      <xdr:col>11</xdr:col>
      <xdr:colOff>6351</xdr:colOff>
      <xdr:row>0</xdr:row>
      <xdr:rowOff>0</xdr:rowOff>
    </xdr:from>
    <xdr:to>
      <xdr:col>12</xdr:col>
      <xdr:colOff>6351</xdr:colOff>
      <xdr:row>0</xdr:row>
      <xdr:rowOff>1019175</xdr:rowOff>
    </xdr:to>
    <xdr:sp macro="[0]!Btn_visualize_tables" textlink="">
      <xdr:nvSpPr>
        <xdr:cNvPr id="13" name="Rectangle 12"/>
        <xdr:cNvSpPr/>
      </xdr:nvSpPr>
      <xdr:spPr>
        <a:xfrm>
          <a:off x="11493501" y="0"/>
          <a:ext cx="1593850" cy="1019175"/>
        </a:xfrm>
        <a:prstGeom prst="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t>Visualize database</a:t>
          </a:r>
          <a:endParaRPr lang="en-US" sz="1400" b="1" baseline="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374649</xdr:colOff>
      <xdr:row>2</xdr:row>
      <xdr:rowOff>0</xdr:rowOff>
    </xdr:from>
    <xdr:to>
      <xdr:col>28</xdr:col>
      <xdr:colOff>429224</xdr:colOff>
      <xdr:row>20</xdr:row>
      <xdr:rowOff>114300</xdr:rowOff>
    </xdr:to>
    <xdr:pic>
      <xdr:nvPicPr>
        <xdr:cNvPr id="2" name="Picture 1"/>
        <xdr:cNvPicPr>
          <a:picLocks noChangeAspect="1"/>
        </xdr:cNvPicPr>
      </xdr:nvPicPr>
      <xdr:blipFill>
        <a:blip xmlns:r="http://schemas.openxmlformats.org/officeDocument/2006/relationships" r:embed="rId1"/>
        <a:stretch>
          <a:fillRect/>
        </a:stretch>
      </xdr:blipFill>
      <xdr:spPr>
        <a:xfrm>
          <a:off x="7673807" y="564816"/>
          <a:ext cx="9786785" cy="3422984"/>
        </a:xfrm>
        <a:prstGeom prst="rect">
          <a:avLst/>
        </a:prstGeom>
      </xdr:spPr>
    </xdr:pic>
    <xdr:clientData/>
  </xdr:twoCellAnchor>
  <xdr:twoCellAnchor>
    <xdr:from>
      <xdr:col>12</xdr:col>
      <xdr:colOff>349250</xdr:colOff>
      <xdr:row>5</xdr:row>
      <xdr:rowOff>28578</xdr:rowOff>
    </xdr:from>
    <xdr:to>
      <xdr:col>21</xdr:col>
      <xdr:colOff>368300</xdr:colOff>
      <xdr:row>6</xdr:row>
      <xdr:rowOff>152399</xdr:rowOff>
    </xdr:to>
    <xdr:sp macro="" textlink="">
      <xdr:nvSpPr>
        <xdr:cNvPr id="3" name="Rectangle 2"/>
        <xdr:cNvSpPr/>
      </xdr:nvSpPr>
      <xdr:spPr>
        <a:xfrm>
          <a:off x="7664450" y="1146178"/>
          <a:ext cx="5505450" cy="30797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21</xdr:col>
      <xdr:colOff>150394</xdr:colOff>
      <xdr:row>7</xdr:row>
      <xdr:rowOff>106947</xdr:rowOff>
    </xdr:from>
    <xdr:to>
      <xdr:col>28</xdr:col>
      <xdr:colOff>421106</xdr:colOff>
      <xdr:row>20</xdr:row>
      <xdr:rowOff>103605</xdr:rowOff>
    </xdr:to>
    <xdr:sp macro="" textlink="">
      <xdr:nvSpPr>
        <xdr:cNvPr id="4" name="Rectangle 3"/>
        <xdr:cNvSpPr/>
      </xdr:nvSpPr>
      <xdr:spPr>
        <a:xfrm>
          <a:off x="12923920" y="1590842"/>
          <a:ext cx="4528554" cy="238626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354263</xdr:colOff>
      <xdr:row>7</xdr:row>
      <xdr:rowOff>160421</xdr:rowOff>
    </xdr:from>
    <xdr:to>
      <xdr:col>13</xdr:col>
      <xdr:colOff>357605</xdr:colOff>
      <xdr:row>15</xdr:row>
      <xdr:rowOff>70185</xdr:rowOff>
    </xdr:to>
    <xdr:cxnSp macro="">
      <xdr:nvCxnSpPr>
        <xdr:cNvPr id="6" name="Straight Arrow Connector 5"/>
        <xdr:cNvCxnSpPr/>
      </xdr:nvCxnSpPr>
      <xdr:spPr>
        <a:xfrm flipV="1">
          <a:off x="8261684" y="1644316"/>
          <a:ext cx="3342" cy="138029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533399</xdr:colOff>
      <xdr:row>15</xdr:row>
      <xdr:rowOff>62163</xdr:rowOff>
    </xdr:from>
    <xdr:to>
      <xdr:col>14</xdr:col>
      <xdr:colOff>227263</xdr:colOff>
      <xdr:row>18</xdr:row>
      <xdr:rowOff>63500</xdr:rowOff>
    </xdr:to>
    <xdr:sp macro="" textlink="">
      <xdr:nvSpPr>
        <xdr:cNvPr id="9" name="TextBox 8"/>
        <xdr:cNvSpPr txBox="1"/>
      </xdr:nvSpPr>
      <xdr:spPr>
        <a:xfrm>
          <a:off x="7832557" y="3016584"/>
          <a:ext cx="910390" cy="552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Commented</a:t>
          </a:r>
          <a:r>
            <a:rPr lang="fr-FR" sz="1100" baseline="0"/>
            <a:t> column</a:t>
          </a:r>
          <a:endParaRPr lang="fr-FR" sz="1100"/>
        </a:p>
      </xdr:txBody>
    </xdr:sp>
    <xdr:clientData/>
  </xdr:twoCellAnchor>
  <xdr:oneCellAnchor>
    <xdr:from>
      <xdr:col>13</xdr:col>
      <xdr:colOff>49696</xdr:colOff>
      <xdr:row>4</xdr:row>
      <xdr:rowOff>115957</xdr:rowOff>
    </xdr:from>
    <xdr:ext cx="184731" cy="264560"/>
    <xdr:sp macro="" textlink="">
      <xdr:nvSpPr>
        <xdr:cNvPr id="10" name="TextBox 9"/>
        <xdr:cNvSpPr txBox="1"/>
      </xdr:nvSpPr>
      <xdr:spPr>
        <a:xfrm>
          <a:off x="7945783" y="104360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0</xdr:col>
      <xdr:colOff>63500</xdr:colOff>
      <xdr:row>18</xdr:row>
      <xdr:rowOff>101600</xdr:rowOff>
    </xdr:from>
    <xdr:to>
      <xdr:col>4</xdr:col>
      <xdr:colOff>82308</xdr:colOff>
      <xdr:row>20</xdr:row>
      <xdr:rowOff>25400</xdr:rowOff>
    </xdr:to>
    <xdr:sp macro="[0]!Btn_integrity_check" textlink="">
      <xdr:nvSpPr>
        <xdr:cNvPr id="8" name="Rounded Rectangle 7"/>
        <xdr:cNvSpPr/>
      </xdr:nvSpPr>
      <xdr:spPr>
        <a:xfrm>
          <a:off x="63500" y="3613150"/>
          <a:ext cx="2457208" cy="292100"/>
        </a:xfrm>
        <a:prstGeom prst="roundRect">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t>Integrity</a:t>
          </a:r>
          <a:r>
            <a:rPr lang="en-US" sz="1400" b="1" baseline="0"/>
            <a:t> check</a:t>
          </a:r>
          <a:endParaRPr lang="en-US" sz="1400" b="1"/>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73863</xdr:colOff>
      <xdr:row>0</xdr:row>
      <xdr:rowOff>151130</xdr:rowOff>
    </xdr:from>
    <xdr:to>
      <xdr:col>2</xdr:col>
      <xdr:colOff>542497</xdr:colOff>
      <xdr:row>1</xdr:row>
      <xdr:rowOff>132080</xdr:rowOff>
    </xdr:to>
    <xdr:sp macro="[0]!Btn_initialize_B_sheet" textlink="">
      <xdr:nvSpPr>
        <xdr:cNvPr id="2" name="Rounded Rectangle 1"/>
        <xdr:cNvSpPr>
          <a:spLocks noChangeAspect="1"/>
        </xdr:cNvSpPr>
      </xdr:nvSpPr>
      <xdr:spPr>
        <a:xfrm>
          <a:off x="716483" y="151130"/>
          <a:ext cx="1111254" cy="171450"/>
        </a:xfrm>
        <a:prstGeom prst="roundRect">
          <a:avLst>
            <a:gd name="adj" fmla="val 0"/>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1"/>
            <a:t>Initialize</a:t>
          </a:r>
          <a:r>
            <a:rPr lang="en-US" sz="1200" b="1" baseline="0"/>
            <a:t> sheet</a:t>
          </a:r>
          <a:r>
            <a:rPr lang="en-US" sz="1200" b="1"/>
            <a:t> </a:t>
          </a:r>
        </a:p>
      </xdr:txBody>
    </xdr:sp>
    <xdr:clientData/>
  </xdr:twoCellAnchor>
  <xdr:twoCellAnchor editAs="absolute">
    <xdr:from>
      <xdr:col>3</xdr:col>
      <xdr:colOff>124460</xdr:colOff>
      <xdr:row>0</xdr:row>
      <xdr:rowOff>147320</xdr:rowOff>
    </xdr:from>
    <xdr:to>
      <xdr:col>4</xdr:col>
      <xdr:colOff>574040</xdr:colOff>
      <xdr:row>3</xdr:row>
      <xdr:rowOff>41910</xdr:rowOff>
    </xdr:to>
    <xdr:sp macro="[0]!Btn_visualize_B_sheet" textlink="">
      <xdr:nvSpPr>
        <xdr:cNvPr id="3" name="Rounded Rectangle 2"/>
        <xdr:cNvSpPr/>
      </xdr:nvSpPr>
      <xdr:spPr>
        <a:xfrm>
          <a:off x="2048510" y="147320"/>
          <a:ext cx="1090930" cy="453390"/>
        </a:xfrm>
        <a:prstGeom prst="roundRect">
          <a:avLst>
            <a:gd name="adj" fmla="val 0"/>
          </a:avLst>
        </a:prstGeom>
        <a:solidFill>
          <a:srgbClr val="FFC00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1"/>
            <a:t>Visualize</a:t>
          </a:r>
          <a:endParaRPr lang="en-US" sz="1400" b="1"/>
        </a:p>
      </xdr:txBody>
    </xdr:sp>
    <xdr:clientData/>
  </xdr:twoCellAnchor>
  <xdr:twoCellAnchor editAs="absolute">
    <xdr:from>
      <xdr:col>5</xdr:col>
      <xdr:colOff>180159</xdr:colOff>
      <xdr:row>0</xdr:row>
      <xdr:rowOff>142240</xdr:rowOff>
    </xdr:from>
    <xdr:to>
      <xdr:col>9</xdr:col>
      <xdr:colOff>18869</xdr:colOff>
      <xdr:row>3</xdr:row>
      <xdr:rowOff>38100</xdr:rowOff>
    </xdr:to>
    <xdr:sp macro="[0]!Btn_insert_B_sheet" textlink="">
      <xdr:nvSpPr>
        <xdr:cNvPr id="4" name="Rounded Rectangle 3"/>
        <xdr:cNvSpPr/>
      </xdr:nvSpPr>
      <xdr:spPr>
        <a:xfrm>
          <a:off x="3386909" y="142240"/>
          <a:ext cx="2404110" cy="454660"/>
        </a:xfrm>
        <a:prstGeom prst="roundRect">
          <a:avLst>
            <a:gd name="adj" fmla="val 0"/>
          </a:avLst>
        </a:prstGeom>
        <a:solidFill>
          <a:srgbClr val="FFC00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1"/>
            <a:t>Insert/update</a:t>
          </a:r>
        </a:p>
      </xdr:txBody>
    </xdr:sp>
    <xdr:clientData/>
  </xdr:twoCellAnchor>
  <xdr:twoCellAnchor editAs="absolute">
    <xdr:from>
      <xdr:col>1</xdr:col>
      <xdr:colOff>64858</xdr:colOff>
      <xdr:row>2</xdr:row>
      <xdr:rowOff>56149</xdr:rowOff>
    </xdr:from>
    <xdr:to>
      <xdr:col>2</xdr:col>
      <xdr:colOff>538480</xdr:colOff>
      <xdr:row>3</xdr:row>
      <xdr:rowOff>43181</xdr:rowOff>
    </xdr:to>
    <xdr:sp macro="[0]!Btn_clear_sheet" textlink="">
      <xdr:nvSpPr>
        <xdr:cNvPr id="5" name="Rounded Rectangle 4"/>
        <xdr:cNvSpPr>
          <a:spLocks/>
        </xdr:cNvSpPr>
      </xdr:nvSpPr>
      <xdr:spPr>
        <a:xfrm>
          <a:off x="707478" y="432069"/>
          <a:ext cx="1116242" cy="172452"/>
        </a:xfrm>
        <a:prstGeom prst="roundRect">
          <a:avLst>
            <a:gd name="adj" fmla="val 0"/>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ctr"/>
          <a:r>
            <a:rPr lang="en-US" sz="1200" b="1">
              <a:solidFill>
                <a:schemeClr val="lt1"/>
              </a:solidFill>
              <a:latin typeface="+mn-lt"/>
              <a:ea typeface="+mn-ea"/>
              <a:cs typeface="+mn-cs"/>
            </a:rPr>
            <a:t>Clear sheet</a:t>
          </a:r>
        </a:p>
      </xdr:txBody>
    </xdr:sp>
    <xdr:clientData/>
  </xdr:twoCellAnchor>
  <xdr:twoCellAnchor editAs="absolute">
    <xdr:from>
      <xdr:col>0</xdr:col>
      <xdr:colOff>83820</xdr:colOff>
      <xdr:row>0</xdr:row>
      <xdr:rowOff>150494</xdr:rowOff>
    </xdr:from>
    <xdr:to>
      <xdr:col>0</xdr:col>
      <xdr:colOff>581696</xdr:colOff>
      <xdr:row>3</xdr:row>
      <xdr:rowOff>38743</xdr:rowOff>
    </xdr:to>
    <xdr:sp macro="[0]!Btn_go_home" textlink="">
      <xdr:nvSpPr>
        <xdr:cNvPr id="7" name="Rounded Rectangle 6"/>
        <xdr:cNvSpPr/>
      </xdr:nvSpPr>
      <xdr:spPr>
        <a:xfrm>
          <a:off x="83820" y="150494"/>
          <a:ext cx="497876" cy="459749"/>
        </a:xfrm>
        <a:prstGeom prst="roundRect">
          <a:avLst/>
        </a:prstGeom>
        <a:blipFill dpi="0" rotWithShape="1">
          <a:blip xmlns:r="http://schemas.openxmlformats.org/officeDocument/2006/relationships" r:embed="rId1" cstate="print">
            <a:extLst>
              <a:ext uri="{28A0092B-C50C-407E-A947-70E740481C1C}">
                <a14:useLocalDpi xmlns:a14="http://schemas.microsoft.com/office/drawing/2010/main" val="0"/>
              </a:ext>
            </a:extLst>
          </a:blip>
          <a:srcRect/>
          <a:stretch>
            <a:fillRect/>
          </a:stretch>
        </a:bli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endParaRPr lang="en-US" sz="1400" b="1">
            <a:solidFill>
              <a:schemeClr val="accent1">
                <a:lumMod val="50000"/>
              </a:schemeClr>
            </a:solidFill>
          </a:endParaRPr>
        </a:p>
        <a:p>
          <a:pPr algn="ctr"/>
          <a:endParaRPr lang="en-US" sz="1400" b="1">
            <a:solidFill>
              <a:schemeClr val="accent1">
                <a:lumMod val="50000"/>
              </a:schemeClr>
            </a:solidFill>
          </a:endParaRPr>
        </a:p>
        <a:p>
          <a:pPr algn="ctr"/>
          <a:endParaRPr lang="en-US" sz="1400" b="1">
            <a:solidFill>
              <a:schemeClr val="accent1">
                <a:lumMod val="50000"/>
              </a:schemeClr>
            </a:solidFill>
          </a:endParaRPr>
        </a:p>
      </xdr:txBody>
    </xdr:sp>
    <xdr:clientData/>
  </xdr:twoCellAnchor>
  <xdr:twoCellAnchor editAs="absolute">
    <xdr:from>
      <xdr:col>9</xdr:col>
      <xdr:colOff>321211</xdr:colOff>
      <xdr:row>0</xdr:row>
      <xdr:rowOff>71511</xdr:rowOff>
    </xdr:from>
    <xdr:to>
      <xdr:col>12</xdr:col>
      <xdr:colOff>579120</xdr:colOff>
      <xdr:row>4</xdr:row>
      <xdr:rowOff>10551</xdr:rowOff>
    </xdr:to>
    <xdr:sp macro="" textlink="">
      <xdr:nvSpPr>
        <xdr:cNvPr id="8" name="Rectangle 7"/>
        <xdr:cNvSpPr/>
      </xdr:nvSpPr>
      <xdr:spPr>
        <a:xfrm>
          <a:off x="5807611" y="71511"/>
          <a:ext cx="2077184" cy="701040"/>
        </a:xfrm>
        <a:prstGeom prst="rect">
          <a:avLst/>
        </a:prstGeom>
        <a:solidFill>
          <a:schemeClr val="bg1">
            <a:lumMod val="85000"/>
          </a:schemeClr>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562141</xdr:colOff>
      <xdr:row>0</xdr:row>
      <xdr:rowOff>161779</xdr:rowOff>
    </xdr:from>
    <xdr:to>
      <xdr:col>12</xdr:col>
      <xdr:colOff>386882</xdr:colOff>
      <xdr:row>1</xdr:row>
      <xdr:rowOff>153936</xdr:rowOff>
    </xdr:to>
    <xdr:sp macro="" textlink="">
      <xdr:nvSpPr>
        <xdr:cNvPr id="9" name="Rounded Rectangle 8"/>
        <xdr:cNvSpPr/>
      </xdr:nvSpPr>
      <xdr:spPr>
        <a:xfrm>
          <a:off x="6658141" y="161779"/>
          <a:ext cx="1034416" cy="182657"/>
        </a:xfrm>
        <a:prstGeom prst="roundRect">
          <a:avLst>
            <a:gd name="adj" fmla="val 0"/>
          </a:avLst>
        </a:prstGeom>
        <a:solidFill>
          <a:srgbClr val="FF0000"/>
        </a:solidFill>
        <a:effectLst/>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0"/>
            <a:t>PRIMARY KEY</a:t>
          </a:r>
          <a:endParaRPr lang="en-US" sz="1400" b="0"/>
        </a:p>
      </xdr:txBody>
    </xdr:sp>
    <xdr:clientData/>
  </xdr:twoCellAnchor>
  <xdr:twoCellAnchor editAs="absolute">
    <xdr:from>
      <xdr:col>10</xdr:col>
      <xdr:colOff>573374</xdr:colOff>
      <xdr:row>1</xdr:row>
      <xdr:rowOff>173975</xdr:rowOff>
    </xdr:from>
    <xdr:to>
      <xdr:col>12</xdr:col>
      <xdr:colOff>396730</xdr:colOff>
      <xdr:row>2</xdr:row>
      <xdr:rowOff>157339</xdr:rowOff>
    </xdr:to>
    <xdr:sp macro="" textlink="">
      <xdr:nvSpPr>
        <xdr:cNvPr id="10" name="Rounded Rectangle 9"/>
        <xdr:cNvSpPr/>
      </xdr:nvSpPr>
      <xdr:spPr>
        <a:xfrm>
          <a:off x="6669374" y="364475"/>
          <a:ext cx="1033031" cy="173864"/>
        </a:xfrm>
        <a:prstGeom prst="roundRect">
          <a:avLst>
            <a:gd name="adj" fmla="val 0"/>
          </a:avLst>
        </a:prstGeom>
        <a:solidFill>
          <a:schemeClr val="accent5"/>
        </a:solidFill>
        <a:effectLst/>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0" i="1"/>
            <a:t>FOREIGN KEY</a:t>
          </a:r>
          <a:endParaRPr lang="en-US" sz="1400" b="0" i="1"/>
        </a:p>
      </xdr:txBody>
    </xdr:sp>
    <xdr:clientData/>
  </xdr:twoCellAnchor>
  <xdr:twoCellAnchor editAs="absolute">
    <xdr:from>
      <xdr:col>9</xdr:col>
      <xdr:colOff>342899</xdr:colOff>
      <xdr:row>0</xdr:row>
      <xdr:rowOff>145074</xdr:rowOff>
    </xdr:from>
    <xdr:to>
      <xdr:col>10</xdr:col>
      <xdr:colOff>411500</xdr:colOff>
      <xdr:row>1</xdr:row>
      <xdr:rowOff>189398</xdr:rowOff>
    </xdr:to>
    <xdr:sp macro="" textlink="">
      <xdr:nvSpPr>
        <xdr:cNvPr id="11" name="Rounded Rectangle 10"/>
        <xdr:cNvSpPr/>
      </xdr:nvSpPr>
      <xdr:spPr>
        <a:xfrm>
          <a:off x="5829299" y="145074"/>
          <a:ext cx="678201" cy="234824"/>
        </a:xfrm>
        <a:prstGeom prst="roundRect">
          <a:avLst>
            <a:gd name="adj" fmla="val 0"/>
          </a:avLst>
        </a:prstGeom>
        <a:noFill/>
        <a:effectLst/>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0"/>
            <a:t>Legend:</a:t>
          </a:r>
          <a:endParaRPr lang="en-US" sz="1400" b="0"/>
        </a:p>
      </xdr:txBody>
    </xdr:sp>
    <xdr:clientData/>
  </xdr:twoCellAnchor>
  <xdr:twoCellAnchor editAs="absolute">
    <xdr:from>
      <xdr:col>10</xdr:col>
      <xdr:colOff>573374</xdr:colOff>
      <xdr:row>2</xdr:row>
      <xdr:rowOff>181595</xdr:rowOff>
    </xdr:from>
    <xdr:to>
      <xdr:col>12</xdr:col>
      <xdr:colOff>396730</xdr:colOff>
      <xdr:row>3</xdr:row>
      <xdr:rowOff>164959</xdr:rowOff>
    </xdr:to>
    <xdr:sp macro="" textlink="">
      <xdr:nvSpPr>
        <xdr:cNvPr id="12" name="Rounded Rectangle 11"/>
        <xdr:cNvSpPr/>
      </xdr:nvSpPr>
      <xdr:spPr>
        <a:xfrm>
          <a:off x="6669374" y="562595"/>
          <a:ext cx="1033031" cy="173864"/>
        </a:xfrm>
        <a:prstGeom prst="roundRect">
          <a:avLst>
            <a:gd name="adj" fmla="val 0"/>
          </a:avLst>
        </a:prstGeom>
        <a:solidFill>
          <a:schemeClr val="accent5"/>
        </a:solidFill>
        <a:effectLst/>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1" i="0"/>
            <a:t>MANDATORY</a:t>
          </a:r>
          <a:endParaRPr lang="en-US" sz="1400" b="1" i="0"/>
        </a:p>
      </xdr:txBody>
    </xdr:sp>
    <xdr:clientData/>
  </xdr:twoCellAnchor>
  <xdr:twoCellAnchor editAs="absolute">
    <xdr:from>
      <xdr:col>12</xdr:col>
      <xdr:colOff>820615</xdr:colOff>
      <xdr:row>0</xdr:row>
      <xdr:rowOff>156798</xdr:rowOff>
    </xdr:from>
    <xdr:to>
      <xdr:col>16</xdr:col>
      <xdr:colOff>5860</xdr:colOff>
      <xdr:row>3</xdr:row>
      <xdr:rowOff>84992</xdr:rowOff>
    </xdr:to>
    <xdr:sp macro="" textlink="">
      <xdr:nvSpPr>
        <xdr:cNvPr id="13" name="RECT_HELP" descr="je teste cette description" title="test"/>
        <xdr:cNvSpPr/>
      </xdr:nvSpPr>
      <xdr:spPr>
        <a:xfrm>
          <a:off x="8126290" y="156798"/>
          <a:ext cx="1842720" cy="499694"/>
        </a:xfrm>
        <a:prstGeom prst="rect">
          <a:avLst/>
        </a:prstGeom>
        <a:solidFill>
          <a:schemeClr val="bg1">
            <a:lumMod val="85000"/>
          </a:schemeClr>
        </a:solidFill>
        <a:ln w="19050">
          <a:solidFill>
            <a:sysClr val="windowText" lastClr="00000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n>
                <a:noFill/>
              </a:ln>
              <a:solidFill>
                <a:sysClr val="windowText" lastClr="000000"/>
              </a:solidFill>
            </a:rPr>
            <a:t>Click here to see</a:t>
          </a:r>
          <a:r>
            <a:rPr lang="en-US" sz="1100" baseline="0">
              <a:ln>
                <a:noFill/>
              </a:ln>
              <a:solidFill>
                <a:sysClr val="windowText" lastClr="000000"/>
              </a:solidFill>
            </a:rPr>
            <a:t> help page for </a:t>
          </a:r>
          <a:endParaRPr lang="en-US" sz="1100">
            <a:ln>
              <a:noFill/>
            </a:ln>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absoluteAnchor>
    <xdr:pos x="691974" y="58899"/>
    <xdr:ext cx="1184874" cy="166654"/>
    <xdr:sp macro="[0]!Btn_initialize_SV_sheet" textlink="">
      <xdr:nvSpPr>
        <xdr:cNvPr id="2" name="BTN_INIT"/>
        <xdr:cNvSpPr>
          <a:spLocks noChangeAspect="1"/>
        </xdr:cNvSpPr>
      </xdr:nvSpPr>
      <xdr:spPr>
        <a:xfrm>
          <a:off x="691974" y="58899"/>
          <a:ext cx="1184874" cy="166654"/>
        </a:xfrm>
        <a:prstGeom prst="roundRect">
          <a:avLst>
            <a:gd name="adj" fmla="val 0"/>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1"/>
            <a:t>Initialize</a:t>
          </a:r>
          <a:r>
            <a:rPr lang="en-US" sz="1200" b="1" baseline="0"/>
            <a:t> sheet</a:t>
          </a:r>
          <a:endParaRPr lang="en-US" sz="1200" b="1"/>
        </a:p>
      </xdr:txBody>
    </xdr:sp>
    <xdr:clientData/>
  </xdr:absoluteAnchor>
  <xdr:absoluteAnchor>
    <xdr:pos x="687023" y="342899"/>
    <xdr:ext cx="1185552" cy="166878"/>
    <xdr:sp macro="[0]!Btn_clear_sheet" textlink="">
      <xdr:nvSpPr>
        <xdr:cNvPr id="3" name="BTN_CLEAR"/>
        <xdr:cNvSpPr>
          <a:spLocks/>
        </xdr:cNvSpPr>
      </xdr:nvSpPr>
      <xdr:spPr>
        <a:xfrm>
          <a:off x="687023" y="342899"/>
          <a:ext cx="1185552" cy="166878"/>
        </a:xfrm>
        <a:prstGeom prst="roundRect">
          <a:avLst>
            <a:gd name="adj" fmla="val 0"/>
          </a:avLst>
        </a:prstGeom>
        <a:solidFill>
          <a:srgbClr val="00385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ctr"/>
          <a:r>
            <a:rPr lang="en-US" sz="1200" b="1">
              <a:solidFill>
                <a:schemeClr val="lt1"/>
              </a:solidFill>
              <a:latin typeface="+mn-lt"/>
              <a:ea typeface="+mn-ea"/>
              <a:cs typeface="+mn-cs"/>
            </a:rPr>
            <a:t>Clear sheet</a:t>
          </a:r>
        </a:p>
      </xdr:txBody>
    </xdr:sp>
    <xdr:clientData/>
  </xdr:absoluteAnchor>
  <xdr:absoluteAnchor>
    <xdr:pos x="51395" y="53217"/>
    <xdr:ext cx="497876" cy="447049"/>
    <xdr:sp macro="[0]!Btn_go_home" textlink="">
      <xdr:nvSpPr>
        <xdr:cNvPr id="4" name="BTN_MAIN"/>
        <xdr:cNvSpPr/>
      </xdr:nvSpPr>
      <xdr:spPr>
        <a:xfrm>
          <a:off x="51395" y="53217"/>
          <a:ext cx="497876" cy="447049"/>
        </a:xfrm>
        <a:prstGeom prst="roundRect">
          <a:avLst/>
        </a:prstGeom>
        <a:blipFill dpi="0" rotWithShape="1">
          <a:blip xmlns:r="http://schemas.openxmlformats.org/officeDocument/2006/relationships" r:embed="rId1" cstate="print">
            <a:extLst>
              <a:ext uri="{28A0092B-C50C-407E-A947-70E740481C1C}">
                <a14:useLocalDpi xmlns:a14="http://schemas.microsoft.com/office/drawing/2010/main" val="0"/>
              </a:ext>
            </a:extLst>
          </a:blip>
          <a:srcRect/>
          <a:stretch>
            <a:fillRect/>
          </a:stretch>
        </a:bli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endParaRPr lang="en-US" sz="1400" b="1">
            <a:solidFill>
              <a:schemeClr val="accent1">
                <a:lumMod val="50000"/>
              </a:schemeClr>
            </a:solidFill>
          </a:endParaRPr>
        </a:p>
        <a:p>
          <a:pPr algn="ctr"/>
          <a:endParaRPr lang="en-US" sz="1400" b="1">
            <a:solidFill>
              <a:schemeClr val="accent1">
                <a:lumMod val="50000"/>
              </a:schemeClr>
            </a:solidFill>
          </a:endParaRPr>
        </a:p>
        <a:p>
          <a:pPr algn="ctr"/>
          <a:endParaRPr lang="en-US" sz="1400" b="1">
            <a:solidFill>
              <a:schemeClr val="accent1">
                <a:lumMod val="50000"/>
              </a:schemeClr>
            </a:solidFill>
          </a:endParaRPr>
        </a:p>
      </xdr:txBody>
    </xdr:sp>
    <xdr:clientData/>
  </xdr:absoluteAnchor>
  <xdr:absoluteAnchor>
    <xdr:pos x="2026188" y="59148"/>
    <xdr:ext cx="2140508" cy="623814"/>
    <xdr:sp macro="" textlink="">
      <xdr:nvSpPr>
        <xdr:cNvPr id="5" name="Rect_legend"/>
        <xdr:cNvSpPr/>
      </xdr:nvSpPr>
      <xdr:spPr>
        <a:xfrm>
          <a:off x="2026188" y="59148"/>
          <a:ext cx="2140508" cy="623814"/>
        </a:xfrm>
        <a:prstGeom prst="rect">
          <a:avLst/>
        </a:prstGeom>
        <a:solidFill>
          <a:schemeClr val="bg1">
            <a:lumMod val="85000"/>
          </a:schemeClr>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absoluteAnchor>
  <xdr:absoluteAnchor>
    <xdr:pos x="2790352" y="138352"/>
    <xdr:ext cx="1227260" cy="176307"/>
    <xdr:sp macro="" textlink="">
      <xdr:nvSpPr>
        <xdr:cNvPr id="6" name="RECT_LEGEND_MANDATORY"/>
        <xdr:cNvSpPr/>
      </xdr:nvSpPr>
      <xdr:spPr>
        <a:xfrm>
          <a:off x="2790352" y="138352"/>
          <a:ext cx="1227260" cy="176307"/>
        </a:xfrm>
        <a:prstGeom prst="roundRect">
          <a:avLst>
            <a:gd name="adj" fmla="val 0"/>
          </a:avLst>
        </a:prstGeom>
        <a:solidFill>
          <a:schemeClr val="accent5"/>
        </a:solidFill>
        <a:effectLst/>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1">
              <a:solidFill>
                <a:schemeClr val="bg1"/>
              </a:solidFill>
            </a:rPr>
            <a:t>MANDATORY</a:t>
          </a:r>
          <a:endParaRPr lang="en-US" sz="1400" b="1">
            <a:solidFill>
              <a:schemeClr val="bg1"/>
            </a:solidFill>
          </a:endParaRPr>
        </a:p>
      </xdr:txBody>
    </xdr:sp>
    <xdr:clientData/>
  </xdr:absoluteAnchor>
  <xdr:absoluteAnchor>
    <xdr:pos x="2790352" y="337272"/>
    <xdr:ext cx="1225878" cy="167514"/>
    <xdr:sp macro="" textlink="">
      <xdr:nvSpPr>
        <xdr:cNvPr id="7" name="RECT_LEGEND_OPTIONAL"/>
        <xdr:cNvSpPr/>
      </xdr:nvSpPr>
      <xdr:spPr>
        <a:xfrm>
          <a:off x="2790352" y="337272"/>
          <a:ext cx="1225878" cy="167514"/>
        </a:xfrm>
        <a:prstGeom prst="roundRect">
          <a:avLst>
            <a:gd name="adj" fmla="val 0"/>
          </a:avLst>
        </a:prstGeom>
        <a:solidFill>
          <a:schemeClr val="accent5"/>
        </a:solidFill>
        <a:effectLst/>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0" i="1"/>
            <a:t>OPTIONAL</a:t>
          </a:r>
          <a:endParaRPr lang="en-US" sz="1400" b="0" i="1"/>
        </a:p>
      </xdr:txBody>
    </xdr:sp>
    <xdr:clientData/>
  </xdr:absoluteAnchor>
  <xdr:absoluteAnchor>
    <xdr:pos x="2047874" y="121647"/>
    <xdr:ext cx="709951" cy="228474"/>
    <xdr:sp macro="" textlink="">
      <xdr:nvSpPr>
        <xdr:cNvPr id="8" name="RECT_LEGEND_LIB"/>
        <xdr:cNvSpPr/>
      </xdr:nvSpPr>
      <xdr:spPr>
        <a:xfrm>
          <a:off x="2047874" y="121647"/>
          <a:ext cx="709951" cy="228474"/>
        </a:xfrm>
        <a:prstGeom prst="roundRect">
          <a:avLst>
            <a:gd name="adj" fmla="val 0"/>
          </a:avLst>
        </a:prstGeom>
        <a:noFill/>
        <a:effectLst/>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200" b="0"/>
            <a:t>Legend:</a:t>
          </a:r>
          <a:endParaRPr lang="en-US" sz="1400" b="0"/>
        </a:p>
      </xdr:txBody>
    </xdr:sp>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3.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C00000"/>
  </sheetPr>
  <dimension ref="A1:AM4308"/>
  <sheetViews>
    <sheetView topLeftCell="L40" zoomScaleNormal="100" workbookViewId="0">
      <selection activeCell="U15" sqref="U15"/>
    </sheetView>
  </sheetViews>
  <sheetFormatPr defaultColWidth="11.54296875" defaultRowHeight="14.5" x14ac:dyDescent="0.35"/>
  <cols>
    <col min="1" max="1" width="27.54296875" style="1" bestFit="1" customWidth="1"/>
    <col min="2" max="2" width="9.1796875" style="1" customWidth="1"/>
    <col min="3" max="3" width="86.1796875" style="1" bestFit="1" customWidth="1"/>
    <col min="4" max="4" width="9.1796875" style="1"/>
    <col min="5" max="5" width="21.1796875" style="1" bestFit="1" customWidth="1"/>
    <col min="6" max="6" width="28.81640625" style="33" bestFit="1" customWidth="1"/>
    <col min="7" max="7" width="11.54296875" style="1" customWidth="1"/>
    <col min="8" max="8" width="21.1796875" style="1" bestFit="1" customWidth="1"/>
    <col min="9" max="9" width="18.7265625" style="1" bestFit="1" customWidth="1"/>
    <col min="10" max="10" width="18.7265625" style="1" customWidth="1"/>
    <col min="11" max="11" width="21.1796875" style="1" bestFit="1" customWidth="1"/>
    <col min="12" max="12" width="28.81640625" style="1" bestFit="1" customWidth="1"/>
    <col min="13" max="13" width="11.81640625" style="1" bestFit="1" customWidth="1"/>
    <col min="14" max="14" width="10.54296875" style="1" bestFit="1" customWidth="1"/>
    <col min="15" max="15" width="11.54296875" style="1"/>
    <col min="16" max="16" width="23.26953125" style="1" bestFit="1" customWidth="1"/>
    <col min="17" max="17" width="21" style="1" bestFit="1" customWidth="1"/>
    <col min="18" max="18" width="36.453125" style="1" bestFit="1" customWidth="1"/>
    <col min="19" max="19" width="23.453125" style="1" bestFit="1" customWidth="1"/>
    <col min="20" max="20" width="18.54296875" style="9" customWidth="1"/>
    <col min="21" max="21" width="21.453125" style="9" bestFit="1" customWidth="1"/>
    <col min="22" max="22" width="11.54296875" style="1"/>
    <col min="23" max="23" width="23" style="1" bestFit="1" customWidth="1"/>
    <col min="24" max="24" width="17.81640625" style="1" bestFit="1" customWidth="1"/>
    <col min="25" max="25" width="25.26953125" style="1" bestFit="1" customWidth="1"/>
    <col min="26" max="26" width="23" style="1" bestFit="1" customWidth="1"/>
    <col min="27" max="27" width="21.453125" style="1" bestFit="1" customWidth="1"/>
    <col min="28" max="28" width="26" style="1" bestFit="1" customWidth="1"/>
    <col min="29" max="29" width="25.26953125" style="1" bestFit="1" customWidth="1"/>
    <col min="30" max="30" width="17.81640625" style="1" bestFit="1" customWidth="1"/>
    <col min="31" max="31" width="22.54296875" style="1" bestFit="1" customWidth="1"/>
    <col min="32" max="32" width="16.81640625" style="1" bestFit="1" customWidth="1"/>
    <col min="33" max="33" width="22.26953125" style="1" bestFit="1" customWidth="1"/>
    <col min="34" max="34" width="11.1796875" style="1" bestFit="1" customWidth="1"/>
    <col min="35" max="35" width="11.54296875" style="1"/>
    <col min="36" max="36" width="11.54296875" style="33"/>
    <col min="37" max="37" width="25.7265625" style="1" customWidth="1"/>
    <col min="38" max="38" width="12.7265625" style="1" bestFit="1" customWidth="1"/>
  </cols>
  <sheetData>
    <row r="1" spans="1:39" x14ac:dyDescent="0.35">
      <c r="A1" s="2" t="s">
        <v>181</v>
      </c>
      <c r="C1" s="2" t="s">
        <v>294</v>
      </c>
      <c r="E1" s="2" t="s">
        <v>344</v>
      </c>
      <c r="F1" s="2" t="s">
        <v>345</v>
      </c>
      <c r="G1" s="2" t="s">
        <v>346</v>
      </c>
      <c r="H1" s="2" t="s">
        <v>347</v>
      </c>
      <c r="I1" s="2" t="s">
        <v>348</v>
      </c>
      <c r="K1" s="2" t="s">
        <v>344</v>
      </c>
      <c r="L1" s="2" t="s">
        <v>345</v>
      </c>
      <c r="M1" s="2" t="s">
        <v>474</v>
      </c>
      <c r="N1" s="2" t="s">
        <v>475</v>
      </c>
      <c r="P1" s="2" t="s">
        <v>1511</v>
      </c>
      <c r="Q1" s="2" t="s">
        <v>1512</v>
      </c>
      <c r="R1" s="2" t="s">
        <v>1510</v>
      </c>
      <c r="S1" s="2" t="s">
        <v>1516</v>
      </c>
      <c r="T1" s="2" t="s">
        <v>1599</v>
      </c>
      <c r="U1" s="2" t="s">
        <v>1600</v>
      </c>
      <c r="V1" s="7" t="s">
        <v>1575</v>
      </c>
      <c r="W1" s="14" t="s">
        <v>1511</v>
      </c>
      <c r="X1" s="32" t="s">
        <v>1939</v>
      </c>
      <c r="Y1" s="31"/>
      <c r="Z1" s="31"/>
      <c r="AA1" s="31"/>
      <c r="AB1" s="31"/>
      <c r="AC1" s="31"/>
      <c r="AD1" s="31"/>
      <c r="AE1" s="31"/>
      <c r="AF1" s="31"/>
      <c r="AG1" s="31"/>
      <c r="AH1" s="31"/>
      <c r="AI1" s="31"/>
      <c r="AK1" s="32" t="s">
        <v>1511</v>
      </c>
      <c r="AL1" s="32" t="s">
        <v>1877</v>
      </c>
      <c r="AM1" t="s">
        <v>1575</v>
      </c>
    </row>
    <row r="2" spans="1:39" ht="15" customHeight="1" x14ac:dyDescent="0.35">
      <c r="A2" s="1" t="s">
        <v>184</v>
      </c>
      <c r="C2" s="1" t="s">
        <v>304</v>
      </c>
      <c r="E2" s="1" t="s">
        <v>184</v>
      </c>
      <c r="F2" s="1" t="s">
        <v>354</v>
      </c>
      <c r="G2" s="1">
        <v>0</v>
      </c>
      <c r="H2" s="1" t="s">
        <v>214</v>
      </c>
      <c r="I2" s="1" t="s">
        <v>352</v>
      </c>
      <c r="K2" s="8" t="s">
        <v>184</v>
      </c>
      <c r="L2" s="8" t="s">
        <v>2335</v>
      </c>
      <c r="M2" s="8">
        <v>1</v>
      </c>
      <c r="N2" s="8"/>
      <c r="P2" s="1" t="s">
        <v>1513</v>
      </c>
      <c r="Q2" s="1" t="s">
        <v>395</v>
      </c>
      <c r="R2" s="1" t="s">
        <v>1493</v>
      </c>
      <c r="S2" s="1" t="s">
        <v>517</v>
      </c>
      <c r="T2" s="67" t="s">
        <v>1592</v>
      </c>
      <c r="U2" s="13" t="s">
        <v>1601</v>
      </c>
      <c r="V2" s="7" t="s">
        <v>1575</v>
      </c>
      <c r="W2" s="1" t="s">
        <v>1513</v>
      </c>
      <c r="X2" s="1" t="s">
        <v>1493</v>
      </c>
      <c r="Y2" s="1" t="s">
        <v>1494</v>
      </c>
      <c r="Z2" s="1" t="s">
        <v>1495</v>
      </c>
      <c r="AA2" s="1" t="s">
        <v>1497</v>
      </c>
      <c r="AB2" s="1" t="s">
        <v>1496</v>
      </c>
      <c r="AC2" s="1" t="s">
        <v>1498</v>
      </c>
      <c r="AK2" s="1" t="s">
        <v>1513</v>
      </c>
      <c r="AL2" s="1" t="s">
        <v>1979</v>
      </c>
      <c r="AM2" t="s">
        <v>1575</v>
      </c>
    </row>
    <row r="3" spans="1:39" x14ac:dyDescent="0.35">
      <c r="A3" s="1" t="s">
        <v>185</v>
      </c>
      <c r="C3" s="1" t="s">
        <v>305</v>
      </c>
      <c r="E3" s="1" t="s">
        <v>184</v>
      </c>
      <c r="F3" s="1" t="s">
        <v>351</v>
      </c>
      <c r="G3" s="1">
        <v>0</v>
      </c>
      <c r="H3" s="1" t="s">
        <v>214</v>
      </c>
      <c r="I3" s="1" t="s">
        <v>349</v>
      </c>
      <c r="K3" s="8" t="s">
        <v>184</v>
      </c>
      <c r="L3" s="8" t="s">
        <v>354</v>
      </c>
      <c r="M3" s="8">
        <v>1</v>
      </c>
      <c r="N3" s="8"/>
      <c r="P3" s="1" t="s">
        <v>1513</v>
      </c>
      <c r="Q3" s="1" t="s">
        <v>504</v>
      </c>
      <c r="R3" s="1" t="s">
        <v>1775</v>
      </c>
      <c r="S3" s="1" t="s">
        <v>476</v>
      </c>
      <c r="T3" s="9" t="s">
        <v>1517</v>
      </c>
      <c r="U3" s="13"/>
      <c r="V3" s="7" t="s">
        <v>1575</v>
      </c>
      <c r="X3" s="1" t="s">
        <v>1514</v>
      </c>
      <c r="Y3" s="1" t="s">
        <v>1515</v>
      </c>
      <c r="Z3" s="1">
        <v>1</v>
      </c>
      <c r="AA3" s="1" t="s">
        <v>1524</v>
      </c>
      <c r="AB3" s="1">
        <v>1</v>
      </c>
      <c r="AC3" s="1" t="s">
        <v>1526</v>
      </c>
      <c r="AK3" s="1" t="s">
        <v>1481</v>
      </c>
      <c r="AL3" s="1" t="s">
        <v>1980</v>
      </c>
      <c r="AM3" t="s">
        <v>1575</v>
      </c>
    </row>
    <row r="4" spans="1:39" x14ac:dyDescent="0.35">
      <c r="A4" s="1" t="s">
        <v>186</v>
      </c>
      <c r="C4" s="1" t="s">
        <v>306</v>
      </c>
      <c r="E4" s="1" t="s">
        <v>184</v>
      </c>
      <c r="F4" s="1" t="s">
        <v>353</v>
      </c>
      <c r="G4" s="1">
        <v>0</v>
      </c>
      <c r="H4" s="1" t="s">
        <v>214</v>
      </c>
      <c r="I4" s="1" t="s">
        <v>349</v>
      </c>
      <c r="K4" s="8" t="s">
        <v>184</v>
      </c>
      <c r="L4" s="8" t="s">
        <v>351</v>
      </c>
      <c r="M4" s="8">
        <v>1</v>
      </c>
      <c r="N4" s="8"/>
      <c r="P4" s="1" t="s">
        <v>1513</v>
      </c>
      <c r="Q4" s="1" t="s">
        <v>441</v>
      </c>
      <c r="R4" s="1" t="s">
        <v>1495</v>
      </c>
      <c r="S4" s="1" t="s">
        <v>517</v>
      </c>
      <c r="T4" s="9" t="s">
        <v>1520</v>
      </c>
      <c r="U4" s="13"/>
      <c r="V4" s="7" t="s">
        <v>1575</v>
      </c>
      <c r="X4" s="1" t="s">
        <v>1514</v>
      </c>
      <c r="Y4" s="1" t="s">
        <v>1515</v>
      </c>
      <c r="Z4" s="1">
        <v>1</v>
      </c>
      <c r="AA4" s="1" t="s">
        <v>1525</v>
      </c>
      <c r="AB4" s="1">
        <v>1</v>
      </c>
      <c r="AC4" s="1" t="s">
        <v>1527</v>
      </c>
      <c r="AK4" s="1" t="s">
        <v>1482</v>
      </c>
      <c r="AL4" s="20" t="s">
        <v>1981</v>
      </c>
      <c r="AM4" t="s">
        <v>1575</v>
      </c>
    </row>
    <row r="5" spans="1:39" x14ac:dyDescent="0.35">
      <c r="A5" s="1" t="s">
        <v>187</v>
      </c>
      <c r="C5" s="1" t="s">
        <v>307</v>
      </c>
      <c r="E5" s="1" t="s">
        <v>184</v>
      </c>
      <c r="F5" s="1" t="s">
        <v>350</v>
      </c>
      <c r="G5" s="1">
        <v>1</v>
      </c>
      <c r="H5" s="1" t="s">
        <v>190</v>
      </c>
      <c r="I5" s="1" t="s">
        <v>350</v>
      </c>
      <c r="K5" s="8" t="s">
        <v>184</v>
      </c>
      <c r="L5" s="8" t="s">
        <v>353</v>
      </c>
      <c r="M5" s="8">
        <v>1</v>
      </c>
      <c r="N5" s="8"/>
      <c r="P5" s="1" t="s">
        <v>1513</v>
      </c>
      <c r="Q5" s="1" t="s">
        <v>442</v>
      </c>
      <c r="R5" s="1" t="s">
        <v>1497</v>
      </c>
      <c r="S5" s="1" t="s">
        <v>517</v>
      </c>
      <c r="T5" s="9" t="s">
        <v>2969</v>
      </c>
      <c r="U5" s="13"/>
      <c r="V5" s="7" t="s">
        <v>1575</v>
      </c>
      <c r="X5" s="1" t="s">
        <v>1514</v>
      </c>
      <c r="Y5" s="1" t="s">
        <v>1515</v>
      </c>
      <c r="Z5" s="1">
        <v>2</v>
      </c>
      <c r="AA5" s="1" t="s">
        <v>1524</v>
      </c>
      <c r="AB5" s="1">
        <v>2</v>
      </c>
      <c r="AC5" s="1" t="s">
        <v>1526</v>
      </c>
      <c r="AK5" s="1" t="s">
        <v>1483</v>
      </c>
      <c r="AL5" s="1" t="s">
        <v>1880</v>
      </c>
      <c r="AM5" t="s">
        <v>1575</v>
      </c>
    </row>
    <row r="6" spans="1:39" x14ac:dyDescent="0.35">
      <c r="A6" s="1" t="s">
        <v>188</v>
      </c>
      <c r="C6" s="1" t="s">
        <v>308</v>
      </c>
      <c r="E6" s="1" t="s">
        <v>184</v>
      </c>
      <c r="F6" s="1" t="s">
        <v>352</v>
      </c>
      <c r="G6" s="1">
        <v>0</v>
      </c>
      <c r="H6" s="1" t="s">
        <v>214</v>
      </c>
      <c r="I6" s="1" t="s">
        <v>352</v>
      </c>
      <c r="K6" s="8" t="s">
        <v>184</v>
      </c>
      <c r="L6" s="8" t="s">
        <v>350</v>
      </c>
      <c r="M6" s="8">
        <v>1</v>
      </c>
      <c r="N6" s="8"/>
      <c r="P6" s="1" t="s">
        <v>1513</v>
      </c>
      <c r="Q6" s="1" t="s">
        <v>443</v>
      </c>
      <c r="R6" s="1" t="s">
        <v>1496</v>
      </c>
      <c r="S6" s="1" t="s">
        <v>517</v>
      </c>
      <c r="T6" s="9" t="s">
        <v>1521</v>
      </c>
      <c r="U6" s="13"/>
      <c r="V6" s="7" t="s">
        <v>1575</v>
      </c>
      <c r="X6" s="1" t="s">
        <v>1514</v>
      </c>
      <c r="Y6" s="1" t="s">
        <v>1515</v>
      </c>
      <c r="Z6" s="1">
        <v>2</v>
      </c>
      <c r="AA6" s="1" t="s">
        <v>1525</v>
      </c>
      <c r="AB6" s="1">
        <v>2</v>
      </c>
      <c r="AC6" s="1" t="s">
        <v>1527</v>
      </c>
      <c r="AK6" s="1" t="s">
        <v>1811</v>
      </c>
      <c r="AL6" s="1" t="s">
        <v>1982</v>
      </c>
      <c r="AM6" t="s">
        <v>1575</v>
      </c>
    </row>
    <row r="7" spans="1:39" x14ac:dyDescent="0.35">
      <c r="A7" s="1" t="s">
        <v>189</v>
      </c>
      <c r="C7" s="1" t="s">
        <v>309</v>
      </c>
      <c r="E7" s="1" t="s">
        <v>184</v>
      </c>
      <c r="F7" s="1" t="s">
        <v>349</v>
      </c>
      <c r="G7" s="1">
        <v>1</v>
      </c>
      <c r="H7" s="1" t="s">
        <v>282</v>
      </c>
      <c r="I7" s="1" t="s">
        <v>349</v>
      </c>
      <c r="K7" s="8" t="s">
        <v>184</v>
      </c>
      <c r="L7" s="8" t="s">
        <v>352</v>
      </c>
      <c r="M7" s="8">
        <v>1</v>
      </c>
      <c r="N7" s="8"/>
      <c r="P7" s="1" t="s">
        <v>1513</v>
      </c>
      <c r="Q7" s="1" t="s">
        <v>444</v>
      </c>
      <c r="R7" s="1" t="s">
        <v>1498</v>
      </c>
      <c r="S7" s="1" t="s">
        <v>517</v>
      </c>
      <c r="T7" s="9" t="s">
        <v>2970</v>
      </c>
      <c r="U7" s="13"/>
      <c r="V7" s="7" t="s">
        <v>1575</v>
      </c>
      <c r="X7" s="1" t="s">
        <v>1514</v>
      </c>
      <c r="Y7" s="1" t="s">
        <v>1515</v>
      </c>
      <c r="Z7" s="1">
        <v>3</v>
      </c>
      <c r="AA7" s="1" t="s">
        <v>1524</v>
      </c>
      <c r="AB7" s="1">
        <v>3</v>
      </c>
      <c r="AC7" s="1" t="s">
        <v>1526</v>
      </c>
      <c r="AK7" s="1" t="s">
        <v>1484</v>
      </c>
      <c r="AL7" s="1" t="s">
        <v>1983</v>
      </c>
      <c r="AM7" t="s">
        <v>1575</v>
      </c>
    </row>
    <row r="8" spans="1:39" x14ac:dyDescent="0.35">
      <c r="A8" s="1" t="s">
        <v>190</v>
      </c>
      <c r="C8" s="1" t="s">
        <v>310</v>
      </c>
      <c r="E8" s="1" t="s">
        <v>185</v>
      </c>
      <c r="F8" s="1" t="s">
        <v>375</v>
      </c>
      <c r="G8" s="1">
        <v>1</v>
      </c>
      <c r="H8" s="1" t="s">
        <v>199</v>
      </c>
      <c r="I8" s="1" t="s">
        <v>375</v>
      </c>
      <c r="K8" s="8" t="s">
        <v>184</v>
      </c>
      <c r="L8" s="8" t="s">
        <v>349</v>
      </c>
      <c r="M8" s="8">
        <v>1</v>
      </c>
      <c r="N8" s="8"/>
      <c r="P8" s="1" t="s">
        <v>1481</v>
      </c>
      <c r="Q8" s="1" t="s">
        <v>415</v>
      </c>
      <c r="R8" s="1" t="s">
        <v>1769</v>
      </c>
      <c r="S8" s="1" t="s">
        <v>517</v>
      </c>
      <c r="T8" s="9" t="s">
        <v>1771</v>
      </c>
      <c r="U8" s="13" t="s">
        <v>1602</v>
      </c>
      <c r="V8" s="7" t="s">
        <v>1575</v>
      </c>
      <c r="X8" s="1" t="s">
        <v>1514</v>
      </c>
      <c r="Y8" s="1" t="s">
        <v>1515</v>
      </c>
      <c r="Z8" s="1">
        <v>3</v>
      </c>
      <c r="AA8" s="1" t="s">
        <v>1525</v>
      </c>
      <c r="AB8" s="1">
        <v>3</v>
      </c>
      <c r="AC8" s="1" t="s">
        <v>1527</v>
      </c>
      <c r="AK8" s="1" t="s">
        <v>1485</v>
      </c>
      <c r="AL8" s="1" t="s">
        <v>1984</v>
      </c>
      <c r="AM8" t="s">
        <v>1575</v>
      </c>
    </row>
    <row r="9" spans="1:39" x14ac:dyDescent="0.35">
      <c r="A9" s="1" t="s">
        <v>191</v>
      </c>
      <c r="C9" s="1" t="s">
        <v>311</v>
      </c>
      <c r="E9" s="1" t="s">
        <v>185</v>
      </c>
      <c r="F9" s="1" t="s">
        <v>376</v>
      </c>
      <c r="G9" s="1">
        <v>1</v>
      </c>
      <c r="H9" s="1" t="s">
        <v>199</v>
      </c>
      <c r="I9" s="1" t="s">
        <v>376</v>
      </c>
      <c r="K9" s="8" t="s">
        <v>185</v>
      </c>
      <c r="L9" s="8" t="s">
        <v>885</v>
      </c>
      <c r="M9" s="8">
        <v>1</v>
      </c>
      <c r="N9" s="8" t="s">
        <v>476</v>
      </c>
      <c r="P9" s="1" t="s">
        <v>1481</v>
      </c>
      <c r="Q9" s="1" t="s">
        <v>529</v>
      </c>
      <c r="R9" s="1" t="s">
        <v>1776</v>
      </c>
      <c r="S9" s="1" t="s">
        <v>517</v>
      </c>
      <c r="T9" s="9" t="s">
        <v>1770</v>
      </c>
      <c r="U9" s="13"/>
      <c r="V9" s="7" t="s">
        <v>1575</v>
      </c>
      <c r="X9" s="1" t="s">
        <v>1514</v>
      </c>
      <c r="Y9" s="1" t="s">
        <v>1515</v>
      </c>
      <c r="Z9" s="1">
        <v>4</v>
      </c>
      <c r="AA9" s="1" t="s">
        <v>1524</v>
      </c>
      <c r="AB9" s="1">
        <v>4</v>
      </c>
      <c r="AC9" s="1" t="s">
        <v>1526</v>
      </c>
      <c r="AK9" s="1" t="s">
        <v>1635</v>
      </c>
      <c r="AL9" s="1" t="s">
        <v>1985</v>
      </c>
      <c r="AM9" t="s">
        <v>1575</v>
      </c>
    </row>
    <row r="10" spans="1:39" x14ac:dyDescent="0.35">
      <c r="A10" s="1" t="s">
        <v>192</v>
      </c>
      <c r="C10" s="1" t="s">
        <v>312</v>
      </c>
      <c r="E10" s="1" t="s">
        <v>185</v>
      </c>
      <c r="F10" s="1" t="s">
        <v>374</v>
      </c>
      <c r="G10" s="1">
        <v>1</v>
      </c>
      <c r="H10" s="1" t="s">
        <v>199</v>
      </c>
      <c r="I10" s="1" t="s">
        <v>374</v>
      </c>
      <c r="K10" s="8" t="s">
        <v>185</v>
      </c>
      <c r="L10" s="8" t="s">
        <v>886</v>
      </c>
      <c r="M10" s="8">
        <v>1</v>
      </c>
      <c r="N10" s="8" t="s">
        <v>476</v>
      </c>
      <c r="P10" s="1" t="s">
        <v>1481</v>
      </c>
      <c r="Q10" s="1" t="s">
        <v>375</v>
      </c>
      <c r="R10" s="1" t="s">
        <v>1773</v>
      </c>
      <c r="S10" s="1" t="s">
        <v>517</v>
      </c>
      <c r="T10" s="9" t="s">
        <v>1772</v>
      </c>
      <c r="U10" s="13" t="s">
        <v>1603</v>
      </c>
      <c r="V10" s="7" t="s">
        <v>1575</v>
      </c>
      <c r="X10" s="1" t="s">
        <v>1514</v>
      </c>
      <c r="Y10" s="1" t="s">
        <v>1515</v>
      </c>
      <c r="Z10" s="1">
        <v>4</v>
      </c>
      <c r="AA10" s="1" t="s">
        <v>1525</v>
      </c>
      <c r="AB10" s="1">
        <v>4</v>
      </c>
      <c r="AC10" s="1" t="s">
        <v>1527</v>
      </c>
      <c r="AK10" s="1" t="s">
        <v>1656</v>
      </c>
      <c r="AL10" s="1" t="s">
        <v>1881</v>
      </c>
      <c r="AM10" t="s">
        <v>1575</v>
      </c>
    </row>
    <row r="11" spans="1:39" x14ac:dyDescent="0.35">
      <c r="A11" s="1" t="s">
        <v>193</v>
      </c>
      <c r="C11" s="1" t="s">
        <v>313</v>
      </c>
      <c r="E11" s="1" t="s">
        <v>185</v>
      </c>
      <c r="F11" s="1" t="s">
        <v>372</v>
      </c>
      <c r="G11" s="1">
        <v>1</v>
      </c>
      <c r="H11" s="1" t="s">
        <v>264</v>
      </c>
      <c r="I11" s="1" t="s">
        <v>372</v>
      </c>
      <c r="K11" s="8" t="s">
        <v>185</v>
      </c>
      <c r="L11" s="8" t="s">
        <v>887</v>
      </c>
      <c r="M11" s="8">
        <v>1</v>
      </c>
      <c r="N11" s="8" t="s">
        <v>476</v>
      </c>
      <c r="P11" s="1" t="s">
        <v>1481</v>
      </c>
      <c r="Q11" s="1" t="s">
        <v>566</v>
      </c>
      <c r="R11" s="1" t="s">
        <v>1774</v>
      </c>
      <c r="S11" s="1" t="s">
        <v>517</v>
      </c>
      <c r="T11" s="9" t="s">
        <v>1777</v>
      </c>
      <c r="U11" s="13"/>
      <c r="V11" s="7" t="s">
        <v>1575</v>
      </c>
      <c r="X11" s="1" t="s">
        <v>1514</v>
      </c>
      <c r="Y11" s="1" t="s">
        <v>1515</v>
      </c>
      <c r="Z11" s="1">
        <v>5</v>
      </c>
      <c r="AA11" s="1" t="s">
        <v>1524</v>
      </c>
      <c r="AB11" s="1">
        <v>5</v>
      </c>
      <c r="AC11" s="1" t="s">
        <v>1526</v>
      </c>
      <c r="AK11" s="1" t="s">
        <v>1664</v>
      </c>
      <c r="AL11" s="1" t="s">
        <v>1986</v>
      </c>
      <c r="AM11" t="s">
        <v>1575</v>
      </c>
    </row>
    <row r="12" spans="1:39" x14ac:dyDescent="0.35">
      <c r="A12" s="1" t="s">
        <v>194</v>
      </c>
      <c r="C12" s="1" t="s">
        <v>314</v>
      </c>
      <c r="E12" s="1" t="s">
        <v>186</v>
      </c>
      <c r="F12" s="1" t="s">
        <v>375</v>
      </c>
      <c r="G12" s="1">
        <v>1</v>
      </c>
      <c r="H12" s="1" t="s">
        <v>199</v>
      </c>
      <c r="I12" s="1" t="s">
        <v>375</v>
      </c>
      <c r="K12" s="8" t="s">
        <v>185</v>
      </c>
      <c r="L12" s="8" t="s">
        <v>888</v>
      </c>
      <c r="M12" s="8">
        <v>1</v>
      </c>
      <c r="N12" s="8" t="s">
        <v>476</v>
      </c>
      <c r="P12" s="1" t="s">
        <v>1481</v>
      </c>
      <c r="Q12" s="1" t="s">
        <v>559</v>
      </c>
      <c r="R12" s="1" t="s">
        <v>1778</v>
      </c>
      <c r="S12" s="1" t="s">
        <v>476</v>
      </c>
      <c r="T12" s="9" t="s">
        <v>1517</v>
      </c>
      <c r="U12" s="13"/>
      <c r="V12" s="7" t="s">
        <v>1575</v>
      </c>
      <c r="X12" s="1" t="s">
        <v>1514</v>
      </c>
      <c r="Y12" s="1" t="s">
        <v>1515</v>
      </c>
      <c r="Z12" s="1">
        <v>5</v>
      </c>
      <c r="AA12" s="1" t="s">
        <v>1525</v>
      </c>
      <c r="AB12" s="1">
        <v>5</v>
      </c>
      <c r="AC12" s="1" t="s">
        <v>1527</v>
      </c>
      <c r="AK12" s="1" t="s">
        <v>1673</v>
      </c>
      <c r="AL12" s="26" t="s">
        <v>1987</v>
      </c>
      <c r="AM12" t="s">
        <v>1575</v>
      </c>
    </row>
    <row r="13" spans="1:39" x14ac:dyDescent="0.35">
      <c r="A13" s="1" t="s">
        <v>195</v>
      </c>
      <c r="C13" s="1" t="s">
        <v>315</v>
      </c>
      <c r="E13" s="1" t="s">
        <v>186</v>
      </c>
      <c r="F13" s="1" t="s">
        <v>376</v>
      </c>
      <c r="G13" s="1">
        <v>1</v>
      </c>
      <c r="H13" s="1" t="s">
        <v>199</v>
      </c>
      <c r="I13" s="1" t="s">
        <v>376</v>
      </c>
      <c r="K13" s="8" t="s">
        <v>185</v>
      </c>
      <c r="L13" s="8" t="s">
        <v>480</v>
      </c>
      <c r="M13" s="8">
        <v>0</v>
      </c>
      <c r="N13" s="8"/>
      <c r="P13" s="1" t="s">
        <v>1481</v>
      </c>
      <c r="Q13" s="1" t="s">
        <v>414</v>
      </c>
      <c r="R13" s="1" t="s">
        <v>1499</v>
      </c>
      <c r="S13" s="1" t="s">
        <v>517</v>
      </c>
      <c r="T13" s="9" t="s">
        <v>1593</v>
      </c>
      <c r="U13" s="13" t="s">
        <v>1604</v>
      </c>
      <c r="V13" s="7" t="s">
        <v>1575</v>
      </c>
      <c r="X13" s="1" t="s">
        <v>1542</v>
      </c>
      <c r="Y13" s="1" t="s">
        <v>1617</v>
      </c>
      <c r="Z13" s="1">
        <v>1</v>
      </c>
      <c r="AA13" s="1" t="s">
        <v>1524</v>
      </c>
      <c r="AB13" s="8" t="s">
        <v>567</v>
      </c>
      <c r="AC13" s="8" t="s">
        <v>2968</v>
      </c>
      <c r="AK13" s="1" t="s">
        <v>1683</v>
      </c>
      <c r="AL13" s="1" t="s">
        <v>1988</v>
      </c>
      <c r="AM13" t="s">
        <v>1575</v>
      </c>
    </row>
    <row r="14" spans="1:39" x14ac:dyDescent="0.35">
      <c r="A14" s="1" t="s">
        <v>196</v>
      </c>
      <c r="C14" s="1" t="s">
        <v>316</v>
      </c>
      <c r="E14" s="1" t="s">
        <v>186</v>
      </c>
      <c r="F14" s="1" t="s">
        <v>374</v>
      </c>
      <c r="G14" s="1">
        <v>1</v>
      </c>
      <c r="H14" s="1" t="s">
        <v>199</v>
      </c>
      <c r="I14" s="1" t="s">
        <v>374</v>
      </c>
      <c r="K14" s="8" t="s">
        <v>185</v>
      </c>
      <c r="L14" s="8" t="s">
        <v>481</v>
      </c>
      <c r="M14" s="8">
        <v>0</v>
      </c>
      <c r="N14" s="8"/>
      <c r="P14" s="1" t="s">
        <v>1481</v>
      </c>
      <c r="Q14" s="1" t="s">
        <v>524</v>
      </c>
      <c r="R14" s="1" t="s">
        <v>1779</v>
      </c>
      <c r="S14" s="1" t="s">
        <v>476</v>
      </c>
      <c r="T14" s="9" t="s">
        <v>1517</v>
      </c>
      <c r="U14" s="13"/>
      <c r="V14" s="7" t="s">
        <v>1575</v>
      </c>
      <c r="X14" s="1" t="s">
        <v>1542</v>
      </c>
      <c r="Y14" s="1" t="s">
        <v>1617</v>
      </c>
      <c r="Z14" s="1">
        <v>2</v>
      </c>
      <c r="AA14" s="1" t="s">
        <v>1524</v>
      </c>
      <c r="AB14" s="8" t="s">
        <v>1629</v>
      </c>
      <c r="AC14" s="8" t="s">
        <v>2968</v>
      </c>
      <c r="AK14" s="1" t="s">
        <v>1825</v>
      </c>
      <c r="AL14" s="1" t="s">
        <v>1989</v>
      </c>
      <c r="AM14" t="s">
        <v>1575</v>
      </c>
    </row>
    <row r="15" spans="1:39" x14ac:dyDescent="0.35">
      <c r="A15" s="1" t="s">
        <v>197</v>
      </c>
      <c r="C15" s="1" t="s">
        <v>317</v>
      </c>
      <c r="E15" s="1" t="s">
        <v>186</v>
      </c>
      <c r="F15" s="1" t="s">
        <v>372</v>
      </c>
      <c r="G15" s="1">
        <v>1</v>
      </c>
      <c r="H15" s="1" t="s">
        <v>266</v>
      </c>
      <c r="I15" s="1" t="s">
        <v>372</v>
      </c>
      <c r="K15" s="8" t="s">
        <v>185</v>
      </c>
      <c r="L15" s="8" t="s">
        <v>482</v>
      </c>
      <c r="M15" s="8">
        <v>0</v>
      </c>
      <c r="N15" s="8"/>
      <c r="P15" s="1" t="s">
        <v>1481</v>
      </c>
      <c r="Q15" s="1" t="s">
        <v>376</v>
      </c>
      <c r="R15" s="1" t="s">
        <v>1500</v>
      </c>
      <c r="S15" s="1" t="s">
        <v>517</v>
      </c>
      <c r="T15" s="9" t="s">
        <v>1782</v>
      </c>
      <c r="U15" s="13" t="s">
        <v>1605</v>
      </c>
      <c r="V15" s="7" t="s">
        <v>1575</v>
      </c>
      <c r="X15" s="1" t="s">
        <v>1542</v>
      </c>
      <c r="Y15" s="1" t="s">
        <v>1617</v>
      </c>
      <c r="Z15" s="1">
        <v>3</v>
      </c>
      <c r="AA15" s="1" t="s">
        <v>1524</v>
      </c>
      <c r="AB15" s="8" t="s">
        <v>1630</v>
      </c>
      <c r="AC15" s="8" t="s">
        <v>2968</v>
      </c>
      <c r="AK15" s="1" t="s">
        <v>1688</v>
      </c>
      <c r="AL15" s="1" t="s">
        <v>1990</v>
      </c>
      <c r="AM15" t="s">
        <v>1575</v>
      </c>
    </row>
    <row r="16" spans="1:39" x14ac:dyDescent="0.35">
      <c r="A16" s="1" t="s">
        <v>198</v>
      </c>
      <c r="C16" s="1" t="s">
        <v>318</v>
      </c>
      <c r="E16" s="1" t="s">
        <v>187</v>
      </c>
      <c r="F16" s="1" t="s">
        <v>375</v>
      </c>
      <c r="G16" s="1">
        <v>1</v>
      </c>
      <c r="H16" s="1" t="s">
        <v>226</v>
      </c>
      <c r="I16" s="1" t="s">
        <v>375</v>
      </c>
      <c r="K16" s="8" t="s">
        <v>185</v>
      </c>
      <c r="L16" s="8" t="s">
        <v>483</v>
      </c>
      <c r="M16" s="8">
        <v>0</v>
      </c>
      <c r="N16" s="8"/>
      <c r="P16" s="1" t="s">
        <v>1481</v>
      </c>
      <c r="Q16" s="1" t="s">
        <v>588</v>
      </c>
      <c r="R16" s="1" t="s">
        <v>1781</v>
      </c>
      <c r="S16" s="1" t="s">
        <v>476</v>
      </c>
      <c r="T16" s="9" t="s">
        <v>1517</v>
      </c>
      <c r="U16" s="13"/>
      <c r="V16" s="7" t="s">
        <v>1575</v>
      </c>
      <c r="X16" s="1" t="s">
        <v>1542</v>
      </c>
      <c r="Y16" s="1" t="s">
        <v>1617</v>
      </c>
      <c r="Z16" s="1">
        <v>4</v>
      </c>
      <c r="AA16" s="1" t="s">
        <v>1524</v>
      </c>
      <c r="AB16" s="8" t="s">
        <v>1631</v>
      </c>
      <c r="AC16" s="8" t="s">
        <v>2968</v>
      </c>
      <c r="AK16" s="1" t="s">
        <v>1693</v>
      </c>
      <c r="AL16" s="1" t="s">
        <v>1991</v>
      </c>
      <c r="AM16" t="s">
        <v>1575</v>
      </c>
    </row>
    <row r="17" spans="1:39" x14ac:dyDescent="0.35">
      <c r="A17" s="1" t="s">
        <v>199</v>
      </c>
      <c r="C17" s="1" t="s">
        <v>319</v>
      </c>
      <c r="E17" s="1" t="s">
        <v>187</v>
      </c>
      <c r="F17" s="1" t="s">
        <v>376</v>
      </c>
      <c r="G17" s="1">
        <v>1</v>
      </c>
      <c r="H17" s="1" t="s">
        <v>226</v>
      </c>
      <c r="I17" s="1" t="s">
        <v>376</v>
      </c>
      <c r="K17" s="8" t="s">
        <v>185</v>
      </c>
      <c r="L17" s="8" t="s">
        <v>484</v>
      </c>
      <c r="M17" s="8">
        <v>0</v>
      </c>
      <c r="N17" s="8"/>
      <c r="P17" s="1" t="s">
        <v>1481</v>
      </c>
      <c r="Q17" s="1" t="s">
        <v>595</v>
      </c>
      <c r="R17" s="1" t="s">
        <v>1780</v>
      </c>
      <c r="S17" s="1" t="s">
        <v>517</v>
      </c>
      <c r="T17" s="9" t="s">
        <v>1522</v>
      </c>
      <c r="U17" s="13"/>
      <c r="V17" s="7" t="s">
        <v>1575</v>
      </c>
      <c r="X17" s="1" t="s">
        <v>1542</v>
      </c>
      <c r="Y17" s="1" t="s">
        <v>1617</v>
      </c>
      <c r="Z17" s="1">
        <v>5</v>
      </c>
      <c r="AA17" s="1" t="s">
        <v>1524</v>
      </c>
      <c r="AB17" s="8" t="s">
        <v>1632</v>
      </c>
      <c r="AC17" s="8" t="s">
        <v>2968</v>
      </c>
      <c r="AK17" s="1" t="s">
        <v>1700</v>
      </c>
      <c r="AL17" s="1" t="s">
        <v>2943</v>
      </c>
      <c r="AM17" t="s">
        <v>1575</v>
      </c>
    </row>
    <row r="18" spans="1:39" x14ac:dyDescent="0.35">
      <c r="A18" s="1" t="s">
        <v>183</v>
      </c>
      <c r="C18" s="1" t="s">
        <v>320</v>
      </c>
      <c r="E18" s="1" t="s">
        <v>187</v>
      </c>
      <c r="F18" s="1" t="s">
        <v>377</v>
      </c>
      <c r="G18" s="1">
        <v>1</v>
      </c>
      <c r="H18" s="1" t="s">
        <v>249</v>
      </c>
      <c r="I18" s="1" t="s">
        <v>377</v>
      </c>
      <c r="K18" s="8" t="s">
        <v>185</v>
      </c>
      <c r="L18" s="8" t="s">
        <v>375</v>
      </c>
      <c r="M18" s="8">
        <v>1</v>
      </c>
      <c r="N18" s="8"/>
      <c r="P18" s="1" t="s">
        <v>1481</v>
      </c>
      <c r="Q18" s="1" t="s">
        <v>395</v>
      </c>
      <c r="R18" s="1" t="s">
        <v>1493</v>
      </c>
      <c r="S18" s="1" t="s">
        <v>517</v>
      </c>
      <c r="T18" s="9" t="s">
        <v>1953</v>
      </c>
      <c r="U18" s="13"/>
      <c r="V18" s="7" t="s">
        <v>1575</v>
      </c>
      <c r="AK18" s="1" t="s">
        <v>2944</v>
      </c>
      <c r="AL18" s="1" t="s">
        <v>2945</v>
      </c>
      <c r="AM18" t="s">
        <v>1575</v>
      </c>
    </row>
    <row r="19" spans="1:39" x14ac:dyDescent="0.35">
      <c r="A19" s="1" t="s">
        <v>200</v>
      </c>
      <c r="C19" s="1" t="s">
        <v>321</v>
      </c>
      <c r="E19" s="1" t="s">
        <v>188</v>
      </c>
      <c r="F19" s="1" t="s">
        <v>375</v>
      </c>
      <c r="G19" s="1">
        <v>1</v>
      </c>
      <c r="H19" s="1" t="s">
        <v>226</v>
      </c>
      <c r="I19" s="1" t="s">
        <v>375</v>
      </c>
      <c r="K19" s="8" t="s">
        <v>185</v>
      </c>
      <c r="L19" s="8" t="s">
        <v>376</v>
      </c>
      <c r="M19" s="8">
        <v>1</v>
      </c>
      <c r="N19" s="8"/>
      <c r="P19" s="1" t="s">
        <v>1481</v>
      </c>
      <c r="Q19" s="1" t="s">
        <v>397</v>
      </c>
      <c r="R19" s="1" t="s">
        <v>1652</v>
      </c>
      <c r="S19" s="1" t="s">
        <v>517</v>
      </c>
      <c r="T19" s="9" t="s">
        <v>1954</v>
      </c>
      <c r="V19" s="7" t="s">
        <v>1575</v>
      </c>
      <c r="W19" s="9" t="s">
        <v>1481</v>
      </c>
      <c r="X19" s="1" t="s">
        <v>1769</v>
      </c>
      <c r="Y19" s="1" t="s">
        <v>1776</v>
      </c>
      <c r="Z19" s="1" t="s">
        <v>1773</v>
      </c>
      <c r="AA19" s="1" t="s">
        <v>1778</v>
      </c>
      <c r="AB19" s="1" t="s">
        <v>1774</v>
      </c>
      <c r="AC19" s="1" t="s">
        <v>1499</v>
      </c>
      <c r="AD19" s="1" t="s">
        <v>1779</v>
      </c>
      <c r="AE19" s="1" t="s">
        <v>1500</v>
      </c>
      <c r="AF19" s="1" t="s">
        <v>1781</v>
      </c>
      <c r="AG19" s="1" t="s">
        <v>1780</v>
      </c>
      <c r="AH19" s="1" t="s">
        <v>1493</v>
      </c>
      <c r="AK19" s="1" t="s">
        <v>1704</v>
      </c>
      <c r="AL19" s="1" t="s">
        <v>1882</v>
      </c>
      <c r="AM19" t="s">
        <v>1575</v>
      </c>
    </row>
    <row r="20" spans="1:39" x14ac:dyDescent="0.35">
      <c r="A20" s="1" t="s">
        <v>201</v>
      </c>
      <c r="C20" s="1" t="s">
        <v>322</v>
      </c>
      <c r="E20" s="1" t="s">
        <v>188</v>
      </c>
      <c r="F20" s="1" t="s">
        <v>376</v>
      </c>
      <c r="G20" s="1">
        <v>1</v>
      </c>
      <c r="H20" s="1" t="s">
        <v>226</v>
      </c>
      <c r="I20" s="1" t="s">
        <v>376</v>
      </c>
      <c r="K20" s="8" t="s">
        <v>185</v>
      </c>
      <c r="L20" s="8" t="s">
        <v>374</v>
      </c>
      <c r="M20" s="8">
        <v>1</v>
      </c>
      <c r="N20" s="8"/>
      <c r="P20" s="1" t="s">
        <v>1482</v>
      </c>
      <c r="Q20" s="1" t="s">
        <v>374</v>
      </c>
      <c r="R20" s="1" t="s">
        <v>1501</v>
      </c>
      <c r="S20" s="1" t="s">
        <v>517</v>
      </c>
      <c r="T20" s="9" t="s">
        <v>1594</v>
      </c>
      <c r="U20" s="13" t="s">
        <v>1606</v>
      </c>
      <c r="V20" s="7" t="s">
        <v>1575</v>
      </c>
      <c r="X20" s="1" t="s">
        <v>1487</v>
      </c>
      <c r="Y20" s="1" t="s">
        <v>1487</v>
      </c>
      <c r="Z20" s="1" t="s">
        <v>1488</v>
      </c>
      <c r="AA20" s="1" t="s">
        <v>1488</v>
      </c>
      <c r="AB20" s="1" t="s">
        <v>567</v>
      </c>
      <c r="AC20" s="1" t="s">
        <v>1528</v>
      </c>
      <c r="AD20" s="1" t="s">
        <v>1529</v>
      </c>
      <c r="AE20" s="1" t="s">
        <v>1530</v>
      </c>
      <c r="AF20" s="1" t="s">
        <v>1531</v>
      </c>
      <c r="AG20" s="1" t="s">
        <v>553</v>
      </c>
      <c r="AH20" s="1" t="s">
        <v>1514</v>
      </c>
      <c r="AK20" s="1" t="s">
        <v>1878</v>
      </c>
      <c r="AL20" s="1" t="s">
        <v>1992</v>
      </c>
      <c r="AM20" t="s">
        <v>1575</v>
      </c>
    </row>
    <row r="21" spans="1:39" x14ac:dyDescent="0.35">
      <c r="A21" s="1" t="s">
        <v>202</v>
      </c>
      <c r="C21" s="1" t="s">
        <v>323</v>
      </c>
      <c r="E21" s="1" t="s">
        <v>188</v>
      </c>
      <c r="F21" s="1" t="s">
        <v>372</v>
      </c>
      <c r="G21" s="1">
        <v>1</v>
      </c>
      <c r="H21" s="1" t="s">
        <v>264</v>
      </c>
      <c r="I21" s="1" t="s">
        <v>372</v>
      </c>
      <c r="K21" s="8" t="s">
        <v>185</v>
      </c>
      <c r="L21" s="8" t="s">
        <v>372</v>
      </c>
      <c r="M21" s="8">
        <v>1</v>
      </c>
      <c r="N21" s="8"/>
      <c r="P21" s="1" t="s">
        <v>1482</v>
      </c>
      <c r="Q21" s="1" t="s">
        <v>762</v>
      </c>
      <c r="R21" s="1" t="s">
        <v>1783</v>
      </c>
      <c r="S21" s="1" t="s">
        <v>476</v>
      </c>
      <c r="T21" s="9" t="s">
        <v>1517</v>
      </c>
      <c r="U21" s="13"/>
      <c r="V21" s="7" t="s">
        <v>1575</v>
      </c>
      <c r="X21" s="1" t="s">
        <v>1487</v>
      </c>
      <c r="Y21" s="1" t="s">
        <v>1487</v>
      </c>
      <c r="Z21" s="1" t="s">
        <v>1488</v>
      </c>
      <c r="AA21" s="1" t="s">
        <v>1488</v>
      </c>
      <c r="AB21" s="1" t="s">
        <v>567</v>
      </c>
      <c r="AC21" s="1" t="s">
        <v>1528</v>
      </c>
      <c r="AD21" s="1" t="s">
        <v>1529</v>
      </c>
      <c r="AE21" s="1" t="s">
        <v>1532</v>
      </c>
      <c r="AF21" s="1" t="s">
        <v>1533</v>
      </c>
      <c r="AG21" s="1" t="s">
        <v>553</v>
      </c>
      <c r="AH21" s="1" t="s">
        <v>1514</v>
      </c>
      <c r="AK21" s="1" t="s">
        <v>1707</v>
      </c>
      <c r="AL21" s="1" t="s">
        <v>1883</v>
      </c>
      <c r="AM21" t="s">
        <v>1575</v>
      </c>
    </row>
    <row r="22" spans="1:39" x14ac:dyDescent="0.35">
      <c r="A22" s="1" t="s">
        <v>203</v>
      </c>
      <c r="C22" s="1" t="s">
        <v>324</v>
      </c>
      <c r="E22" s="1" t="s">
        <v>189</v>
      </c>
      <c r="F22" s="1" t="s">
        <v>375</v>
      </c>
      <c r="G22" s="1">
        <v>1</v>
      </c>
      <c r="H22" s="1" t="s">
        <v>226</v>
      </c>
      <c r="I22" s="1" t="s">
        <v>375</v>
      </c>
      <c r="K22" s="8" t="s">
        <v>185</v>
      </c>
      <c r="L22" s="8" t="s">
        <v>486</v>
      </c>
      <c r="M22" s="8">
        <v>0</v>
      </c>
      <c r="N22" s="8"/>
      <c r="P22" s="1" t="s">
        <v>1482</v>
      </c>
      <c r="Q22" s="1" t="s">
        <v>375</v>
      </c>
      <c r="R22" s="1" t="s">
        <v>1773</v>
      </c>
      <c r="S22" s="1" t="s">
        <v>517</v>
      </c>
      <c r="T22" s="9" t="s">
        <v>1784</v>
      </c>
      <c r="U22" s="13"/>
      <c r="V22" s="7" t="s">
        <v>1575</v>
      </c>
      <c r="X22" s="1" t="s">
        <v>1487</v>
      </c>
      <c r="Y22" s="1" t="s">
        <v>1487</v>
      </c>
      <c r="Z22" s="1" t="s">
        <v>1489</v>
      </c>
      <c r="AA22" s="1" t="s">
        <v>1489</v>
      </c>
      <c r="AB22" s="1" t="s">
        <v>567</v>
      </c>
      <c r="AC22" s="1" t="s">
        <v>1528</v>
      </c>
      <c r="AD22" s="1" t="s">
        <v>1529</v>
      </c>
      <c r="AE22" s="1" t="s">
        <v>1538</v>
      </c>
      <c r="AF22" s="1" t="s">
        <v>1540</v>
      </c>
      <c r="AG22" s="1" t="s">
        <v>553</v>
      </c>
      <c r="AH22" s="1" t="s">
        <v>1514</v>
      </c>
      <c r="AK22" s="1" t="s">
        <v>1760</v>
      </c>
      <c r="AL22" s="1" t="s">
        <v>1993</v>
      </c>
      <c r="AM22" s="1" t="s">
        <v>1575</v>
      </c>
    </row>
    <row r="23" spans="1:39" x14ac:dyDescent="0.35">
      <c r="A23" s="1" t="s">
        <v>204</v>
      </c>
      <c r="C23" s="1" t="s">
        <v>325</v>
      </c>
      <c r="E23" s="1" t="s">
        <v>189</v>
      </c>
      <c r="F23" s="1" t="s">
        <v>376</v>
      </c>
      <c r="G23" s="1">
        <v>1</v>
      </c>
      <c r="H23" s="1" t="s">
        <v>226</v>
      </c>
      <c r="I23" s="1" t="s">
        <v>376</v>
      </c>
      <c r="K23" s="8" t="s">
        <v>185</v>
      </c>
      <c r="L23" s="8" t="s">
        <v>487</v>
      </c>
      <c r="M23" s="8">
        <v>0</v>
      </c>
      <c r="N23" s="8"/>
      <c r="P23" s="1" t="s">
        <v>1482</v>
      </c>
      <c r="Q23" s="1" t="s">
        <v>376</v>
      </c>
      <c r="R23" s="1" t="s">
        <v>1500</v>
      </c>
      <c r="S23" s="1" t="s">
        <v>517</v>
      </c>
      <c r="T23" s="9" t="s">
        <v>1595</v>
      </c>
      <c r="U23" s="13"/>
      <c r="V23" s="7" t="s">
        <v>1575</v>
      </c>
      <c r="X23" s="1" t="s">
        <v>1487</v>
      </c>
      <c r="Y23" s="1" t="s">
        <v>1487</v>
      </c>
      <c r="Z23" s="1" t="s">
        <v>1535</v>
      </c>
      <c r="AA23" s="1" t="s">
        <v>1534</v>
      </c>
      <c r="AB23" s="1" t="s">
        <v>567</v>
      </c>
      <c r="AC23" s="1" t="s">
        <v>1536</v>
      </c>
      <c r="AD23" s="1" t="s">
        <v>1537</v>
      </c>
      <c r="AE23" s="1" t="s">
        <v>1539</v>
      </c>
      <c r="AF23" s="1" t="s">
        <v>1541</v>
      </c>
      <c r="AG23" s="1" t="s">
        <v>553</v>
      </c>
      <c r="AH23" s="1" t="s">
        <v>1542</v>
      </c>
    </row>
    <row r="24" spans="1:39" x14ac:dyDescent="0.35">
      <c r="A24" s="1" t="s">
        <v>205</v>
      </c>
      <c r="C24" s="1" t="s">
        <v>326</v>
      </c>
      <c r="E24" s="1" t="s">
        <v>189</v>
      </c>
      <c r="F24" s="1" t="s">
        <v>372</v>
      </c>
      <c r="G24" s="1">
        <v>1</v>
      </c>
      <c r="H24" s="1" t="s">
        <v>266</v>
      </c>
      <c r="I24" s="1" t="s">
        <v>372</v>
      </c>
      <c r="K24" s="8" t="s">
        <v>185</v>
      </c>
      <c r="L24" s="8" t="s">
        <v>488</v>
      </c>
      <c r="M24" s="8">
        <v>0</v>
      </c>
      <c r="N24" s="8"/>
      <c r="P24" s="1" t="s">
        <v>1482</v>
      </c>
      <c r="Q24" s="1" t="s">
        <v>756</v>
      </c>
      <c r="R24" s="1" t="s">
        <v>1787</v>
      </c>
      <c r="S24" s="1" t="s">
        <v>517</v>
      </c>
      <c r="T24" s="9" t="s">
        <v>1788</v>
      </c>
      <c r="U24" s="13"/>
      <c r="V24" s="7" t="s">
        <v>1575</v>
      </c>
    </row>
    <row r="25" spans="1:39" x14ac:dyDescent="0.35">
      <c r="A25" s="1" t="s">
        <v>206</v>
      </c>
      <c r="C25" s="1" t="s">
        <v>5</v>
      </c>
      <c r="E25" s="1" t="s">
        <v>190</v>
      </c>
      <c r="F25" s="1" t="s">
        <v>350</v>
      </c>
      <c r="G25" s="1">
        <v>1</v>
      </c>
      <c r="K25" s="8" t="s">
        <v>185</v>
      </c>
      <c r="L25" s="8" t="s">
        <v>489</v>
      </c>
      <c r="M25" s="8">
        <v>0</v>
      </c>
      <c r="N25" s="8"/>
      <c r="P25" s="1" t="s">
        <v>1482</v>
      </c>
      <c r="Q25" s="1" t="s">
        <v>743</v>
      </c>
      <c r="R25" s="1" t="s">
        <v>1785</v>
      </c>
      <c r="S25" s="1" t="s">
        <v>517</v>
      </c>
      <c r="T25" s="9" t="s">
        <v>1786</v>
      </c>
      <c r="U25" s="13"/>
      <c r="V25" s="7" t="s">
        <v>1575</v>
      </c>
    </row>
    <row r="26" spans="1:39" x14ac:dyDescent="0.35">
      <c r="A26" s="1" t="s">
        <v>207</v>
      </c>
      <c r="C26" s="1" t="s">
        <v>4</v>
      </c>
      <c r="E26" s="1" t="s">
        <v>190</v>
      </c>
      <c r="F26" s="1" t="s">
        <v>379</v>
      </c>
      <c r="G26" s="1">
        <v>0</v>
      </c>
      <c r="H26" s="1" t="s">
        <v>220</v>
      </c>
      <c r="I26" s="1" t="s">
        <v>379</v>
      </c>
      <c r="K26" s="8" t="s">
        <v>185</v>
      </c>
      <c r="L26" s="8" t="s">
        <v>490</v>
      </c>
      <c r="M26" s="8">
        <v>0</v>
      </c>
      <c r="N26" s="8"/>
      <c r="P26" s="1" t="s">
        <v>1482</v>
      </c>
      <c r="Q26" s="1" t="s">
        <v>783</v>
      </c>
      <c r="R26" s="1" t="s">
        <v>1502</v>
      </c>
      <c r="S26" s="1" t="s">
        <v>517</v>
      </c>
      <c r="T26" s="9" t="s">
        <v>1789</v>
      </c>
      <c r="U26" s="13"/>
      <c r="V26" s="7" t="s">
        <v>1575</v>
      </c>
      <c r="W26" s="9" t="s">
        <v>1482</v>
      </c>
      <c r="X26" s="12" t="s">
        <v>1501</v>
      </c>
      <c r="Y26" s="12" t="s">
        <v>1783</v>
      </c>
      <c r="Z26" s="12" t="s">
        <v>1773</v>
      </c>
      <c r="AA26" s="12" t="s">
        <v>1500</v>
      </c>
      <c r="AB26" s="12" t="s">
        <v>1785</v>
      </c>
      <c r="AC26" s="12" t="s">
        <v>1787</v>
      </c>
      <c r="AD26" s="12" t="s">
        <v>1502</v>
      </c>
      <c r="AE26" s="12" t="s">
        <v>1797</v>
      </c>
      <c r="AF26" s="12" t="s">
        <v>1796</v>
      </c>
      <c r="AG26" s="12" t="s">
        <v>1591</v>
      </c>
    </row>
    <row r="27" spans="1:39" x14ac:dyDescent="0.35">
      <c r="A27" s="1" t="s">
        <v>208</v>
      </c>
      <c r="C27" s="1" t="s">
        <v>3</v>
      </c>
      <c r="E27" s="1" t="s">
        <v>190</v>
      </c>
      <c r="F27" s="1" t="s">
        <v>378</v>
      </c>
      <c r="G27" s="1">
        <v>0</v>
      </c>
      <c r="H27" s="1" t="s">
        <v>213</v>
      </c>
      <c r="I27" s="1" t="s">
        <v>378</v>
      </c>
      <c r="K27" s="8" t="s">
        <v>185</v>
      </c>
      <c r="L27" s="8" t="s">
        <v>491</v>
      </c>
      <c r="M27" s="8">
        <v>0</v>
      </c>
      <c r="N27" s="8"/>
      <c r="P27" s="1" t="s">
        <v>1482</v>
      </c>
      <c r="Q27" s="1" t="s">
        <v>781</v>
      </c>
      <c r="R27" s="1" t="s">
        <v>1796</v>
      </c>
      <c r="S27" s="1" t="s">
        <v>476</v>
      </c>
      <c r="T27" s="9" t="s">
        <v>1790</v>
      </c>
      <c r="U27" s="13"/>
      <c r="V27" s="7" t="s">
        <v>1575</v>
      </c>
      <c r="X27" s="12" t="s">
        <v>1544</v>
      </c>
      <c r="Y27" s="12" t="s">
        <v>1548</v>
      </c>
      <c r="Z27" s="12" t="s">
        <v>1488</v>
      </c>
      <c r="AA27" s="12" t="s">
        <v>1530</v>
      </c>
      <c r="AB27" s="12">
        <v>26</v>
      </c>
      <c r="AC27" s="12">
        <v>1</v>
      </c>
      <c r="AD27" s="12" t="s">
        <v>612</v>
      </c>
      <c r="AE27" s="12" t="s">
        <v>476</v>
      </c>
      <c r="AF27" s="12" t="s">
        <v>476</v>
      </c>
      <c r="AG27" s="12">
        <v>1</v>
      </c>
    </row>
    <row r="28" spans="1:39" x14ac:dyDescent="0.35">
      <c r="A28" s="1" t="s">
        <v>209</v>
      </c>
      <c r="C28" s="1" t="s">
        <v>296</v>
      </c>
      <c r="E28" s="1" t="s">
        <v>190</v>
      </c>
      <c r="F28" s="1" t="s">
        <v>380</v>
      </c>
      <c r="G28" s="1">
        <v>0</v>
      </c>
      <c r="H28" s="1" t="s">
        <v>284</v>
      </c>
      <c r="I28" s="1" t="s">
        <v>380</v>
      </c>
      <c r="K28" s="8" t="s">
        <v>185</v>
      </c>
      <c r="L28" s="8" t="s">
        <v>492</v>
      </c>
      <c r="M28" s="8">
        <v>0</v>
      </c>
      <c r="N28" s="8"/>
      <c r="P28" s="1" t="s">
        <v>1482</v>
      </c>
      <c r="Q28" s="1" t="s">
        <v>755</v>
      </c>
      <c r="R28" s="1" t="s">
        <v>1797</v>
      </c>
      <c r="S28" s="1" t="s">
        <v>476</v>
      </c>
      <c r="T28" s="9" t="s">
        <v>1791</v>
      </c>
      <c r="U28" s="13"/>
      <c r="V28" s="7" t="s">
        <v>1575</v>
      </c>
      <c r="X28" s="12" t="s">
        <v>1544</v>
      </c>
      <c r="Y28" s="12" t="s">
        <v>1548</v>
      </c>
      <c r="Z28" s="12" t="s">
        <v>1488</v>
      </c>
      <c r="AA28" s="12" t="s">
        <v>1532</v>
      </c>
      <c r="AB28" s="12">
        <v>24</v>
      </c>
      <c r="AC28" s="12">
        <v>1</v>
      </c>
      <c r="AD28" s="12" t="s">
        <v>612</v>
      </c>
      <c r="AE28" s="12" t="s">
        <v>476</v>
      </c>
      <c r="AF28" s="12" t="s">
        <v>476</v>
      </c>
      <c r="AG28" s="12">
        <v>1</v>
      </c>
    </row>
    <row r="29" spans="1:39" x14ac:dyDescent="0.35">
      <c r="A29" s="1" t="s">
        <v>210</v>
      </c>
      <c r="C29" s="1" t="s">
        <v>327</v>
      </c>
      <c r="E29" s="1" t="s">
        <v>191</v>
      </c>
      <c r="F29" s="1" t="s">
        <v>350</v>
      </c>
      <c r="G29" s="1">
        <v>1</v>
      </c>
      <c r="H29" s="1" t="s">
        <v>190</v>
      </c>
      <c r="I29" s="1" t="s">
        <v>350</v>
      </c>
      <c r="K29" s="8" t="s">
        <v>185</v>
      </c>
      <c r="L29" s="8" t="s">
        <v>493</v>
      </c>
      <c r="M29" s="8">
        <v>0</v>
      </c>
      <c r="N29" s="8"/>
      <c r="P29" s="1" t="s">
        <v>1482</v>
      </c>
      <c r="Q29" s="1" t="s">
        <v>761</v>
      </c>
      <c r="R29" s="1" t="s">
        <v>1591</v>
      </c>
      <c r="S29" s="1" t="s">
        <v>517</v>
      </c>
      <c r="T29" s="9" t="s">
        <v>1792</v>
      </c>
      <c r="U29" s="13"/>
      <c r="V29" s="7" t="s">
        <v>1575</v>
      </c>
      <c r="X29" s="12" t="s">
        <v>1545</v>
      </c>
      <c r="Y29" s="12" t="s">
        <v>1518</v>
      </c>
      <c r="Z29" s="12" t="s">
        <v>1489</v>
      </c>
      <c r="AA29" s="12" t="s">
        <v>1538</v>
      </c>
      <c r="AB29" s="12">
        <v>49</v>
      </c>
      <c r="AC29" s="12">
        <v>1</v>
      </c>
      <c r="AD29" s="12" t="s">
        <v>612</v>
      </c>
      <c r="AE29" s="12" t="s">
        <v>476</v>
      </c>
      <c r="AF29" s="12" t="s">
        <v>476</v>
      </c>
      <c r="AG29" s="12">
        <v>1</v>
      </c>
    </row>
    <row r="30" spans="1:39" x14ac:dyDescent="0.35">
      <c r="A30" s="1" t="s">
        <v>211</v>
      </c>
      <c r="C30" s="1" t="s">
        <v>328</v>
      </c>
      <c r="E30" s="1" t="s">
        <v>191</v>
      </c>
      <c r="F30" s="1" t="s">
        <v>380</v>
      </c>
      <c r="G30" s="1">
        <v>1</v>
      </c>
      <c r="H30" s="1" t="s">
        <v>284</v>
      </c>
      <c r="I30" s="1" t="s">
        <v>380</v>
      </c>
      <c r="K30" s="8" t="s">
        <v>185</v>
      </c>
      <c r="L30" s="8" t="s">
        <v>494</v>
      </c>
      <c r="M30" s="8">
        <v>0</v>
      </c>
      <c r="N30" s="8"/>
      <c r="P30" s="1" t="s">
        <v>1482</v>
      </c>
      <c r="Q30" s="1" t="s">
        <v>745</v>
      </c>
      <c r="R30" s="1" t="s">
        <v>1643</v>
      </c>
      <c r="S30" s="1" t="s">
        <v>517</v>
      </c>
      <c r="V30" s="7" t="s">
        <v>1575</v>
      </c>
      <c r="W30" s="12"/>
      <c r="X30" s="12" t="s">
        <v>1546</v>
      </c>
      <c r="Y30" s="12" t="s">
        <v>1549</v>
      </c>
      <c r="Z30" s="12" t="s">
        <v>1488</v>
      </c>
      <c r="AA30" s="12" t="s">
        <v>1530</v>
      </c>
      <c r="AB30" s="12">
        <v>86</v>
      </c>
      <c r="AC30" s="12">
        <v>1</v>
      </c>
      <c r="AD30" s="12" t="s">
        <v>612</v>
      </c>
      <c r="AE30" s="12" t="s">
        <v>476</v>
      </c>
      <c r="AF30" s="12" t="s">
        <v>476</v>
      </c>
      <c r="AG30" s="12">
        <v>1</v>
      </c>
    </row>
    <row r="31" spans="1:39" x14ac:dyDescent="0.35">
      <c r="A31" s="1" t="s">
        <v>212</v>
      </c>
      <c r="C31" s="1" t="s">
        <v>6</v>
      </c>
      <c r="E31" s="1" t="s">
        <v>192</v>
      </c>
      <c r="F31" s="1" t="s">
        <v>382</v>
      </c>
      <c r="G31" s="1">
        <v>1</v>
      </c>
      <c r="K31" s="8" t="s">
        <v>185</v>
      </c>
      <c r="L31" s="8" t="s">
        <v>495</v>
      </c>
      <c r="M31" s="8">
        <v>0</v>
      </c>
      <c r="N31" s="8"/>
      <c r="P31" s="1" t="s">
        <v>1482</v>
      </c>
      <c r="Q31" s="1" t="s">
        <v>747</v>
      </c>
      <c r="R31" s="1" t="s">
        <v>1644</v>
      </c>
      <c r="S31" s="1" t="s">
        <v>517</v>
      </c>
      <c r="T31" s="9" t="s">
        <v>1679</v>
      </c>
      <c r="V31" s="7" t="s">
        <v>1575</v>
      </c>
      <c r="W31" s="12"/>
      <c r="X31" s="12" t="s">
        <v>1547</v>
      </c>
      <c r="Y31" s="12" t="s">
        <v>1550</v>
      </c>
      <c r="Z31" s="12" t="s">
        <v>1535</v>
      </c>
      <c r="AA31" s="12" t="s">
        <v>1539</v>
      </c>
      <c r="AB31" s="12">
        <v>19</v>
      </c>
      <c r="AC31" s="12">
        <v>1</v>
      </c>
      <c r="AD31" s="12" t="s">
        <v>612</v>
      </c>
      <c r="AE31" s="12" t="s">
        <v>476</v>
      </c>
      <c r="AF31" s="12" t="s">
        <v>476</v>
      </c>
      <c r="AG31" s="12">
        <v>1</v>
      </c>
    </row>
    <row r="32" spans="1:39" x14ac:dyDescent="0.35">
      <c r="A32" s="1" t="s">
        <v>213</v>
      </c>
      <c r="C32" s="1" t="s">
        <v>2</v>
      </c>
      <c r="E32" s="1" t="s">
        <v>192</v>
      </c>
      <c r="F32" s="1" t="s">
        <v>381</v>
      </c>
      <c r="G32" s="1">
        <v>1</v>
      </c>
      <c r="H32" s="1" t="s">
        <v>204</v>
      </c>
      <c r="I32" s="1" t="s">
        <v>381</v>
      </c>
      <c r="K32" s="8" t="s">
        <v>186</v>
      </c>
      <c r="L32" s="8" t="s">
        <v>701</v>
      </c>
      <c r="M32" s="8">
        <v>0</v>
      </c>
      <c r="N32" s="8"/>
      <c r="P32" s="1" t="s">
        <v>1482</v>
      </c>
      <c r="Q32" s="1" t="s">
        <v>763</v>
      </c>
      <c r="R32" s="1" t="s">
        <v>1645</v>
      </c>
      <c r="S32" s="1" t="s">
        <v>517</v>
      </c>
      <c r="T32" s="9" t="s">
        <v>1793</v>
      </c>
      <c r="V32" s="7" t="s">
        <v>1575</v>
      </c>
      <c r="X32" s="20"/>
    </row>
    <row r="33" spans="1:29" x14ac:dyDescent="0.35">
      <c r="A33" s="1" t="s">
        <v>214</v>
      </c>
      <c r="C33" s="1" t="s">
        <v>9</v>
      </c>
      <c r="E33" s="1" t="s">
        <v>192</v>
      </c>
      <c r="F33" s="1" t="s">
        <v>350</v>
      </c>
      <c r="G33" s="1">
        <v>1</v>
      </c>
      <c r="H33" s="1" t="s">
        <v>190</v>
      </c>
      <c r="I33" s="1" t="s">
        <v>350</v>
      </c>
      <c r="K33" s="8" t="s">
        <v>186</v>
      </c>
      <c r="L33" s="8" t="s">
        <v>702</v>
      </c>
      <c r="M33" s="8">
        <v>1</v>
      </c>
      <c r="N33" s="8" t="s">
        <v>476</v>
      </c>
      <c r="P33" s="1" t="s">
        <v>1482</v>
      </c>
      <c r="Q33" s="1" t="s">
        <v>744</v>
      </c>
      <c r="R33" s="1" t="s">
        <v>1646</v>
      </c>
      <c r="S33" s="1" t="s">
        <v>517</v>
      </c>
      <c r="T33" s="9" t="s">
        <v>1677</v>
      </c>
      <c r="V33" s="7" t="s">
        <v>1575</v>
      </c>
      <c r="W33" s="11" t="s">
        <v>1483</v>
      </c>
      <c r="X33" s="8" t="s">
        <v>1503</v>
      </c>
      <c r="Y33" s="8" t="s">
        <v>1795</v>
      </c>
      <c r="Z33" s="8" t="s">
        <v>1685</v>
      </c>
      <c r="AA33" s="8" t="s">
        <v>1501</v>
      </c>
      <c r="AB33" s="8" t="s">
        <v>1799</v>
      </c>
    </row>
    <row r="34" spans="1:29" x14ac:dyDescent="0.35">
      <c r="A34" s="1" t="s">
        <v>215</v>
      </c>
      <c r="C34" s="1" t="s">
        <v>11</v>
      </c>
      <c r="E34" s="1" t="s">
        <v>193</v>
      </c>
      <c r="F34" s="1" t="s">
        <v>383</v>
      </c>
      <c r="G34" s="1">
        <v>1</v>
      </c>
      <c r="K34" s="8" t="s">
        <v>186</v>
      </c>
      <c r="L34" s="8" t="s">
        <v>703</v>
      </c>
      <c r="M34" s="8">
        <v>1</v>
      </c>
      <c r="N34" s="8" t="s">
        <v>476</v>
      </c>
      <c r="P34" s="1" t="s">
        <v>1482</v>
      </c>
      <c r="Q34" s="1" t="s">
        <v>757</v>
      </c>
      <c r="R34" s="1" t="s">
        <v>1647</v>
      </c>
      <c r="S34" s="1" t="s">
        <v>517</v>
      </c>
      <c r="T34" s="9" t="s">
        <v>1678</v>
      </c>
      <c r="V34" s="7" t="s">
        <v>1575</v>
      </c>
      <c r="X34" s="8" t="s">
        <v>1572</v>
      </c>
      <c r="Y34" s="8" t="s">
        <v>1543</v>
      </c>
      <c r="Z34" s="8">
        <v>10</v>
      </c>
      <c r="AA34" s="8" t="s">
        <v>1544</v>
      </c>
      <c r="AB34" s="8" t="s">
        <v>1559</v>
      </c>
    </row>
    <row r="35" spans="1:29" x14ac:dyDescent="0.35">
      <c r="A35" s="1" t="s">
        <v>216</v>
      </c>
      <c r="C35" s="1" t="s">
        <v>10</v>
      </c>
      <c r="E35" s="1" t="s">
        <v>193</v>
      </c>
      <c r="F35" s="1" t="s">
        <v>381</v>
      </c>
      <c r="G35" s="1">
        <v>1</v>
      </c>
      <c r="H35" s="1" t="s">
        <v>204</v>
      </c>
      <c r="I35" s="1" t="s">
        <v>381</v>
      </c>
      <c r="K35" s="8" t="s">
        <v>186</v>
      </c>
      <c r="L35" s="8" t="s">
        <v>480</v>
      </c>
      <c r="M35" s="8">
        <v>0</v>
      </c>
      <c r="N35" s="8"/>
      <c r="P35" s="1" t="s">
        <v>1482</v>
      </c>
      <c r="Q35" s="1" t="s">
        <v>386</v>
      </c>
      <c r="R35" s="1" t="s">
        <v>1761</v>
      </c>
      <c r="S35" s="1" t="s">
        <v>476</v>
      </c>
      <c r="V35" s="7" t="s">
        <v>1575</v>
      </c>
      <c r="X35" s="8" t="s">
        <v>1573</v>
      </c>
      <c r="Y35" s="8" t="s">
        <v>1553</v>
      </c>
      <c r="Z35" s="8">
        <v>10</v>
      </c>
      <c r="AA35" s="8" t="s">
        <v>1544</v>
      </c>
      <c r="AB35" s="8" t="s">
        <v>1560</v>
      </c>
    </row>
    <row r="36" spans="1:29" x14ac:dyDescent="0.35">
      <c r="A36" s="1" t="s">
        <v>217</v>
      </c>
      <c r="C36" s="1" t="s">
        <v>12</v>
      </c>
      <c r="E36" s="1" t="s">
        <v>193</v>
      </c>
      <c r="F36" s="1" t="s">
        <v>350</v>
      </c>
      <c r="G36" s="1">
        <v>1</v>
      </c>
      <c r="H36" s="1" t="s">
        <v>190</v>
      </c>
      <c r="I36" s="1" t="s">
        <v>350</v>
      </c>
      <c r="K36" s="8" t="s">
        <v>186</v>
      </c>
      <c r="L36" s="8" t="s">
        <v>481</v>
      </c>
      <c r="M36" s="8">
        <v>0</v>
      </c>
      <c r="N36" s="8"/>
      <c r="P36" s="1" t="s">
        <v>1483</v>
      </c>
      <c r="Q36" s="1" t="s">
        <v>412</v>
      </c>
      <c r="R36" s="1" t="s">
        <v>1503</v>
      </c>
      <c r="S36" s="1" t="s">
        <v>517</v>
      </c>
      <c r="T36" s="9" t="s">
        <v>1794</v>
      </c>
      <c r="U36" s="13" t="s">
        <v>1607</v>
      </c>
      <c r="V36" s="7" t="s">
        <v>1575</v>
      </c>
      <c r="W36" s="12"/>
      <c r="X36" s="8" t="s">
        <v>1573</v>
      </c>
      <c r="Y36" s="8" t="s">
        <v>1553</v>
      </c>
      <c r="Z36" s="8">
        <v>20</v>
      </c>
      <c r="AA36" s="8" t="s">
        <v>1546</v>
      </c>
      <c r="AB36" s="8" t="s">
        <v>1561</v>
      </c>
    </row>
    <row r="37" spans="1:29" x14ac:dyDescent="0.35">
      <c r="A37" s="1" t="s">
        <v>218</v>
      </c>
      <c r="C37" s="1" t="s">
        <v>14</v>
      </c>
      <c r="E37" s="1" t="s">
        <v>193</v>
      </c>
      <c r="F37" s="1" t="s">
        <v>355</v>
      </c>
      <c r="G37" s="1">
        <v>1</v>
      </c>
      <c r="H37" s="1" t="s">
        <v>292</v>
      </c>
      <c r="I37" s="1" t="s">
        <v>355</v>
      </c>
      <c r="K37" s="8" t="s">
        <v>186</v>
      </c>
      <c r="L37" s="8" t="s">
        <v>482</v>
      </c>
      <c r="M37" s="8">
        <v>0</v>
      </c>
      <c r="N37" s="8"/>
      <c r="P37" s="1" t="s">
        <v>1483</v>
      </c>
      <c r="Q37" s="1" t="s">
        <v>901</v>
      </c>
      <c r="R37" s="1" t="s">
        <v>1795</v>
      </c>
      <c r="S37" s="1" t="s">
        <v>476</v>
      </c>
      <c r="T37" s="9" t="s">
        <v>1517</v>
      </c>
      <c r="U37" s="13"/>
      <c r="V37" s="7" t="s">
        <v>1575</v>
      </c>
      <c r="W37" s="12"/>
      <c r="X37" s="8" t="s">
        <v>1574</v>
      </c>
      <c r="Y37" s="8" t="s">
        <v>1492</v>
      </c>
      <c r="Z37" s="8">
        <v>10</v>
      </c>
      <c r="AA37" s="8" t="s">
        <v>1545</v>
      </c>
      <c r="AB37" s="8" t="s">
        <v>1554</v>
      </c>
    </row>
    <row r="38" spans="1:29" x14ac:dyDescent="0.35">
      <c r="A38" s="1" t="s">
        <v>219</v>
      </c>
      <c r="C38" s="1" t="s">
        <v>20</v>
      </c>
      <c r="E38" s="1" t="s">
        <v>194</v>
      </c>
      <c r="F38" s="1" t="s">
        <v>384</v>
      </c>
      <c r="G38" s="1">
        <v>1</v>
      </c>
      <c r="K38" s="8" t="s">
        <v>186</v>
      </c>
      <c r="L38" s="8" t="s">
        <v>483</v>
      </c>
      <c r="M38" s="8">
        <v>0</v>
      </c>
      <c r="N38" s="8"/>
      <c r="P38" s="1" t="s">
        <v>1483</v>
      </c>
      <c r="Q38" s="1" t="s">
        <v>435</v>
      </c>
      <c r="R38" s="1" t="s">
        <v>1685</v>
      </c>
      <c r="S38" s="1" t="s">
        <v>517</v>
      </c>
      <c r="T38" s="9" t="s">
        <v>1798</v>
      </c>
      <c r="U38" s="13" t="s">
        <v>1608</v>
      </c>
      <c r="V38" s="7" t="s">
        <v>1575</v>
      </c>
      <c r="X38" s="8" t="s">
        <v>1564</v>
      </c>
      <c r="Y38" s="8" t="s">
        <v>1557</v>
      </c>
      <c r="Z38" s="8">
        <v>10</v>
      </c>
      <c r="AA38" s="8" t="s">
        <v>1547</v>
      </c>
      <c r="AB38" s="8" t="s">
        <v>1562</v>
      </c>
    </row>
    <row r="39" spans="1:29" x14ac:dyDescent="0.35">
      <c r="A39" s="1" t="s">
        <v>220</v>
      </c>
      <c r="C39" s="1" t="s">
        <v>1</v>
      </c>
      <c r="E39" s="1" t="s">
        <v>195</v>
      </c>
      <c r="F39" s="1" t="s">
        <v>354</v>
      </c>
      <c r="G39" s="1">
        <v>0</v>
      </c>
      <c r="H39" s="1" t="s">
        <v>214</v>
      </c>
      <c r="I39" s="1" t="s">
        <v>352</v>
      </c>
      <c r="K39" s="8" t="s">
        <v>186</v>
      </c>
      <c r="L39" s="8" t="s">
        <v>484</v>
      </c>
      <c r="M39" s="8">
        <v>0</v>
      </c>
      <c r="N39" s="8"/>
      <c r="P39" s="1" t="s">
        <v>1483</v>
      </c>
      <c r="Q39" s="1" t="s">
        <v>374</v>
      </c>
      <c r="R39" s="1" t="s">
        <v>1501</v>
      </c>
      <c r="S39" s="1" t="s">
        <v>517</v>
      </c>
      <c r="T39" s="9" t="s">
        <v>1596</v>
      </c>
      <c r="U39" s="13"/>
      <c r="V39" s="7" t="s">
        <v>1575</v>
      </c>
      <c r="X39" s="8" t="s">
        <v>1567</v>
      </c>
      <c r="Y39" s="8" t="s">
        <v>1558</v>
      </c>
      <c r="Z39" s="8">
        <v>10</v>
      </c>
      <c r="AA39" s="8" t="s">
        <v>1547</v>
      </c>
      <c r="AB39" s="8" t="s">
        <v>1563</v>
      </c>
    </row>
    <row r="40" spans="1:29" x14ac:dyDescent="0.35">
      <c r="A40" s="1" t="s">
        <v>221</v>
      </c>
      <c r="C40" s="1" t="s">
        <v>7</v>
      </c>
      <c r="E40" s="1" t="s">
        <v>195</v>
      </c>
      <c r="F40" s="1" t="s">
        <v>351</v>
      </c>
      <c r="G40" s="1">
        <v>0</v>
      </c>
      <c r="H40" s="1" t="s">
        <v>214</v>
      </c>
      <c r="I40" s="1" t="s">
        <v>349</v>
      </c>
      <c r="K40" s="8" t="s">
        <v>186</v>
      </c>
      <c r="L40" s="8" t="s">
        <v>375</v>
      </c>
      <c r="M40" s="8">
        <v>1</v>
      </c>
      <c r="N40" s="8"/>
      <c r="P40" s="1" t="s">
        <v>1483</v>
      </c>
      <c r="Q40" s="1" t="s">
        <v>916</v>
      </c>
      <c r="R40" s="1" t="s">
        <v>1799</v>
      </c>
      <c r="S40" s="1" t="s">
        <v>517</v>
      </c>
      <c r="U40" s="13"/>
      <c r="V40" s="7" t="s">
        <v>1575</v>
      </c>
      <c r="W40" s="8"/>
    </row>
    <row r="41" spans="1:29" x14ac:dyDescent="0.35">
      <c r="A41" s="1" t="s">
        <v>222</v>
      </c>
      <c r="C41" s="1" t="s">
        <v>0</v>
      </c>
      <c r="E41" s="1" t="s">
        <v>195</v>
      </c>
      <c r="F41" s="1" t="s">
        <v>353</v>
      </c>
      <c r="G41" s="1">
        <v>0</v>
      </c>
      <c r="H41" s="1" t="s">
        <v>214</v>
      </c>
      <c r="I41" s="1" t="s">
        <v>349</v>
      </c>
      <c r="K41" s="8" t="s">
        <v>186</v>
      </c>
      <c r="L41" s="8" t="s">
        <v>376</v>
      </c>
      <c r="M41" s="8">
        <v>1</v>
      </c>
      <c r="N41" s="8"/>
      <c r="P41" s="1" t="s">
        <v>1811</v>
      </c>
      <c r="Q41" s="1" t="s">
        <v>350</v>
      </c>
      <c r="R41" s="1" t="s">
        <v>1800</v>
      </c>
      <c r="S41" s="1" t="s">
        <v>517</v>
      </c>
      <c r="T41" s="9" t="s">
        <v>1801</v>
      </c>
      <c r="U41" s="13" t="s">
        <v>1609</v>
      </c>
      <c r="V41" s="7" t="s">
        <v>1575</v>
      </c>
      <c r="W41" s="9" t="s">
        <v>1811</v>
      </c>
      <c r="X41" s="1" t="s">
        <v>1800</v>
      </c>
      <c r="Y41" s="1" t="s">
        <v>1802</v>
      </c>
      <c r="Z41" s="1" t="s">
        <v>1805</v>
      </c>
      <c r="AA41" s="1" t="s">
        <v>1803</v>
      </c>
      <c r="AB41" s="1" t="s">
        <v>1503</v>
      </c>
      <c r="AC41" s="1" t="s">
        <v>1806</v>
      </c>
    </row>
    <row r="42" spans="1:29" x14ac:dyDescent="0.35">
      <c r="A42" s="1" t="s">
        <v>223</v>
      </c>
      <c r="C42" s="1" t="s">
        <v>18</v>
      </c>
      <c r="E42" s="1" t="s">
        <v>195</v>
      </c>
      <c r="F42" s="1" t="s">
        <v>358</v>
      </c>
      <c r="G42" s="1">
        <v>1</v>
      </c>
      <c r="H42" s="1" t="s">
        <v>197</v>
      </c>
      <c r="I42" s="1" t="s">
        <v>358</v>
      </c>
      <c r="K42" s="8" t="s">
        <v>186</v>
      </c>
      <c r="L42" s="8" t="s">
        <v>374</v>
      </c>
      <c r="M42" s="8">
        <v>1</v>
      </c>
      <c r="N42" s="8"/>
      <c r="P42" s="1" t="s">
        <v>1811</v>
      </c>
      <c r="Q42" s="1" t="s">
        <v>809</v>
      </c>
      <c r="R42" s="1" t="s">
        <v>1802</v>
      </c>
      <c r="S42" s="1" t="s">
        <v>476</v>
      </c>
      <c r="T42" s="9" t="s">
        <v>1517</v>
      </c>
      <c r="U42" s="13"/>
      <c r="V42" s="7" t="s">
        <v>1575</v>
      </c>
      <c r="X42" s="1" t="s">
        <v>1565</v>
      </c>
      <c r="Y42" s="1" t="s">
        <v>1568</v>
      </c>
      <c r="Z42" s="1" t="s">
        <v>1490</v>
      </c>
      <c r="AA42" s="1" t="s">
        <v>1004</v>
      </c>
      <c r="AC42" s="1">
        <v>300</v>
      </c>
    </row>
    <row r="43" spans="1:29" x14ac:dyDescent="0.35">
      <c r="A43" s="1" t="s">
        <v>224</v>
      </c>
      <c r="C43" s="1" t="s">
        <v>19</v>
      </c>
      <c r="E43" s="1" t="s">
        <v>195</v>
      </c>
      <c r="F43" s="1" t="s">
        <v>357</v>
      </c>
      <c r="G43" s="1">
        <v>1</v>
      </c>
      <c r="H43" s="1" t="s">
        <v>197</v>
      </c>
      <c r="I43" s="1" t="s">
        <v>357</v>
      </c>
      <c r="K43" s="8" t="s">
        <v>186</v>
      </c>
      <c r="L43" s="8" t="s">
        <v>372</v>
      </c>
      <c r="M43" s="8">
        <v>1</v>
      </c>
      <c r="N43" s="8"/>
      <c r="P43" s="1" t="s">
        <v>1811</v>
      </c>
      <c r="Q43" s="1" t="s">
        <v>432</v>
      </c>
      <c r="R43" s="1" t="s">
        <v>1803</v>
      </c>
      <c r="S43" s="1" t="s">
        <v>517</v>
      </c>
      <c r="T43" s="9" t="s">
        <v>1951</v>
      </c>
      <c r="U43" s="13" t="s">
        <v>1610</v>
      </c>
      <c r="V43" s="7" t="s">
        <v>1575</v>
      </c>
      <c r="X43" s="1" t="s">
        <v>1566</v>
      </c>
      <c r="Y43" s="1" t="s">
        <v>1569</v>
      </c>
      <c r="Z43" s="1" t="s">
        <v>1490</v>
      </c>
      <c r="AA43" s="1" t="s">
        <v>1004</v>
      </c>
      <c r="AC43" s="1">
        <v>72</v>
      </c>
    </row>
    <row r="44" spans="1:29" x14ac:dyDescent="0.35">
      <c r="A44" s="1" t="s">
        <v>225</v>
      </c>
      <c r="C44" s="1" t="s">
        <v>22</v>
      </c>
      <c r="E44" s="1" t="s">
        <v>195</v>
      </c>
      <c r="F44" s="1" t="s">
        <v>352</v>
      </c>
      <c r="G44" s="1">
        <v>0</v>
      </c>
      <c r="H44" s="1" t="s">
        <v>214</v>
      </c>
      <c r="I44" s="1" t="s">
        <v>352</v>
      </c>
      <c r="K44" s="8" t="s">
        <v>186</v>
      </c>
      <c r="L44" s="8" t="s">
        <v>486</v>
      </c>
      <c r="M44" s="8">
        <v>0</v>
      </c>
      <c r="N44" s="8"/>
      <c r="P44" s="1" t="s">
        <v>1811</v>
      </c>
      <c r="Q44" s="1" t="s">
        <v>412</v>
      </c>
      <c r="R44" s="1" t="s">
        <v>1503</v>
      </c>
      <c r="S44" s="1" t="s">
        <v>517</v>
      </c>
      <c r="T44" s="9" t="s">
        <v>1952</v>
      </c>
      <c r="U44" s="13"/>
      <c r="V44" s="7" t="s">
        <v>1575</v>
      </c>
      <c r="X44" s="1" t="s">
        <v>1552</v>
      </c>
      <c r="Y44" s="1" t="s">
        <v>1543</v>
      </c>
      <c r="Z44" s="1" t="s">
        <v>1491</v>
      </c>
      <c r="AA44" s="1" t="s">
        <v>1570</v>
      </c>
      <c r="AB44" s="1" t="s">
        <v>1572</v>
      </c>
      <c r="AC44" s="1">
        <v>23</v>
      </c>
    </row>
    <row r="45" spans="1:29" x14ac:dyDescent="0.35">
      <c r="A45" s="1" t="s">
        <v>226</v>
      </c>
      <c r="C45" s="1" t="s">
        <v>329</v>
      </c>
      <c r="E45" s="1" t="s">
        <v>195</v>
      </c>
      <c r="F45" s="1" t="s">
        <v>349</v>
      </c>
      <c r="G45" s="1">
        <v>1</v>
      </c>
      <c r="H45" s="1" t="s">
        <v>282</v>
      </c>
      <c r="I45" s="1" t="s">
        <v>349</v>
      </c>
      <c r="K45" s="8" t="s">
        <v>186</v>
      </c>
      <c r="L45" s="8" t="s">
        <v>487</v>
      </c>
      <c r="M45" s="8">
        <v>0</v>
      </c>
      <c r="N45" s="8"/>
      <c r="P45" s="1" t="s">
        <v>1811</v>
      </c>
      <c r="Q45" s="1" t="s">
        <v>811</v>
      </c>
      <c r="R45" s="1" t="s">
        <v>1805</v>
      </c>
      <c r="S45" s="1" t="s">
        <v>517</v>
      </c>
      <c r="T45" s="9" t="s">
        <v>1804</v>
      </c>
      <c r="U45" s="13"/>
      <c r="V45" s="7" t="s">
        <v>1575</v>
      </c>
      <c r="X45" s="1" t="s">
        <v>1551</v>
      </c>
      <c r="Y45" s="1" t="s">
        <v>1553</v>
      </c>
      <c r="Z45" s="1" t="s">
        <v>1491</v>
      </c>
      <c r="AA45" s="1" t="s">
        <v>1571</v>
      </c>
      <c r="AB45" s="1" t="s">
        <v>1573</v>
      </c>
      <c r="AC45" s="1">
        <v>33</v>
      </c>
    </row>
    <row r="46" spans="1:29" x14ac:dyDescent="0.35">
      <c r="A46" s="1" t="s">
        <v>227</v>
      </c>
      <c r="C46" s="1" t="s">
        <v>330</v>
      </c>
      <c r="E46" s="1" t="s">
        <v>195</v>
      </c>
      <c r="F46" s="1" t="s">
        <v>356</v>
      </c>
      <c r="G46" s="1">
        <v>1</v>
      </c>
      <c r="H46" s="1" t="s">
        <v>197</v>
      </c>
      <c r="I46" s="1" t="s">
        <v>356</v>
      </c>
      <c r="K46" s="8" t="s">
        <v>186</v>
      </c>
      <c r="L46" s="8" t="s">
        <v>488</v>
      </c>
      <c r="M46" s="8">
        <v>0</v>
      </c>
      <c r="N46" s="8"/>
      <c r="P46" s="1" t="s">
        <v>1811</v>
      </c>
      <c r="Q46" s="1" t="s">
        <v>813</v>
      </c>
      <c r="R46" s="1" t="s">
        <v>1806</v>
      </c>
      <c r="S46" s="1" t="s">
        <v>476</v>
      </c>
      <c r="T46" s="9" t="s">
        <v>1807</v>
      </c>
      <c r="U46" s="13"/>
      <c r="V46" s="7" t="s">
        <v>1575</v>
      </c>
      <c r="W46" s="8"/>
      <c r="X46" s="1" t="s">
        <v>1492</v>
      </c>
      <c r="Y46" s="1" t="s">
        <v>1492</v>
      </c>
      <c r="Z46" s="1" t="s">
        <v>1491</v>
      </c>
      <c r="AA46" s="1" t="s">
        <v>1004</v>
      </c>
      <c r="AB46" s="1" t="s">
        <v>1574</v>
      </c>
      <c r="AC46" s="1">
        <v>36</v>
      </c>
    </row>
    <row r="47" spans="1:29" x14ac:dyDescent="0.35">
      <c r="A47" s="1" t="s">
        <v>228</v>
      </c>
      <c r="C47" s="1" t="s">
        <v>331</v>
      </c>
      <c r="E47" s="1" t="s">
        <v>195</v>
      </c>
      <c r="F47" s="1" t="s">
        <v>355</v>
      </c>
      <c r="G47" s="1">
        <v>1</v>
      </c>
      <c r="H47" s="1" t="s">
        <v>197</v>
      </c>
      <c r="I47" s="1" t="s">
        <v>355</v>
      </c>
      <c r="K47" s="8" t="s">
        <v>186</v>
      </c>
      <c r="L47" s="8" t="s">
        <v>489</v>
      </c>
      <c r="M47" s="8">
        <v>0</v>
      </c>
      <c r="N47" s="8"/>
      <c r="P47" s="1" t="s">
        <v>1484</v>
      </c>
      <c r="Q47" s="1" t="s">
        <v>431</v>
      </c>
      <c r="R47" s="1" t="s">
        <v>1808</v>
      </c>
      <c r="S47" s="1" t="s">
        <v>517</v>
      </c>
      <c r="T47" s="9" t="s">
        <v>1809</v>
      </c>
      <c r="U47" s="13"/>
      <c r="V47" s="7" t="s">
        <v>1575</v>
      </c>
      <c r="W47" s="8"/>
      <c r="X47" s="1" t="s">
        <v>1555</v>
      </c>
      <c r="Y47" s="1" t="s">
        <v>1557</v>
      </c>
      <c r="Z47" s="1" t="s">
        <v>1008</v>
      </c>
      <c r="AA47" s="1" t="s">
        <v>1570</v>
      </c>
      <c r="AB47" s="1" t="s">
        <v>1564</v>
      </c>
      <c r="AC47" s="1">
        <v>206</v>
      </c>
    </row>
    <row r="48" spans="1:29" x14ac:dyDescent="0.35">
      <c r="A48" s="1" t="s">
        <v>229</v>
      </c>
      <c r="C48" s="1" t="s">
        <v>332</v>
      </c>
      <c r="E48" s="1" t="s">
        <v>196</v>
      </c>
      <c r="F48" s="1" t="s">
        <v>354</v>
      </c>
      <c r="G48" s="1">
        <v>0</v>
      </c>
      <c r="H48" s="1" t="s">
        <v>214</v>
      </c>
      <c r="I48" s="1" t="s">
        <v>352</v>
      </c>
      <c r="K48" s="8" t="s">
        <v>186</v>
      </c>
      <c r="L48" s="8" t="s">
        <v>490</v>
      </c>
      <c r="M48" s="8">
        <v>0</v>
      </c>
      <c r="N48" s="8"/>
      <c r="P48" s="1" t="s">
        <v>1484</v>
      </c>
      <c r="Q48" s="1" t="s">
        <v>432</v>
      </c>
      <c r="R48" s="1" t="s">
        <v>1810</v>
      </c>
      <c r="S48" s="1" t="s">
        <v>517</v>
      </c>
      <c r="T48" s="9" t="s">
        <v>1813</v>
      </c>
      <c r="U48" s="13"/>
      <c r="V48" s="7" t="s">
        <v>1575</v>
      </c>
      <c r="W48" s="8"/>
      <c r="X48" s="1" t="s">
        <v>1556</v>
      </c>
      <c r="Y48" s="1" t="s">
        <v>1558</v>
      </c>
      <c r="Z48" s="1" t="s">
        <v>1008</v>
      </c>
      <c r="AA48" s="1" t="s">
        <v>1571</v>
      </c>
      <c r="AB48" s="1" t="s">
        <v>1567</v>
      </c>
      <c r="AC48" s="1">
        <v>65</v>
      </c>
    </row>
    <row r="49" spans="1:34" x14ac:dyDescent="0.35">
      <c r="A49" s="1" t="s">
        <v>230</v>
      </c>
      <c r="C49" s="1" t="s">
        <v>333</v>
      </c>
      <c r="E49" s="1" t="s">
        <v>196</v>
      </c>
      <c r="F49" s="1" t="s">
        <v>351</v>
      </c>
      <c r="G49" s="1">
        <v>0</v>
      </c>
      <c r="H49" s="1" t="s">
        <v>214</v>
      </c>
      <c r="I49" s="1" t="s">
        <v>349</v>
      </c>
      <c r="K49" s="8" t="s">
        <v>186</v>
      </c>
      <c r="L49" s="8" t="s">
        <v>491</v>
      </c>
      <c r="M49" s="8">
        <v>0</v>
      </c>
      <c r="N49" s="8"/>
      <c r="P49" s="1" t="s">
        <v>1484</v>
      </c>
      <c r="Q49" s="1" t="s">
        <v>350</v>
      </c>
      <c r="R49" s="1" t="s">
        <v>1814</v>
      </c>
      <c r="S49" s="1" t="s">
        <v>517</v>
      </c>
      <c r="T49" s="9" t="s">
        <v>1812</v>
      </c>
      <c r="U49" s="13"/>
      <c r="V49" s="7" t="s">
        <v>1575</v>
      </c>
    </row>
    <row r="50" spans="1:34" x14ac:dyDescent="0.35">
      <c r="A50" s="1" t="s">
        <v>231</v>
      </c>
      <c r="C50" s="1" t="s">
        <v>334</v>
      </c>
      <c r="E50" s="1" t="s">
        <v>196</v>
      </c>
      <c r="F50" s="1" t="s">
        <v>353</v>
      </c>
      <c r="G50" s="1">
        <v>0</v>
      </c>
      <c r="H50" s="1" t="s">
        <v>214</v>
      </c>
      <c r="I50" s="1" t="s">
        <v>349</v>
      </c>
      <c r="K50" s="8" t="s">
        <v>186</v>
      </c>
      <c r="L50" s="8" t="s">
        <v>492</v>
      </c>
      <c r="M50" s="8">
        <v>0</v>
      </c>
      <c r="N50" s="8"/>
      <c r="P50" s="1" t="s">
        <v>1484</v>
      </c>
      <c r="Q50" s="1" t="s">
        <v>412</v>
      </c>
      <c r="R50" s="1" t="s">
        <v>1503</v>
      </c>
      <c r="S50" s="1" t="s">
        <v>517</v>
      </c>
      <c r="T50" s="9" t="s">
        <v>1597</v>
      </c>
      <c r="U50" s="13"/>
      <c r="V50" s="7" t="s">
        <v>1575</v>
      </c>
      <c r="W50" s="9" t="s">
        <v>1484</v>
      </c>
      <c r="X50" s="1" t="s">
        <v>1808</v>
      </c>
      <c r="Y50" s="1" t="s">
        <v>1810</v>
      </c>
      <c r="Z50" s="1" t="s">
        <v>1814</v>
      </c>
      <c r="AA50" s="1" t="s">
        <v>1503</v>
      </c>
      <c r="AB50" s="1" t="s">
        <v>1685</v>
      </c>
      <c r="AC50" s="1" t="s">
        <v>1785</v>
      </c>
      <c r="AD50" s="1" t="s">
        <v>1815</v>
      </c>
    </row>
    <row r="51" spans="1:34" x14ac:dyDescent="0.35">
      <c r="A51" s="1" t="s">
        <v>232</v>
      </c>
      <c r="C51" s="1" t="s">
        <v>335</v>
      </c>
      <c r="E51" s="1" t="s">
        <v>196</v>
      </c>
      <c r="F51" s="1" t="s">
        <v>361</v>
      </c>
      <c r="G51" s="1">
        <v>1</v>
      </c>
      <c r="H51" s="1" t="s">
        <v>198</v>
      </c>
      <c r="I51" s="1" t="s">
        <v>361</v>
      </c>
      <c r="K51" s="8" t="s">
        <v>186</v>
      </c>
      <c r="L51" s="8" t="s">
        <v>493</v>
      </c>
      <c r="M51" s="8">
        <v>0</v>
      </c>
      <c r="N51" s="8"/>
      <c r="P51" s="1" t="s">
        <v>1484</v>
      </c>
      <c r="Q51" s="1" t="s">
        <v>435</v>
      </c>
      <c r="R51" s="1" t="s">
        <v>1685</v>
      </c>
      <c r="S51" s="1" t="s">
        <v>517</v>
      </c>
      <c r="T51" s="9" t="s">
        <v>1598</v>
      </c>
      <c r="U51" s="13"/>
      <c r="V51" s="7" t="s">
        <v>1575</v>
      </c>
      <c r="X51" s="8" t="s">
        <v>1552</v>
      </c>
      <c r="Y51" s="1" t="s">
        <v>1570</v>
      </c>
      <c r="Z51" s="1" t="s">
        <v>1565</v>
      </c>
      <c r="AA51" s="8" t="s">
        <v>1572</v>
      </c>
      <c r="AB51" s="8">
        <v>10</v>
      </c>
      <c r="AC51" s="8">
        <v>1</v>
      </c>
      <c r="AD51" s="8" t="s">
        <v>517</v>
      </c>
      <c r="AF51" s="8"/>
      <c r="AG51" s="8"/>
    </row>
    <row r="52" spans="1:34" x14ac:dyDescent="0.35">
      <c r="A52" s="1" t="s">
        <v>233</v>
      </c>
      <c r="C52" s="1" t="s">
        <v>336</v>
      </c>
      <c r="E52" s="1" t="s">
        <v>196</v>
      </c>
      <c r="F52" s="1" t="s">
        <v>360</v>
      </c>
      <c r="G52" s="1">
        <v>1</v>
      </c>
      <c r="H52" s="1" t="s">
        <v>198</v>
      </c>
      <c r="I52" s="1" t="s">
        <v>360</v>
      </c>
      <c r="K52" s="8" t="s">
        <v>186</v>
      </c>
      <c r="L52" s="8" t="s">
        <v>494</v>
      </c>
      <c r="M52" s="8">
        <v>0</v>
      </c>
      <c r="N52" s="8"/>
      <c r="P52" s="1" t="s">
        <v>1484</v>
      </c>
      <c r="Q52" s="1" t="s">
        <v>1045</v>
      </c>
      <c r="R52" s="1" t="s">
        <v>1785</v>
      </c>
      <c r="S52" s="1" t="s">
        <v>517</v>
      </c>
      <c r="T52" s="9" t="s">
        <v>1816</v>
      </c>
      <c r="U52" s="13"/>
      <c r="V52" s="7" t="s">
        <v>1575</v>
      </c>
      <c r="X52" s="1" t="s">
        <v>1551</v>
      </c>
      <c r="Y52" s="1" t="s">
        <v>1571</v>
      </c>
      <c r="Z52" s="1" t="s">
        <v>1565</v>
      </c>
      <c r="AA52" s="1" t="s">
        <v>1573</v>
      </c>
      <c r="AB52" s="1">
        <v>10</v>
      </c>
      <c r="AC52" s="1">
        <v>1</v>
      </c>
      <c r="AD52" s="1" t="s">
        <v>517</v>
      </c>
      <c r="AF52" s="8"/>
      <c r="AG52" s="8"/>
    </row>
    <row r="53" spans="1:34" x14ac:dyDescent="0.35">
      <c r="A53" s="1" t="s">
        <v>234</v>
      </c>
      <c r="C53" s="1" t="s">
        <v>337</v>
      </c>
      <c r="E53" s="1" t="s">
        <v>196</v>
      </c>
      <c r="F53" s="1" t="s">
        <v>352</v>
      </c>
      <c r="G53" s="1">
        <v>0</v>
      </c>
      <c r="H53" s="1" t="s">
        <v>214</v>
      </c>
      <c r="I53" s="1" t="s">
        <v>352</v>
      </c>
      <c r="K53" s="8" t="s">
        <v>186</v>
      </c>
      <c r="L53" s="8" t="s">
        <v>495</v>
      </c>
      <c r="M53" s="8">
        <v>0</v>
      </c>
      <c r="N53" s="8"/>
      <c r="P53" s="1" t="s">
        <v>1484</v>
      </c>
      <c r="Q53" s="1" t="s">
        <v>1044</v>
      </c>
      <c r="R53" s="1" t="s">
        <v>1815</v>
      </c>
      <c r="S53" s="1" t="s">
        <v>517</v>
      </c>
      <c r="T53" s="9" t="s">
        <v>1817</v>
      </c>
      <c r="U53" s="13"/>
      <c r="V53" s="7" t="s">
        <v>1575</v>
      </c>
      <c r="X53" s="1" t="s">
        <v>1492</v>
      </c>
      <c r="Y53" s="1" t="s">
        <v>1004</v>
      </c>
      <c r="Z53" s="1" t="s">
        <v>1566</v>
      </c>
      <c r="AA53" s="1" t="s">
        <v>1574</v>
      </c>
      <c r="AB53" s="1">
        <v>10</v>
      </c>
      <c r="AC53" s="1">
        <v>1</v>
      </c>
      <c r="AD53" s="1">
        <v>1</v>
      </c>
      <c r="AG53" s="8"/>
    </row>
    <row r="54" spans="1:34" x14ac:dyDescent="0.35">
      <c r="A54" s="1" t="s">
        <v>235</v>
      </c>
      <c r="C54" s="1" t="s">
        <v>338</v>
      </c>
      <c r="E54" s="1" t="s">
        <v>196</v>
      </c>
      <c r="F54" s="1" t="s">
        <v>349</v>
      </c>
      <c r="G54" s="1">
        <v>1</v>
      </c>
      <c r="H54" s="1" t="s">
        <v>282</v>
      </c>
      <c r="I54" s="1" t="s">
        <v>349</v>
      </c>
      <c r="K54" s="8" t="s">
        <v>186</v>
      </c>
      <c r="L54" s="8" t="s">
        <v>704</v>
      </c>
      <c r="M54" s="8">
        <v>1</v>
      </c>
      <c r="N54" s="8" t="s">
        <v>476</v>
      </c>
      <c r="P54" s="1" t="s">
        <v>1485</v>
      </c>
      <c r="Q54" s="1" t="s">
        <v>439</v>
      </c>
      <c r="R54" s="1" t="s">
        <v>1504</v>
      </c>
      <c r="S54" s="1" t="s">
        <v>517</v>
      </c>
      <c r="T54" s="9" t="s">
        <v>1818</v>
      </c>
      <c r="U54" s="13"/>
      <c r="V54" s="7" t="s">
        <v>1575</v>
      </c>
      <c r="X54" s="1" t="s">
        <v>1555</v>
      </c>
      <c r="Y54" s="1" t="s">
        <v>1570</v>
      </c>
      <c r="Z54" s="1" t="s">
        <v>1552</v>
      </c>
      <c r="AA54" s="1" t="s">
        <v>1564</v>
      </c>
      <c r="AB54" s="1" t="s">
        <v>1519</v>
      </c>
      <c r="AC54" s="1" t="s">
        <v>517</v>
      </c>
      <c r="AD54" s="1" t="s">
        <v>567</v>
      </c>
      <c r="AG54" s="8"/>
    </row>
    <row r="55" spans="1:34" x14ac:dyDescent="0.35">
      <c r="A55" s="1" t="s">
        <v>236</v>
      </c>
      <c r="C55" s="1" t="s">
        <v>339</v>
      </c>
      <c r="E55" s="1" t="s">
        <v>196</v>
      </c>
      <c r="F55" s="1" t="s">
        <v>359</v>
      </c>
      <c r="G55" s="1">
        <v>1</v>
      </c>
      <c r="H55" s="1" t="s">
        <v>198</v>
      </c>
      <c r="I55" s="1" t="s">
        <v>359</v>
      </c>
      <c r="K55" s="8" t="s">
        <v>186</v>
      </c>
      <c r="L55" s="8" t="s">
        <v>705</v>
      </c>
      <c r="M55" s="8">
        <v>1</v>
      </c>
      <c r="N55" s="8" t="s">
        <v>476</v>
      </c>
      <c r="P55" s="1" t="s">
        <v>1485</v>
      </c>
      <c r="Q55" s="1" t="s">
        <v>1486</v>
      </c>
      <c r="R55" s="1" t="s">
        <v>1819</v>
      </c>
      <c r="S55" s="1" t="s">
        <v>476</v>
      </c>
      <c r="U55" s="13" t="s">
        <v>1611</v>
      </c>
      <c r="V55" s="7" t="s">
        <v>1575</v>
      </c>
      <c r="X55" s="1" t="s">
        <v>1555</v>
      </c>
      <c r="Y55" s="1" t="s">
        <v>1570</v>
      </c>
      <c r="Z55" s="1" t="s">
        <v>1492</v>
      </c>
      <c r="AA55" s="1" t="s">
        <v>1564</v>
      </c>
      <c r="AB55" s="1" t="s">
        <v>1519</v>
      </c>
      <c r="AC55" s="1" t="s">
        <v>517</v>
      </c>
      <c r="AD55" s="1" t="s">
        <v>517</v>
      </c>
      <c r="AG55" s="8"/>
    </row>
    <row r="56" spans="1:34" x14ac:dyDescent="0.35">
      <c r="A56" s="1" t="s">
        <v>237</v>
      </c>
      <c r="C56" s="1" t="s">
        <v>340</v>
      </c>
      <c r="E56" s="1" t="s">
        <v>196</v>
      </c>
      <c r="F56" s="1" t="s">
        <v>355</v>
      </c>
      <c r="G56" s="1">
        <v>1</v>
      </c>
      <c r="H56" s="1" t="s">
        <v>198</v>
      </c>
      <c r="I56" s="1" t="s">
        <v>355</v>
      </c>
      <c r="K56" s="8" t="s">
        <v>187</v>
      </c>
      <c r="L56" s="8" t="s">
        <v>696</v>
      </c>
      <c r="M56" s="8">
        <v>1</v>
      </c>
      <c r="N56" s="8" t="s">
        <v>476</v>
      </c>
      <c r="P56" s="1" t="s">
        <v>1485</v>
      </c>
      <c r="Q56" s="1" t="s">
        <v>373</v>
      </c>
      <c r="R56" s="1" t="s">
        <v>1505</v>
      </c>
      <c r="S56" s="1" t="s">
        <v>517</v>
      </c>
      <c r="T56" s="9" t="s">
        <v>1618</v>
      </c>
      <c r="U56" s="13"/>
      <c r="V56" s="7" t="s">
        <v>1575</v>
      </c>
      <c r="X56" s="1" t="s">
        <v>1556</v>
      </c>
      <c r="Y56" s="1" t="s">
        <v>1571</v>
      </c>
      <c r="Z56" s="1" t="s">
        <v>1551</v>
      </c>
      <c r="AA56" s="1" t="s">
        <v>1567</v>
      </c>
      <c r="AB56" s="1" t="s">
        <v>1519</v>
      </c>
      <c r="AC56" s="1" t="s">
        <v>517</v>
      </c>
      <c r="AD56" s="1" t="s">
        <v>567</v>
      </c>
      <c r="AG56" s="8"/>
    </row>
    <row r="57" spans="1:34" x14ac:dyDescent="0.35">
      <c r="A57" s="1" t="s">
        <v>238</v>
      </c>
      <c r="C57" s="1" t="s">
        <v>341</v>
      </c>
      <c r="E57" s="1" t="s">
        <v>197</v>
      </c>
      <c r="F57" s="1" t="s">
        <v>385</v>
      </c>
      <c r="G57" s="1">
        <v>0</v>
      </c>
      <c r="H57" s="1" t="s">
        <v>222</v>
      </c>
      <c r="I57" s="1" t="s">
        <v>375</v>
      </c>
      <c r="K57" s="8" t="s">
        <v>187</v>
      </c>
      <c r="L57" s="8" t="s">
        <v>480</v>
      </c>
      <c r="M57" s="8">
        <v>0</v>
      </c>
      <c r="N57" s="8"/>
      <c r="P57" s="1" t="s">
        <v>1485</v>
      </c>
      <c r="Q57" s="1" t="s">
        <v>1094</v>
      </c>
      <c r="R57" s="1" t="s">
        <v>1506</v>
      </c>
      <c r="S57" s="1" t="s">
        <v>476</v>
      </c>
      <c r="T57" s="9" t="s">
        <v>1517</v>
      </c>
      <c r="U57" s="13"/>
      <c r="V57" s="7" t="s">
        <v>1575</v>
      </c>
      <c r="X57" s="1" t="s">
        <v>1556</v>
      </c>
      <c r="Y57" s="1" t="s">
        <v>1571</v>
      </c>
      <c r="Z57" s="1" t="s">
        <v>1492</v>
      </c>
      <c r="AA57" s="1" t="s">
        <v>1567</v>
      </c>
      <c r="AB57" s="1" t="s">
        <v>1519</v>
      </c>
      <c r="AC57" s="1" t="s">
        <v>517</v>
      </c>
      <c r="AD57" s="1" t="s">
        <v>517</v>
      </c>
      <c r="AG57" s="8"/>
    </row>
    <row r="58" spans="1:34" x14ac:dyDescent="0.35">
      <c r="A58" s="1" t="s">
        <v>239</v>
      </c>
      <c r="C58" s="1" t="s">
        <v>342</v>
      </c>
      <c r="E58" s="1" t="s">
        <v>197</v>
      </c>
      <c r="F58" s="1" t="s">
        <v>392</v>
      </c>
      <c r="G58" s="1">
        <v>0</v>
      </c>
      <c r="H58" s="1" t="s">
        <v>224</v>
      </c>
      <c r="I58" s="1" t="s">
        <v>390</v>
      </c>
      <c r="K58" s="8" t="s">
        <v>187</v>
      </c>
      <c r="L58" s="8" t="s">
        <v>481</v>
      </c>
      <c r="M58" s="8">
        <v>0</v>
      </c>
      <c r="N58" s="8"/>
      <c r="P58" s="1" t="s">
        <v>1485</v>
      </c>
      <c r="Q58" s="1" t="s">
        <v>1102</v>
      </c>
      <c r="R58" s="1" t="s">
        <v>1507</v>
      </c>
      <c r="S58" s="1" t="s">
        <v>517</v>
      </c>
      <c r="T58" s="9" t="s">
        <v>1523</v>
      </c>
      <c r="U58" s="13"/>
      <c r="V58" s="7" t="s">
        <v>1575</v>
      </c>
    </row>
    <row r="59" spans="1:34" x14ac:dyDescent="0.35">
      <c r="A59" s="1" t="s">
        <v>240</v>
      </c>
      <c r="C59" s="1" t="s">
        <v>343</v>
      </c>
      <c r="E59" s="1" t="s">
        <v>197</v>
      </c>
      <c r="F59" s="1" t="s">
        <v>391</v>
      </c>
      <c r="G59" s="1">
        <v>0</v>
      </c>
      <c r="H59" s="1" t="s">
        <v>224</v>
      </c>
      <c r="I59" s="1" t="s">
        <v>389</v>
      </c>
      <c r="K59" s="8" t="s">
        <v>187</v>
      </c>
      <c r="L59" s="8" t="s">
        <v>482</v>
      </c>
      <c r="M59" s="8">
        <v>0</v>
      </c>
      <c r="N59" s="8"/>
      <c r="P59" s="1" t="s">
        <v>1485</v>
      </c>
      <c r="Q59" s="1" t="s">
        <v>1104</v>
      </c>
      <c r="R59" s="1" t="s">
        <v>1820</v>
      </c>
      <c r="S59" s="1" t="s">
        <v>517</v>
      </c>
      <c r="T59" s="9" t="s">
        <v>1523</v>
      </c>
      <c r="U59" s="13"/>
      <c r="V59" s="7" t="s">
        <v>1575</v>
      </c>
      <c r="W59" s="9" t="s">
        <v>1485</v>
      </c>
      <c r="X59" s="1" t="s">
        <v>1504</v>
      </c>
      <c r="Y59" s="1" t="s">
        <v>1819</v>
      </c>
      <c r="Z59" s="1" t="s">
        <v>1505</v>
      </c>
      <c r="AA59" s="1" t="s">
        <v>1506</v>
      </c>
      <c r="AB59" s="1" t="s">
        <v>1507</v>
      </c>
      <c r="AC59" s="1" t="s">
        <v>1820</v>
      </c>
      <c r="AD59" s="1" t="s">
        <v>1800</v>
      </c>
      <c r="AE59" s="1" t="s">
        <v>1803</v>
      </c>
      <c r="AF59" s="1" t="s">
        <v>1503</v>
      </c>
      <c r="AG59" s="1" t="s">
        <v>1508</v>
      </c>
      <c r="AH59" s="1" t="s">
        <v>1509</v>
      </c>
    </row>
    <row r="60" spans="1:34" x14ac:dyDescent="0.35">
      <c r="A60" s="1" t="s">
        <v>241</v>
      </c>
      <c r="C60" s="1" t="s">
        <v>296</v>
      </c>
      <c r="E60" s="1" t="s">
        <v>197</v>
      </c>
      <c r="F60" s="1" t="s">
        <v>393</v>
      </c>
      <c r="G60" s="1">
        <v>0</v>
      </c>
      <c r="H60" s="1" t="s">
        <v>226</v>
      </c>
      <c r="I60" s="1" t="s">
        <v>375</v>
      </c>
      <c r="K60" s="8" t="s">
        <v>187</v>
      </c>
      <c r="L60" s="8" t="s">
        <v>483</v>
      </c>
      <c r="M60" s="8">
        <v>0</v>
      </c>
      <c r="N60" s="8"/>
      <c r="P60" s="1" t="s">
        <v>1485</v>
      </c>
      <c r="Q60" s="1" t="s">
        <v>350</v>
      </c>
      <c r="R60" s="1" t="s">
        <v>1800</v>
      </c>
      <c r="S60" s="1" t="s">
        <v>517</v>
      </c>
      <c r="T60" s="9" t="s">
        <v>1821</v>
      </c>
      <c r="U60" s="13"/>
      <c r="V60" s="7" t="s">
        <v>1575</v>
      </c>
      <c r="X60" s="1" t="s">
        <v>1576</v>
      </c>
      <c r="Y60" s="1" t="s">
        <v>1581</v>
      </c>
      <c r="Z60" s="1" t="s">
        <v>1586</v>
      </c>
      <c r="AA60" s="1" t="s">
        <v>1588</v>
      </c>
      <c r="AB60" s="1" t="str">
        <f ca="1">Date_To_Ortems_Format(TODAY())</f>
        <v>09/08/2020 00:00</v>
      </c>
      <c r="AC60" s="1" t="str">
        <f ca="1">Date_To_Ortems_Format(DATE(YEAR(TODAY()), MONTH(TODAY()), DAY(TODAY()) + 7))</f>
        <v>09/15/2020 00:00</v>
      </c>
      <c r="AD60" s="1" t="s">
        <v>1555</v>
      </c>
      <c r="AE60" s="8" t="s">
        <v>1570</v>
      </c>
      <c r="AF60" s="8" t="s">
        <v>1564</v>
      </c>
      <c r="AG60" s="1">
        <v>37</v>
      </c>
      <c r="AH60" s="1">
        <v>1</v>
      </c>
    </row>
    <row r="61" spans="1:34" x14ac:dyDescent="0.35">
      <c r="A61" s="1" t="s">
        <v>242</v>
      </c>
      <c r="C61" s="1" t="s">
        <v>297</v>
      </c>
      <c r="E61" s="1" t="s">
        <v>197</v>
      </c>
      <c r="F61" s="1" t="s">
        <v>394</v>
      </c>
      <c r="G61" s="1">
        <v>0</v>
      </c>
      <c r="H61" s="1" t="s">
        <v>226</v>
      </c>
      <c r="I61" s="1" t="s">
        <v>376</v>
      </c>
      <c r="K61" s="8" t="s">
        <v>187</v>
      </c>
      <c r="L61" s="8" t="s">
        <v>484</v>
      </c>
      <c r="M61" s="8">
        <v>0</v>
      </c>
      <c r="N61" s="8"/>
      <c r="P61" s="1" t="s">
        <v>1485</v>
      </c>
      <c r="Q61" s="1" t="s">
        <v>412</v>
      </c>
      <c r="R61" s="1" t="s">
        <v>1503</v>
      </c>
      <c r="S61" s="1" t="s">
        <v>517</v>
      </c>
      <c r="T61" s="9" t="s">
        <v>1822</v>
      </c>
      <c r="U61" s="13"/>
      <c r="V61" s="7" t="s">
        <v>1575</v>
      </c>
      <c r="X61" s="1" t="s">
        <v>1577</v>
      </c>
      <c r="Y61" s="1" t="s">
        <v>1582</v>
      </c>
      <c r="Z61" s="1" t="s">
        <v>1586</v>
      </c>
      <c r="AA61" s="1" t="s">
        <v>1588</v>
      </c>
      <c r="AB61" s="1" t="str">
        <f ca="1">Date_To_Ortems_Format(TODAY())</f>
        <v>09/08/2020 00:00</v>
      </c>
      <c r="AC61" s="1" t="str">
        <f ca="1">Date_To_Ortems_Format(DATE(YEAR(TODAY()), MONTH(TODAY()), DAY(TODAY()) + 12))</f>
        <v>09/20/2020 00:00</v>
      </c>
      <c r="AD61" s="1" t="s">
        <v>1556</v>
      </c>
      <c r="AE61" s="8" t="s">
        <v>1571</v>
      </c>
      <c r="AF61" s="8" t="s">
        <v>1567</v>
      </c>
      <c r="AG61" s="1">
        <v>29</v>
      </c>
      <c r="AH61" s="1">
        <v>1</v>
      </c>
    </row>
    <row r="62" spans="1:34" x14ac:dyDescent="0.35">
      <c r="A62" s="1" t="s">
        <v>243</v>
      </c>
      <c r="C62" s="1" t="s">
        <v>298</v>
      </c>
      <c r="E62" s="1" t="s">
        <v>197</v>
      </c>
      <c r="F62" s="1" t="s">
        <v>358</v>
      </c>
      <c r="G62" s="1">
        <v>1</v>
      </c>
      <c r="K62" s="8" t="s">
        <v>187</v>
      </c>
      <c r="L62" s="8" t="s">
        <v>375</v>
      </c>
      <c r="M62" s="8">
        <v>1</v>
      </c>
      <c r="N62" s="8"/>
      <c r="P62" s="1" t="s">
        <v>1485</v>
      </c>
      <c r="Q62" s="1" t="s">
        <v>432</v>
      </c>
      <c r="R62" s="1" t="s">
        <v>1803</v>
      </c>
      <c r="S62" s="1" t="s">
        <v>517</v>
      </c>
      <c r="T62" s="9" t="s">
        <v>1823</v>
      </c>
      <c r="U62" s="13"/>
      <c r="V62" s="7" t="s">
        <v>1575</v>
      </c>
      <c r="X62" s="1" t="s">
        <v>1578</v>
      </c>
      <c r="Y62" s="1" t="s">
        <v>1583</v>
      </c>
      <c r="Z62" s="1" t="s">
        <v>1586</v>
      </c>
      <c r="AA62" s="1" t="s">
        <v>1589</v>
      </c>
      <c r="AB62" s="1" t="str">
        <f ca="1">Date_To_Ortems_Format(TODAY())</f>
        <v>09/08/2020 00:00</v>
      </c>
      <c r="AC62" s="1" t="str">
        <f ca="1">Date_To_Ortems_Format(DATE(YEAR(TODAY()), MONTH(TODAY()), DAY(TODAY()) + 15))</f>
        <v>09/23/2020 00:00</v>
      </c>
      <c r="AD62" s="1" t="s">
        <v>1555</v>
      </c>
      <c r="AE62" s="8" t="s">
        <v>1570</v>
      </c>
      <c r="AF62" s="8" t="s">
        <v>1564</v>
      </c>
      <c r="AG62" s="1">
        <v>63</v>
      </c>
      <c r="AH62" s="1">
        <v>1</v>
      </c>
    </row>
    <row r="63" spans="1:34" x14ac:dyDescent="0.35">
      <c r="A63" s="1" t="s">
        <v>244</v>
      </c>
      <c r="C63" s="1" t="s">
        <v>0</v>
      </c>
      <c r="E63" s="1" t="s">
        <v>197</v>
      </c>
      <c r="F63" s="1" t="s">
        <v>357</v>
      </c>
      <c r="G63" s="1">
        <v>1</v>
      </c>
      <c r="K63" s="8" t="s">
        <v>187</v>
      </c>
      <c r="L63" s="8" t="s">
        <v>376</v>
      </c>
      <c r="M63" s="8">
        <v>1</v>
      </c>
      <c r="N63" s="8"/>
      <c r="P63" s="1" t="s">
        <v>1485</v>
      </c>
      <c r="Q63" s="1" t="s">
        <v>1116</v>
      </c>
      <c r="R63" s="1" t="s">
        <v>1508</v>
      </c>
      <c r="S63" s="1" t="s">
        <v>517</v>
      </c>
      <c r="T63" s="9" t="s">
        <v>1824</v>
      </c>
      <c r="U63" s="13"/>
      <c r="V63" s="7" t="s">
        <v>1575</v>
      </c>
      <c r="X63" s="1" t="s">
        <v>1579</v>
      </c>
      <c r="Y63" s="1" t="s">
        <v>1584</v>
      </c>
      <c r="Z63" s="1" t="s">
        <v>1587</v>
      </c>
      <c r="AA63" s="1" t="s">
        <v>1590</v>
      </c>
      <c r="AB63" s="1" t="str">
        <f ca="1">Date_To_Ortems_Format(TODAY())</f>
        <v>09/08/2020 00:00</v>
      </c>
      <c r="AC63" s="1" t="str">
        <f ca="1">Date_To_Ortems_Format(DATE(YEAR(TODAY()), MONTH(TODAY()), DAY(TODAY()) + 18))</f>
        <v>09/26/2020 00:00</v>
      </c>
      <c r="AD63" s="1" t="s">
        <v>1555</v>
      </c>
      <c r="AE63" s="8" t="s">
        <v>1570</v>
      </c>
      <c r="AF63" s="8" t="s">
        <v>1564</v>
      </c>
      <c r="AG63" s="1">
        <v>22</v>
      </c>
      <c r="AH63" s="1">
        <v>1</v>
      </c>
    </row>
    <row r="64" spans="1:34" x14ac:dyDescent="0.35">
      <c r="A64" s="1" t="s">
        <v>245</v>
      </c>
      <c r="C64" s="1" t="s">
        <v>1</v>
      </c>
      <c r="E64" s="1" t="s">
        <v>197</v>
      </c>
      <c r="F64" s="1" t="s">
        <v>386</v>
      </c>
      <c r="G64" s="1">
        <v>0</v>
      </c>
      <c r="H64" s="1" t="s">
        <v>218</v>
      </c>
      <c r="I64" s="1" t="s">
        <v>386</v>
      </c>
      <c r="K64" s="8" t="s">
        <v>187</v>
      </c>
      <c r="L64" s="8" t="s">
        <v>377</v>
      </c>
      <c r="M64" s="8">
        <v>1</v>
      </c>
      <c r="N64" s="8"/>
      <c r="P64" s="1" t="s">
        <v>1485</v>
      </c>
      <c r="Q64" s="1" t="s">
        <v>1115</v>
      </c>
      <c r="R64" s="1" t="s">
        <v>1509</v>
      </c>
      <c r="S64" s="1" t="s">
        <v>517</v>
      </c>
      <c r="T64" s="9" t="s">
        <v>1517</v>
      </c>
      <c r="V64" s="7" t="s">
        <v>1575</v>
      </c>
      <c r="X64" s="1" t="s">
        <v>1580</v>
      </c>
      <c r="Y64" s="1" t="s">
        <v>1585</v>
      </c>
      <c r="Z64" s="1" t="s">
        <v>1587</v>
      </c>
      <c r="AA64" s="1" t="s">
        <v>1590</v>
      </c>
      <c r="AB64" s="1" t="str">
        <f ca="1">Date_To_Ortems_Format(TODAY())</f>
        <v>09/08/2020 00:00</v>
      </c>
      <c r="AC64" s="1" t="str">
        <f ca="1">Date_To_Ortems_Format(DATE(YEAR(TODAY()), MONTH(TODAY()), DAY(TODAY()) + 21))</f>
        <v>09/29/2020 00:00</v>
      </c>
      <c r="AD64" s="1" t="s">
        <v>1555</v>
      </c>
      <c r="AE64" s="8" t="s">
        <v>1570</v>
      </c>
      <c r="AF64" s="8" t="s">
        <v>1564</v>
      </c>
      <c r="AG64" s="1">
        <v>81</v>
      </c>
      <c r="AH64" s="1">
        <v>1</v>
      </c>
    </row>
    <row r="65" spans="1:31" x14ac:dyDescent="0.35">
      <c r="A65" s="1" t="s">
        <v>246</v>
      </c>
      <c r="C65" s="1" t="s">
        <v>2</v>
      </c>
      <c r="E65" s="1" t="s">
        <v>197</v>
      </c>
      <c r="F65" s="1" t="s">
        <v>388</v>
      </c>
      <c r="G65" s="1">
        <v>0</v>
      </c>
      <c r="H65" s="1" t="s">
        <v>250</v>
      </c>
      <c r="I65" s="1" t="s">
        <v>388</v>
      </c>
      <c r="K65" s="8" t="s">
        <v>187</v>
      </c>
      <c r="L65" s="8" t="s">
        <v>486</v>
      </c>
      <c r="M65" s="8">
        <v>0</v>
      </c>
      <c r="N65" s="8"/>
      <c r="P65" s="1" t="s">
        <v>1635</v>
      </c>
      <c r="Q65" s="1" t="s">
        <v>397</v>
      </c>
      <c r="R65" s="1" t="s">
        <v>1652</v>
      </c>
      <c r="S65" s="1" t="s">
        <v>517</v>
      </c>
      <c r="T65" s="9" t="s">
        <v>1833</v>
      </c>
      <c r="V65" s="7" t="s">
        <v>1575</v>
      </c>
      <c r="X65" s="20"/>
    </row>
    <row r="66" spans="1:31" x14ac:dyDescent="0.35">
      <c r="A66" s="1" t="s">
        <v>247</v>
      </c>
      <c r="C66" s="1" t="s">
        <v>3</v>
      </c>
      <c r="E66" s="1" t="s">
        <v>197</v>
      </c>
      <c r="F66" s="1" t="s">
        <v>356</v>
      </c>
      <c r="G66" s="1">
        <v>1</v>
      </c>
      <c r="H66" s="1" t="s">
        <v>290</v>
      </c>
      <c r="I66" s="1" t="s">
        <v>356</v>
      </c>
      <c r="K66" s="8" t="s">
        <v>187</v>
      </c>
      <c r="L66" s="8" t="s">
        <v>487</v>
      </c>
      <c r="M66" s="8">
        <v>0</v>
      </c>
      <c r="N66" s="8"/>
      <c r="P66" s="1" t="s">
        <v>1635</v>
      </c>
      <c r="Q66" s="1" t="s">
        <v>1138</v>
      </c>
      <c r="R66" s="1" t="s">
        <v>1637</v>
      </c>
      <c r="S66" s="1" t="s">
        <v>476</v>
      </c>
      <c r="V66" s="7" t="s">
        <v>1575</v>
      </c>
      <c r="W66" s="1" t="s">
        <v>1635</v>
      </c>
      <c r="X66" s="1" t="s">
        <v>1636</v>
      </c>
      <c r="Y66" s="1" t="s">
        <v>1637</v>
      </c>
      <c r="Z66" s="1" t="s">
        <v>1648</v>
      </c>
      <c r="AA66" s="1" t="s">
        <v>1638</v>
      </c>
      <c r="AB66" s="1" t="s">
        <v>1639</v>
      </c>
      <c r="AC66" s="1" t="s">
        <v>1640</v>
      </c>
      <c r="AD66" s="1" t="s">
        <v>1641</v>
      </c>
      <c r="AE66" s="1" t="s">
        <v>1642</v>
      </c>
    </row>
    <row r="67" spans="1:31" x14ac:dyDescent="0.35">
      <c r="A67" s="1" t="s">
        <v>248</v>
      </c>
      <c r="C67" s="1" t="s">
        <v>4</v>
      </c>
      <c r="E67" s="1" t="s">
        <v>197</v>
      </c>
      <c r="F67" s="1" t="s">
        <v>390</v>
      </c>
      <c r="G67" s="1">
        <v>0</v>
      </c>
      <c r="H67" s="1" t="s">
        <v>224</v>
      </c>
      <c r="I67" s="1" t="s">
        <v>390</v>
      </c>
      <c r="K67" s="8" t="s">
        <v>187</v>
      </c>
      <c r="L67" s="8" t="s">
        <v>488</v>
      </c>
      <c r="M67" s="8">
        <v>0</v>
      </c>
      <c r="N67" s="8"/>
      <c r="P67" s="1" t="s">
        <v>1635</v>
      </c>
      <c r="Q67" s="1" t="s">
        <v>1139</v>
      </c>
      <c r="R67" s="1" t="s">
        <v>1648</v>
      </c>
      <c r="S67" s="1" t="s">
        <v>517</v>
      </c>
      <c r="T67" s="9" t="s">
        <v>1831</v>
      </c>
      <c r="V67" s="7" t="s">
        <v>1575</v>
      </c>
      <c r="X67" s="1" t="s">
        <v>1651</v>
      </c>
      <c r="Y67" s="1" t="s">
        <v>1650</v>
      </c>
      <c r="Z67" s="1" t="s">
        <v>517</v>
      </c>
      <c r="AA67" s="1" t="s">
        <v>517</v>
      </c>
      <c r="AB67" s="1" t="s">
        <v>476</v>
      </c>
      <c r="AC67" s="1" t="s">
        <v>1634</v>
      </c>
      <c r="AD67" s="1" t="s">
        <v>517</v>
      </c>
      <c r="AE67" s="1" t="s">
        <v>619</v>
      </c>
    </row>
    <row r="68" spans="1:31" x14ac:dyDescent="0.35">
      <c r="A68" s="1" t="s">
        <v>249</v>
      </c>
      <c r="C68" s="1" t="s">
        <v>5</v>
      </c>
      <c r="E68" s="1" t="s">
        <v>197</v>
      </c>
      <c r="F68" s="1" t="s">
        <v>375</v>
      </c>
      <c r="G68" s="1">
        <v>0</v>
      </c>
      <c r="H68" s="1" t="s">
        <v>226</v>
      </c>
      <c r="I68" s="1" t="s">
        <v>375</v>
      </c>
      <c r="K68" s="8" t="s">
        <v>187</v>
      </c>
      <c r="L68" s="8" t="s">
        <v>489</v>
      </c>
      <c r="M68" s="8">
        <v>0</v>
      </c>
      <c r="N68" s="8"/>
      <c r="P68" s="1" t="s">
        <v>1635</v>
      </c>
      <c r="Q68" s="1" t="s">
        <v>399</v>
      </c>
      <c r="R68" s="1" t="s">
        <v>1638</v>
      </c>
      <c r="S68" s="1" t="s">
        <v>517</v>
      </c>
      <c r="T68" s="9" t="s">
        <v>1832</v>
      </c>
      <c r="V68" s="7" t="s">
        <v>1575</v>
      </c>
      <c r="X68" s="1" t="s">
        <v>1651</v>
      </c>
      <c r="Y68" s="1" t="s">
        <v>1650</v>
      </c>
      <c r="Z68" s="1" t="s">
        <v>517</v>
      </c>
      <c r="AA68" s="1" t="s">
        <v>567</v>
      </c>
      <c r="AB68" s="1" t="s">
        <v>476</v>
      </c>
      <c r="AC68" s="1" t="s">
        <v>1634</v>
      </c>
      <c r="AD68" s="1" t="s">
        <v>517</v>
      </c>
      <c r="AE68" s="1" t="s">
        <v>619</v>
      </c>
    </row>
    <row r="69" spans="1:31" x14ac:dyDescent="0.35">
      <c r="A69" s="1" t="s">
        <v>250</v>
      </c>
      <c r="C69" s="1" t="s">
        <v>6</v>
      </c>
      <c r="E69" s="1" t="s">
        <v>197</v>
      </c>
      <c r="F69" s="1" t="s">
        <v>389</v>
      </c>
      <c r="G69" s="1">
        <v>0</v>
      </c>
      <c r="H69" s="1" t="s">
        <v>224</v>
      </c>
      <c r="I69" s="1" t="s">
        <v>389</v>
      </c>
      <c r="K69" s="8" t="s">
        <v>187</v>
      </c>
      <c r="L69" s="8" t="s">
        <v>490</v>
      </c>
      <c r="M69" s="8">
        <v>0</v>
      </c>
      <c r="N69" s="8"/>
      <c r="P69" s="1" t="s">
        <v>1635</v>
      </c>
      <c r="Q69" s="1" t="s">
        <v>1156</v>
      </c>
      <c r="R69" s="1" t="s">
        <v>1639</v>
      </c>
      <c r="S69" s="1" t="s">
        <v>517</v>
      </c>
      <c r="T69" s="9" t="s">
        <v>1834</v>
      </c>
      <c r="V69" s="7" t="s">
        <v>1575</v>
      </c>
      <c r="X69" s="1" t="s">
        <v>1651</v>
      </c>
      <c r="Y69" s="1" t="s">
        <v>1650</v>
      </c>
      <c r="Z69" s="1" t="s">
        <v>517</v>
      </c>
      <c r="AA69" s="1" t="s">
        <v>1629</v>
      </c>
      <c r="AB69" s="1" t="s">
        <v>476</v>
      </c>
      <c r="AC69" s="1" t="s">
        <v>1634</v>
      </c>
      <c r="AD69" s="1" t="s">
        <v>517</v>
      </c>
      <c r="AE69" s="1" t="s">
        <v>619</v>
      </c>
    </row>
    <row r="70" spans="1:31" x14ac:dyDescent="0.35">
      <c r="A70" s="1" t="s">
        <v>251</v>
      </c>
      <c r="C70" s="1" t="s">
        <v>7</v>
      </c>
      <c r="E70" s="1" t="s">
        <v>197</v>
      </c>
      <c r="F70" s="1" t="s">
        <v>376</v>
      </c>
      <c r="G70" s="1">
        <v>0</v>
      </c>
      <c r="H70" s="1" t="s">
        <v>226</v>
      </c>
      <c r="I70" s="1" t="s">
        <v>376</v>
      </c>
      <c r="K70" s="8" t="s">
        <v>187</v>
      </c>
      <c r="L70" s="8" t="s">
        <v>491</v>
      </c>
      <c r="M70" s="8">
        <v>0</v>
      </c>
      <c r="N70" s="8"/>
      <c r="P70" s="1" t="s">
        <v>1635</v>
      </c>
      <c r="Q70" s="1" t="s">
        <v>1157</v>
      </c>
      <c r="R70" s="1" t="s">
        <v>1640</v>
      </c>
      <c r="S70" s="1" t="s">
        <v>517</v>
      </c>
      <c r="T70" s="9" t="s">
        <v>1835</v>
      </c>
      <c r="V70" s="7" t="s">
        <v>1575</v>
      </c>
      <c r="X70" s="1" t="s">
        <v>1651</v>
      </c>
      <c r="Y70" s="1" t="s">
        <v>1650</v>
      </c>
      <c r="Z70" s="1" t="s">
        <v>517</v>
      </c>
      <c r="AA70" s="1" t="s">
        <v>1630</v>
      </c>
      <c r="AB70" s="1" t="s">
        <v>476</v>
      </c>
      <c r="AC70" s="1" t="s">
        <v>1634</v>
      </c>
      <c r="AD70" s="1" t="s">
        <v>517</v>
      </c>
      <c r="AE70" s="1" t="s">
        <v>619</v>
      </c>
    </row>
    <row r="71" spans="1:31" x14ac:dyDescent="0.35">
      <c r="A71" s="1" t="s">
        <v>252</v>
      </c>
      <c r="C71" s="1" t="s">
        <v>8</v>
      </c>
      <c r="E71" s="1" t="s">
        <v>197</v>
      </c>
      <c r="F71" s="1" t="s">
        <v>355</v>
      </c>
      <c r="G71" s="1">
        <v>1</v>
      </c>
      <c r="H71" s="1" t="s">
        <v>290</v>
      </c>
      <c r="I71" s="1" t="s">
        <v>355</v>
      </c>
      <c r="K71" s="8" t="s">
        <v>187</v>
      </c>
      <c r="L71" s="8" t="s">
        <v>492</v>
      </c>
      <c r="M71" s="8">
        <v>0</v>
      </c>
      <c r="N71" s="8"/>
      <c r="P71" s="1" t="s">
        <v>1635</v>
      </c>
      <c r="Q71" s="1" t="s">
        <v>1158</v>
      </c>
      <c r="R71" s="1" t="s">
        <v>1641</v>
      </c>
      <c r="S71" s="1" t="s">
        <v>517</v>
      </c>
      <c r="T71" s="9" t="s">
        <v>1837</v>
      </c>
      <c r="V71" s="7" t="s">
        <v>1575</v>
      </c>
      <c r="X71" s="1" t="s">
        <v>1651</v>
      </c>
      <c r="Y71" s="1" t="s">
        <v>1650</v>
      </c>
      <c r="Z71" s="1" t="s">
        <v>517</v>
      </c>
      <c r="AA71" s="1" t="s">
        <v>1631</v>
      </c>
      <c r="AB71" s="1" t="s">
        <v>476</v>
      </c>
      <c r="AC71" s="1" t="s">
        <v>1634</v>
      </c>
      <c r="AD71" s="1" t="s">
        <v>517</v>
      </c>
      <c r="AE71" s="1" t="s">
        <v>619</v>
      </c>
    </row>
    <row r="72" spans="1:31" x14ac:dyDescent="0.35">
      <c r="A72" s="1" t="s">
        <v>253</v>
      </c>
      <c r="C72" s="1" t="s">
        <v>9</v>
      </c>
      <c r="E72" s="1" t="s">
        <v>197</v>
      </c>
      <c r="F72" s="1" t="s">
        <v>387</v>
      </c>
      <c r="G72" s="1">
        <v>0</v>
      </c>
      <c r="H72" s="1" t="s">
        <v>280</v>
      </c>
      <c r="I72" s="1" t="s">
        <v>387</v>
      </c>
      <c r="K72" s="8" t="s">
        <v>187</v>
      </c>
      <c r="L72" s="8" t="s">
        <v>493</v>
      </c>
      <c r="M72" s="8">
        <v>0</v>
      </c>
      <c r="N72" s="8"/>
      <c r="P72" s="1" t="s">
        <v>1635</v>
      </c>
      <c r="Q72" s="1" t="s">
        <v>1159</v>
      </c>
      <c r="R72" s="1" t="s">
        <v>1642</v>
      </c>
      <c r="S72" s="1" t="s">
        <v>517</v>
      </c>
      <c r="T72" s="9" t="s">
        <v>1836</v>
      </c>
      <c r="V72" s="7" t="s">
        <v>1575</v>
      </c>
      <c r="X72" s="1" t="s">
        <v>1651</v>
      </c>
      <c r="Y72" s="1" t="s">
        <v>1650</v>
      </c>
      <c r="Z72" s="1" t="s">
        <v>517</v>
      </c>
      <c r="AA72" s="1" t="s">
        <v>1632</v>
      </c>
      <c r="AB72" s="1" t="s">
        <v>476</v>
      </c>
      <c r="AC72" s="1" t="s">
        <v>476</v>
      </c>
      <c r="AD72" s="1" t="s">
        <v>517</v>
      </c>
      <c r="AE72" s="1" t="s">
        <v>619</v>
      </c>
    </row>
    <row r="73" spans="1:31" x14ac:dyDescent="0.35">
      <c r="A73" s="1" t="s">
        <v>182</v>
      </c>
      <c r="C73" s="1" t="s">
        <v>10</v>
      </c>
      <c r="E73" s="1" t="s">
        <v>197</v>
      </c>
      <c r="F73" s="1" t="s">
        <v>380</v>
      </c>
      <c r="G73" s="1">
        <v>0</v>
      </c>
      <c r="H73" s="1" t="s">
        <v>284</v>
      </c>
      <c r="I73" s="1" t="s">
        <v>380</v>
      </c>
      <c r="K73" s="8" t="s">
        <v>187</v>
      </c>
      <c r="L73" s="8" t="s">
        <v>494</v>
      </c>
      <c r="M73" s="8">
        <v>0</v>
      </c>
      <c r="N73" s="8"/>
      <c r="P73" s="1" t="s">
        <v>1656</v>
      </c>
      <c r="Q73" s="1" t="s">
        <v>439</v>
      </c>
      <c r="R73" s="1" t="s">
        <v>1657</v>
      </c>
      <c r="S73" s="1" t="s">
        <v>517</v>
      </c>
      <c r="T73" s="9" t="s">
        <v>1838</v>
      </c>
      <c r="V73" s="7" t="s">
        <v>1575</v>
      </c>
      <c r="X73" s="1" t="s">
        <v>1651</v>
      </c>
      <c r="Y73" s="1" t="s">
        <v>1650</v>
      </c>
      <c r="Z73" s="1" t="s">
        <v>517</v>
      </c>
      <c r="AA73" s="1" t="s">
        <v>1633</v>
      </c>
      <c r="AB73" s="1" t="s">
        <v>476</v>
      </c>
      <c r="AC73" s="1" t="s">
        <v>476</v>
      </c>
      <c r="AD73" s="1" t="s">
        <v>517</v>
      </c>
      <c r="AE73" s="1" t="s">
        <v>619</v>
      </c>
    </row>
    <row r="74" spans="1:31" x14ac:dyDescent="0.35">
      <c r="A74" s="1" t="s">
        <v>254</v>
      </c>
      <c r="C74" s="1" t="s">
        <v>11</v>
      </c>
      <c r="E74" s="1" t="s">
        <v>198</v>
      </c>
      <c r="F74" s="1" t="s">
        <v>385</v>
      </c>
      <c r="G74" s="1">
        <v>0</v>
      </c>
      <c r="H74" s="1" t="s">
        <v>222</v>
      </c>
      <c r="I74" s="1" t="s">
        <v>375</v>
      </c>
      <c r="K74" s="8" t="s">
        <v>187</v>
      </c>
      <c r="L74" s="8" t="s">
        <v>495</v>
      </c>
      <c r="M74" s="8">
        <v>0</v>
      </c>
      <c r="N74" s="8"/>
      <c r="P74" s="1" t="s">
        <v>1656</v>
      </c>
      <c r="Q74" s="1" t="s">
        <v>412</v>
      </c>
      <c r="R74" s="1" t="s">
        <v>1658</v>
      </c>
      <c r="S74" s="1" t="s">
        <v>517</v>
      </c>
      <c r="T74" s="9" t="s">
        <v>1839</v>
      </c>
      <c r="V74" s="7" t="s">
        <v>1575</v>
      </c>
      <c r="X74" s="1" t="s">
        <v>1653</v>
      </c>
      <c r="Y74" s="1" t="s">
        <v>1655</v>
      </c>
      <c r="Z74" s="1" t="s">
        <v>517</v>
      </c>
      <c r="AA74" s="1" t="s">
        <v>517</v>
      </c>
      <c r="AB74" s="1" t="s">
        <v>476</v>
      </c>
      <c r="AC74" s="1" t="s">
        <v>1654</v>
      </c>
      <c r="AD74" s="1" t="s">
        <v>517</v>
      </c>
      <c r="AE74" s="1" t="s">
        <v>619</v>
      </c>
    </row>
    <row r="75" spans="1:31" x14ac:dyDescent="0.35">
      <c r="A75" s="1" t="s">
        <v>255</v>
      </c>
      <c r="C75" s="1" t="s">
        <v>12</v>
      </c>
      <c r="E75" s="1" t="s">
        <v>198</v>
      </c>
      <c r="F75" s="1" t="s">
        <v>393</v>
      </c>
      <c r="G75" s="1">
        <v>0</v>
      </c>
      <c r="H75" s="1" t="s">
        <v>226</v>
      </c>
      <c r="I75" s="1" t="s">
        <v>375</v>
      </c>
      <c r="K75" s="8" t="s">
        <v>188</v>
      </c>
      <c r="L75" s="8" t="s">
        <v>697</v>
      </c>
      <c r="M75" s="8">
        <v>1</v>
      </c>
      <c r="N75" s="8" t="s">
        <v>476</v>
      </c>
      <c r="P75" s="1" t="s">
        <v>1656</v>
      </c>
      <c r="Q75" s="1" t="s">
        <v>435</v>
      </c>
      <c r="R75" s="1" t="s">
        <v>1659</v>
      </c>
      <c r="S75" s="1" t="s">
        <v>517</v>
      </c>
      <c r="T75" s="9" t="s">
        <v>1840</v>
      </c>
      <c r="V75" s="7" t="s">
        <v>1575</v>
      </c>
      <c r="X75" s="1" t="s">
        <v>1653</v>
      </c>
      <c r="Y75" s="1" t="s">
        <v>1655</v>
      </c>
      <c r="Z75" s="1" t="s">
        <v>517</v>
      </c>
      <c r="AA75" s="1" t="s">
        <v>567</v>
      </c>
      <c r="AB75" s="1" t="s">
        <v>476</v>
      </c>
      <c r="AC75" s="1" t="s">
        <v>1654</v>
      </c>
      <c r="AD75" s="1" t="s">
        <v>517</v>
      </c>
      <c r="AE75" s="1" t="s">
        <v>619</v>
      </c>
    </row>
    <row r="76" spans="1:31" x14ac:dyDescent="0.35">
      <c r="A76" s="1" t="s">
        <v>256</v>
      </c>
      <c r="C76" s="1" t="s">
        <v>13</v>
      </c>
      <c r="E76" s="1" t="s">
        <v>198</v>
      </c>
      <c r="F76" s="1" t="s">
        <v>394</v>
      </c>
      <c r="G76" s="1">
        <v>0</v>
      </c>
      <c r="H76" s="1" t="s">
        <v>226</v>
      </c>
      <c r="I76" s="1" t="s">
        <v>376</v>
      </c>
      <c r="K76" s="8" t="s">
        <v>188</v>
      </c>
      <c r="L76" s="8" t="s">
        <v>698</v>
      </c>
      <c r="M76" s="8">
        <v>1</v>
      </c>
      <c r="N76" s="8" t="s">
        <v>476</v>
      </c>
      <c r="P76" s="1" t="s">
        <v>1656</v>
      </c>
      <c r="Q76" s="1" t="s">
        <v>456</v>
      </c>
      <c r="R76" s="1" t="s">
        <v>1660</v>
      </c>
      <c r="S76" s="1" t="s">
        <v>517</v>
      </c>
      <c r="T76" s="9" t="s">
        <v>1843</v>
      </c>
      <c r="V76" s="7" t="s">
        <v>1575</v>
      </c>
      <c r="X76" s="1" t="s">
        <v>1653</v>
      </c>
      <c r="Y76" s="1" t="s">
        <v>1655</v>
      </c>
      <c r="Z76" s="1" t="s">
        <v>517</v>
      </c>
      <c r="AA76" s="1" t="s">
        <v>1629</v>
      </c>
      <c r="AB76" s="1" t="s">
        <v>476</v>
      </c>
      <c r="AC76" s="1" t="s">
        <v>1654</v>
      </c>
      <c r="AD76" s="1" t="s">
        <v>517</v>
      </c>
      <c r="AE76" s="1" t="s">
        <v>619</v>
      </c>
    </row>
    <row r="77" spans="1:31" x14ac:dyDescent="0.35">
      <c r="A77" s="1" t="s">
        <v>257</v>
      </c>
      <c r="C77" s="1" t="s">
        <v>14</v>
      </c>
      <c r="E77" s="1" t="s">
        <v>198</v>
      </c>
      <c r="F77" s="1" t="s">
        <v>361</v>
      </c>
      <c r="G77" s="1">
        <v>1</v>
      </c>
      <c r="K77" s="8" t="s">
        <v>188</v>
      </c>
      <c r="L77" s="8" t="s">
        <v>699</v>
      </c>
      <c r="M77" s="8">
        <v>1</v>
      </c>
      <c r="N77" s="8" t="s">
        <v>476</v>
      </c>
      <c r="P77" s="1" t="s">
        <v>1656</v>
      </c>
      <c r="Q77" s="1" t="s">
        <v>446</v>
      </c>
      <c r="R77" s="1" t="s">
        <v>1661</v>
      </c>
      <c r="S77" s="1" t="s">
        <v>517</v>
      </c>
      <c r="T77" s="9" t="s">
        <v>1844</v>
      </c>
      <c r="V77" s="7" t="s">
        <v>1575</v>
      </c>
      <c r="X77" s="1" t="s">
        <v>1653</v>
      </c>
      <c r="Y77" s="1" t="s">
        <v>1655</v>
      </c>
      <c r="Z77" s="1" t="s">
        <v>517</v>
      </c>
      <c r="AA77" s="1" t="s">
        <v>1630</v>
      </c>
      <c r="AB77" s="1" t="s">
        <v>476</v>
      </c>
      <c r="AC77" s="1" t="s">
        <v>1654</v>
      </c>
      <c r="AD77" s="1" t="s">
        <v>517</v>
      </c>
      <c r="AE77" s="1" t="s">
        <v>619</v>
      </c>
    </row>
    <row r="78" spans="1:31" x14ac:dyDescent="0.35">
      <c r="A78" s="1" t="s">
        <v>258</v>
      </c>
      <c r="C78" s="1" t="s">
        <v>15</v>
      </c>
      <c r="E78" s="1" t="s">
        <v>198</v>
      </c>
      <c r="F78" s="1" t="s">
        <v>360</v>
      </c>
      <c r="G78" s="1">
        <v>1</v>
      </c>
      <c r="K78" s="8" t="s">
        <v>188</v>
      </c>
      <c r="L78" s="8" t="s">
        <v>700</v>
      </c>
      <c r="M78" s="8">
        <v>1</v>
      </c>
      <c r="N78" s="8" t="s">
        <v>476</v>
      </c>
      <c r="P78" s="1" t="s">
        <v>1656</v>
      </c>
      <c r="Q78" s="1" t="s">
        <v>447</v>
      </c>
      <c r="R78" s="1" t="s">
        <v>1662</v>
      </c>
      <c r="S78" s="1" t="s">
        <v>517</v>
      </c>
      <c r="T78" s="9" t="s">
        <v>1845</v>
      </c>
      <c r="V78" s="7" t="s">
        <v>1575</v>
      </c>
      <c r="X78" s="1" t="s">
        <v>1653</v>
      </c>
      <c r="Y78" s="1" t="s">
        <v>1655</v>
      </c>
      <c r="Z78" s="1" t="s">
        <v>517</v>
      </c>
      <c r="AA78" s="1" t="s">
        <v>1631</v>
      </c>
      <c r="AB78" s="1" t="s">
        <v>476</v>
      </c>
      <c r="AC78" s="1" t="s">
        <v>1654</v>
      </c>
      <c r="AD78" s="1" t="s">
        <v>517</v>
      </c>
      <c r="AE78" s="1" t="s">
        <v>619</v>
      </c>
    </row>
    <row r="79" spans="1:31" x14ac:dyDescent="0.35">
      <c r="A79" s="1" t="s">
        <v>259</v>
      </c>
      <c r="C79" s="1" t="s">
        <v>16</v>
      </c>
      <c r="E79" s="1" t="s">
        <v>198</v>
      </c>
      <c r="F79" s="1" t="s">
        <v>386</v>
      </c>
      <c r="G79" s="1">
        <v>0</v>
      </c>
      <c r="H79" s="1" t="s">
        <v>218</v>
      </c>
      <c r="I79" s="1" t="s">
        <v>386</v>
      </c>
      <c r="K79" s="8" t="s">
        <v>188</v>
      </c>
      <c r="L79" s="8" t="s">
        <v>480</v>
      </c>
      <c r="M79" s="8">
        <v>0</v>
      </c>
      <c r="N79" s="8"/>
      <c r="P79" s="1" t="s">
        <v>1656</v>
      </c>
      <c r="Q79" s="1" t="s">
        <v>457</v>
      </c>
      <c r="R79" s="1" t="s">
        <v>1663</v>
      </c>
      <c r="S79" s="1" t="s">
        <v>517</v>
      </c>
      <c r="T79" s="9" t="s">
        <v>1841</v>
      </c>
      <c r="V79" s="7" t="s">
        <v>1575</v>
      </c>
      <c r="X79" s="1" t="s">
        <v>1653</v>
      </c>
      <c r="Y79" s="1" t="s">
        <v>1655</v>
      </c>
      <c r="Z79" s="1" t="s">
        <v>517</v>
      </c>
      <c r="AA79" s="1" t="s">
        <v>1632</v>
      </c>
      <c r="AB79" s="1" t="s">
        <v>476</v>
      </c>
      <c r="AC79" s="1" t="s">
        <v>476</v>
      </c>
      <c r="AD79" s="1" t="s">
        <v>517</v>
      </c>
      <c r="AE79" s="1" t="s">
        <v>619</v>
      </c>
    </row>
    <row r="80" spans="1:31" x14ac:dyDescent="0.35">
      <c r="A80" s="1" t="s">
        <v>260</v>
      </c>
      <c r="C80" s="1" t="s">
        <v>17</v>
      </c>
      <c r="E80" s="1" t="s">
        <v>198</v>
      </c>
      <c r="F80" s="1" t="s">
        <v>388</v>
      </c>
      <c r="G80" s="1">
        <v>0</v>
      </c>
      <c r="H80" s="1" t="s">
        <v>250</v>
      </c>
      <c r="I80" s="1" t="s">
        <v>388</v>
      </c>
      <c r="K80" s="8" t="s">
        <v>188</v>
      </c>
      <c r="L80" s="8" t="s">
        <v>481</v>
      </c>
      <c r="M80" s="8">
        <v>0</v>
      </c>
      <c r="N80" s="8"/>
      <c r="P80" s="1" t="s">
        <v>1664</v>
      </c>
      <c r="Q80" s="1" t="s">
        <v>412</v>
      </c>
      <c r="R80" s="1" t="s">
        <v>1503</v>
      </c>
      <c r="S80" s="8" t="s">
        <v>517</v>
      </c>
      <c r="T80" s="9" t="s">
        <v>1842</v>
      </c>
      <c r="V80" s="7" t="s">
        <v>1575</v>
      </c>
      <c r="X80" s="1" t="s">
        <v>1653</v>
      </c>
      <c r="Y80" s="1" t="s">
        <v>1655</v>
      </c>
      <c r="Z80" s="1" t="s">
        <v>517</v>
      </c>
      <c r="AA80" s="1" t="s">
        <v>1633</v>
      </c>
      <c r="AB80" s="1" t="s">
        <v>476</v>
      </c>
      <c r="AC80" s="1" t="s">
        <v>476</v>
      </c>
      <c r="AD80" s="1" t="s">
        <v>517</v>
      </c>
      <c r="AE80" s="1" t="s">
        <v>619</v>
      </c>
    </row>
    <row r="81" spans="1:30" x14ac:dyDescent="0.35">
      <c r="A81" s="1" t="s">
        <v>261</v>
      </c>
      <c r="C81" s="1" t="s">
        <v>299</v>
      </c>
      <c r="E81" s="1" t="s">
        <v>198</v>
      </c>
      <c r="F81" s="1" t="s">
        <v>359</v>
      </c>
      <c r="G81" s="1">
        <v>1</v>
      </c>
      <c r="H81" s="1" t="s">
        <v>291</v>
      </c>
      <c r="I81" s="1" t="s">
        <v>359</v>
      </c>
      <c r="K81" s="8" t="s">
        <v>188</v>
      </c>
      <c r="L81" s="8" t="s">
        <v>482</v>
      </c>
      <c r="M81" s="8">
        <v>0</v>
      </c>
      <c r="N81" s="8"/>
      <c r="P81" s="1" t="s">
        <v>1664</v>
      </c>
      <c r="Q81" s="1" t="s">
        <v>435</v>
      </c>
      <c r="R81" s="1" t="s">
        <v>1659</v>
      </c>
      <c r="S81" s="8" t="s">
        <v>517</v>
      </c>
      <c r="T81" s="9" t="s">
        <v>1846</v>
      </c>
      <c r="V81" s="7" t="s">
        <v>1575</v>
      </c>
    </row>
    <row r="82" spans="1:30" x14ac:dyDescent="0.35">
      <c r="A82" s="1" t="s">
        <v>262</v>
      </c>
      <c r="C82" s="1" t="s">
        <v>18</v>
      </c>
      <c r="E82" s="1" t="s">
        <v>198</v>
      </c>
      <c r="F82" s="1" t="s">
        <v>390</v>
      </c>
      <c r="G82" s="1">
        <v>0</v>
      </c>
      <c r="H82" s="1" t="s">
        <v>224</v>
      </c>
      <c r="I82" s="1" t="s">
        <v>390</v>
      </c>
      <c r="K82" s="8" t="s">
        <v>188</v>
      </c>
      <c r="L82" s="8" t="s">
        <v>483</v>
      </c>
      <c r="M82" s="8">
        <v>0</v>
      </c>
      <c r="N82" s="8"/>
      <c r="P82" s="1" t="s">
        <v>1664</v>
      </c>
      <c r="Q82" s="1" t="s">
        <v>447</v>
      </c>
      <c r="R82" s="1" t="s">
        <v>1662</v>
      </c>
      <c r="S82" s="8" t="s">
        <v>517</v>
      </c>
      <c r="T82" s="9" t="s">
        <v>1847</v>
      </c>
      <c r="V82" s="7" t="s">
        <v>1575</v>
      </c>
      <c r="W82" s="1" t="s">
        <v>1656</v>
      </c>
      <c r="X82" s="1" t="s">
        <v>1657</v>
      </c>
      <c r="Y82" s="1" t="s">
        <v>1658</v>
      </c>
      <c r="Z82" s="1" t="s">
        <v>1659</v>
      </c>
      <c r="AA82" s="1" t="s">
        <v>1660</v>
      </c>
      <c r="AB82" s="1" t="s">
        <v>1661</v>
      </c>
      <c r="AC82" s="1" t="s">
        <v>1662</v>
      </c>
      <c r="AD82" s="1" t="s">
        <v>1663</v>
      </c>
    </row>
    <row r="83" spans="1:30" x14ac:dyDescent="0.35">
      <c r="A83" s="1" t="s">
        <v>263</v>
      </c>
      <c r="C83" s="1" t="s">
        <v>19</v>
      </c>
      <c r="E83" s="1" t="s">
        <v>198</v>
      </c>
      <c r="F83" s="1" t="s">
        <v>375</v>
      </c>
      <c r="G83" s="1">
        <v>0</v>
      </c>
      <c r="H83" s="1" t="s">
        <v>226</v>
      </c>
      <c r="I83" s="1" t="s">
        <v>375</v>
      </c>
      <c r="K83" s="8" t="s">
        <v>188</v>
      </c>
      <c r="L83" s="8" t="s">
        <v>484</v>
      </c>
      <c r="M83" s="8">
        <v>0</v>
      </c>
      <c r="N83" s="8"/>
      <c r="P83" s="1" t="s">
        <v>1664</v>
      </c>
      <c r="Q83" s="1" t="s">
        <v>942</v>
      </c>
      <c r="R83" s="1" t="s">
        <v>1663</v>
      </c>
      <c r="S83" s="8" t="s">
        <v>517</v>
      </c>
      <c r="T83" s="9" t="s">
        <v>1848</v>
      </c>
      <c r="V83" s="7" t="s">
        <v>1575</v>
      </c>
      <c r="X83" s="1" t="s">
        <v>1576</v>
      </c>
      <c r="Y83" s="1" t="s">
        <v>1564</v>
      </c>
      <c r="Z83" s="1" t="s">
        <v>1519</v>
      </c>
      <c r="AA83" s="1" t="s">
        <v>1577</v>
      </c>
      <c r="AB83" s="1" t="s">
        <v>1567</v>
      </c>
      <c r="AC83" s="1" t="s">
        <v>1519</v>
      </c>
      <c r="AD83" s="1" t="s">
        <v>773</v>
      </c>
    </row>
    <row r="84" spans="1:30" x14ac:dyDescent="0.35">
      <c r="A84" s="1" t="s">
        <v>264</v>
      </c>
      <c r="C84" s="1" t="s">
        <v>20</v>
      </c>
      <c r="E84" s="1" t="s">
        <v>198</v>
      </c>
      <c r="F84" s="1" t="s">
        <v>389</v>
      </c>
      <c r="G84" s="1">
        <v>0</v>
      </c>
      <c r="H84" s="1" t="s">
        <v>224</v>
      </c>
      <c r="I84" s="1" t="s">
        <v>389</v>
      </c>
      <c r="K84" s="8" t="s">
        <v>188</v>
      </c>
      <c r="L84" s="8" t="s">
        <v>375</v>
      </c>
      <c r="M84" s="8">
        <v>1</v>
      </c>
      <c r="N84" s="8"/>
      <c r="P84" s="1" t="s">
        <v>1664</v>
      </c>
      <c r="Q84" s="1" t="s">
        <v>938</v>
      </c>
      <c r="R84" s="1" t="s">
        <v>1666</v>
      </c>
      <c r="S84" s="8" t="s">
        <v>476</v>
      </c>
      <c r="V84" s="7" t="s">
        <v>1575</v>
      </c>
    </row>
    <row r="85" spans="1:30" x14ac:dyDescent="0.35">
      <c r="A85" s="1" t="s">
        <v>265</v>
      </c>
      <c r="C85" s="1" t="s">
        <v>21</v>
      </c>
      <c r="E85" s="1" t="s">
        <v>198</v>
      </c>
      <c r="F85" s="1" t="s">
        <v>376</v>
      </c>
      <c r="G85" s="1">
        <v>0</v>
      </c>
      <c r="H85" s="1" t="s">
        <v>226</v>
      </c>
      <c r="I85" s="1" t="s">
        <v>376</v>
      </c>
      <c r="K85" s="8" t="s">
        <v>188</v>
      </c>
      <c r="L85" s="8" t="s">
        <v>376</v>
      </c>
      <c r="M85" s="8">
        <v>1</v>
      </c>
      <c r="N85" s="8"/>
      <c r="P85" s="1" t="s">
        <v>1664</v>
      </c>
      <c r="Q85" s="1" t="s">
        <v>941</v>
      </c>
      <c r="R85" s="1" t="s">
        <v>1665</v>
      </c>
      <c r="S85" s="8" t="s">
        <v>476</v>
      </c>
      <c r="V85" s="7" t="s">
        <v>1575</v>
      </c>
      <c r="W85" s="1" t="s">
        <v>1664</v>
      </c>
      <c r="X85" s="1" t="s">
        <v>1503</v>
      </c>
      <c r="Y85" s="1" t="s">
        <v>1659</v>
      </c>
      <c r="Z85" s="1" t="s">
        <v>1662</v>
      </c>
      <c r="AA85" s="1" t="s">
        <v>1663</v>
      </c>
    </row>
    <row r="86" spans="1:30" x14ac:dyDescent="0.35">
      <c r="A86" s="1" t="s">
        <v>266</v>
      </c>
      <c r="C86" s="1" t="s">
        <v>22</v>
      </c>
      <c r="E86" s="1" t="s">
        <v>198</v>
      </c>
      <c r="F86" s="1" t="s">
        <v>355</v>
      </c>
      <c r="G86" s="1">
        <v>1</v>
      </c>
      <c r="H86" s="1" t="s">
        <v>291</v>
      </c>
      <c r="I86" s="1" t="s">
        <v>355</v>
      </c>
      <c r="K86" s="8" t="s">
        <v>188</v>
      </c>
      <c r="L86" s="8" t="s">
        <v>372</v>
      </c>
      <c r="M86" s="8">
        <v>1</v>
      </c>
      <c r="N86" s="8"/>
      <c r="P86" s="1" t="s">
        <v>1673</v>
      </c>
      <c r="Q86" s="1" t="s">
        <v>372</v>
      </c>
      <c r="R86" s="1" t="s">
        <v>1670</v>
      </c>
      <c r="S86" s="1" t="s">
        <v>517</v>
      </c>
      <c r="T86" s="9" t="s">
        <v>1849</v>
      </c>
      <c r="V86" s="7" t="s">
        <v>1575</v>
      </c>
      <c r="X86" s="1" t="s">
        <v>1567</v>
      </c>
      <c r="Y86" s="1" t="s">
        <v>1519</v>
      </c>
      <c r="Z86" s="1" t="s">
        <v>1884</v>
      </c>
      <c r="AA86" s="1" t="s">
        <v>773</v>
      </c>
    </row>
    <row r="87" spans="1:30" x14ac:dyDescent="0.35">
      <c r="A87" s="1" t="s">
        <v>267</v>
      </c>
      <c r="C87" s="1" t="s">
        <v>23</v>
      </c>
      <c r="E87" s="1" t="s">
        <v>198</v>
      </c>
      <c r="F87" s="1" t="s">
        <v>387</v>
      </c>
      <c r="G87" s="1">
        <v>0</v>
      </c>
      <c r="H87" s="1" t="s">
        <v>280</v>
      </c>
      <c r="I87" s="1" t="s">
        <v>387</v>
      </c>
      <c r="K87" s="8" t="s">
        <v>188</v>
      </c>
      <c r="L87" s="8" t="s">
        <v>486</v>
      </c>
      <c r="M87" s="8">
        <v>0</v>
      </c>
      <c r="N87" s="8"/>
      <c r="P87" s="1" t="s">
        <v>1673</v>
      </c>
      <c r="Q87" s="1" t="s">
        <v>669</v>
      </c>
      <c r="R87" s="1" t="s">
        <v>1671</v>
      </c>
      <c r="S87" s="8" t="s">
        <v>476</v>
      </c>
      <c r="V87" s="7" t="s">
        <v>1575</v>
      </c>
      <c r="X87" s="1" t="s">
        <v>1567</v>
      </c>
      <c r="Y87" s="1" t="s">
        <v>1667</v>
      </c>
      <c r="Z87" s="1" t="s">
        <v>1884</v>
      </c>
      <c r="AA87" s="1" t="s">
        <v>773</v>
      </c>
    </row>
    <row r="88" spans="1:30" x14ac:dyDescent="0.35">
      <c r="A88" s="1" t="s">
        <v>268</v>
      </c>
      <c r="C88" s="1" t="s">
        <v>24</v>
      </c>
      <c r="E88" s="1" t="s">
        <v>198</v>
      </c>
      <c r="F88" s="1" t="s">
        <v>380</v>
      </c>
      <c r="G88" s="1">
        <v>0</v>
      </c>
      <c r="H88" s="1" t="s">
        <v>284</v>
      </c>
      <c r="I88" s="1" t="s">
        <v>380</v>
      </c>
      <c r="K88" s="8" t="s">
        <v>188</v>
      </c>
      <c r="L88" s="8" t="s">
        <v>487</v>
      </c>
      <c r="M88" s="8">
        <v>0</v>
      </c>
      <c r="N88" s="8"/>
      <c r="P88" s="1" t="s">
        <v>1673</v>
      </c>
      <c r="Q88" s="1" t="s">
        <v>396</v>
      </c>
      <c r="R88" s="1" t="s">
        <v>1652</v>
      </c>
      <c r="S88" s="8" t="s">
        <v>517</v>
      </c>
      <c r="T88" s="9" t="s">
        <v>1957</v>
      </c>
      <c r="V88" s="7" t="s">
        <v>1575</v>
      </c>
    </row>
    <row r="89" spans="1:30" x14ac:dyDescent="0.35">
      <c r="A89" s="1" t="s">
        <v>269</v>
      </c>
      <c r="C89" s="1" t="s">
        <v>25</v>
      </c>
      <c r="E89" s="1" t="s">
        <v>199</v>
      </c>
      <c r="F89" s="1" t="s">
        <v>375</v>
      </c>
      <c r="G89" s="1">
        <v>1</v>
      </c>
      <c r="H89" s="1" t="s">
        <v>226</v>
      </c>
      <c r="I89" s="1" t="s">
        <v>375</v>
      </c>
      <c r="K89" s="8" t="s">
        <v>188</v>
      </c>
      <c r="L89" s="8" t="s">
        <v>488</v>
      </c>
      <c r="M89" s="8">
        <v>0</v>
      </c>
      <c r="N89" s="8"/>
      <c r="P89" s="1" t="s">
        <v>1673</v>
      </c>
      <c r="Q89" s="1" t="s">
        <v>374</v>
      </c>
      <c r="R89" s="1" t="s">
        <v>1501</v>
      </c>
      <c r="S89" s="1" t="s">
        <v>517</v>
      </c>
      <c r="T89" s="9" t="s">
        <v>1955</v>
      </c>
      <c r="U89" s="13"/>
      <c r="V89" s="7" t="s">
        <v>1575</v>
      </c>
      <c r="W89" s="1" t="s">
        <v>1760</v>
      </c>
      <c r="X89" s="1" t="s">
        <v>1761</v>
      </c>
      <c r="Y89" s="1" t="s">
        <v>1762</v>
      </c>
      <c r="Z89" s="1" t="s">
        <v>1763</v>
      </c>
      <c r="AA89" s="1" t="s">
        <v>1764</v>
      </c>
    </row>
    <row r="90" spans="1:30" x14ac:dyDescent="0.35">
      <c r="A90" s="1" t="s">
        <v>270</v>
      </c>
      <c r="C90" s="1" t="s">
        <v>26</v>
      </c>
      <c r="E90" s="1" t="s">
        <v>199</v>
      </c>
      <c r="F90" s="1" t="s">
        <v>376</v>
      </c>
      <c r="G90" s="1">
        <v>1</v>
      </c>
      <c r="H90" s="1" t="s">
        <v>226</v>
      </c>
      <c r="I90" s="1" t="s">
        <v>376</v>
      </c>
      <c r="K90" s="8" t="s">
        <v>188</v>
      </c>
      <c r="L90" s="8" t="s">
        <v>489</v>
      </c>
      <c r="M90" s="8">
        <v>0</v>
      </c>
      <c r="N90" s="8"/>
      <c r="P90" s="1" t="s">
        <v>1673</v>
      </c>
      <c r="Q90" s="1" t="s">
        <v>375</v>
      </c>
      <c r="R90" s="1" t="s">
        <v>1773</v>
      </c>
      <c r="S90" s="8" t="s">
        <v>517</v>
      </c>
      <c r="T90" s="9" t="s">
        <v>1964</v>
      </c>
      <c r="V90" s="7" t="s">
        <v>1575</v>
      </c>
      <c r="X90" s="1" t="s">
        <v>1885</v>
      </c>
      <c r="Y90" s="1" t="s">
        <v>1886</v>
      </c>
      <c r="Z90" s="1" t="s">
        <v>1519</v>
      </c>
      <c r="AA90" s="1" t="s">
        <v>1884</v>
      </c>
    </row>
    <row r="91" spans="1:30" x14ac:dyDescent="0.35">
      <c r="A91" s="1" t="s">
        <v>271</v>
      </c>
      <c r="C91" s="1" t="s">
        <v>27</v>
      </c>
      <c r="E91" s="1" t="s">
        <v>199</v>
      </c>
      <c r="F91" s="1" t="s">
        <v>374</v>
      </c>
      <c r="G91" s="1">
        <v>1</v>
      </c>
      <c r="H91" s="1" t="s">
        <v>246</v>
      </c>
      <c r="I91" s="1" t="s">
        <v>374</v>
      </c>
      <c r="K91" s="8" t="s">
        <v>188</v>
      </c>
      <c r="L91" s="8" t="s">
        <v>490</v>
      </c>
      <c r="M91" s="8">
        <v>0</v>
      </c>
      <c r="N91" s="8"/>
      <c r="P91" s="1" t="s">
        <v>1673</v>
      </c>
      <c r="Q91" s="1" t="s">
        <v>376</v>
      </c>
      <c r="R91" s="1" t="s">
        <v>1500</v>
      </c>
      <c r="S91" s="8" t="s">
        <v>517</v>
      </c>
      <c r="T91" s="9" t="s">
        <v>1963</v>
      </c>
      <c r="V91" s="7" t="s">
        <v>1575</v>
      </c>
      <c r="X91" s="1" t="s">
        <v>1887</v>
      </c>
      <c r="Y91" s="1" t="s">
        <v>1888</v>
      </c>
      <c r="Z91" s="1" t="s">
        <v>1631</v>
      </c>
      <c r="AA91" s="1" t="s">
        <v>1667</v>
      </c>
    </row>
    <row r="92" spans="1:30" x14ac:dyDescent="0.35">
      <c r="A92" s="1" t="s">
        <v>272</v>
      </c>
      <c r="C92" s="1" t="s">
        <v>28</v>
      </c>
      <c r="E92" s="1" t="s">
        <v>183</v>
      </c>
      <c r="F92" s="1" t="s">
        <v>395</v>
      </c>
      <c r="G92" s="1">
        <v>1</v>
      </c>
      <c r="K92" s="8" t="s">
        <v>188</v>
      </c>
      <c r="L92" s="8" t="s">
        <v>491</v>
      </c>
      <c r="M92" s="8">
        <v>0</v>
      </c>
      <c r="N92" s="8"/>
      <c r="P92" s="1" t="s">
        <v>1673</v>
      </c>
      <c r="Q92" s="1" t="s">
        <v>684</v>
      </c>
      <c r="R92" s="1" t="s">
        <v>1672</v>
      </c>
      <c r="S92" s="8" t="s">
        <v>517</v>
      </c>
      <c r="T92" s="9" t="s">
        <v>1960</v>
      </c>
      <c r="V92" s="7" t="s">
        <v>1575</v>
      </c>
    </row>
    <row r="93" spans="1:30" x14ac:dyDescent="0.35">
      <c r="A93" s="1" t="s">
        <v>273</v>
      </c>
      <c r="C93" s="1" t="s">
        <v>29</v>
      </c>
      <c r="E93" s="1" t="s">
        <v>200</v>
      </c>
      <c r="F93" s="1" t="s">
        <v>396</v>
      </c>
      <c r="G93" s="1">
        <v>1</v>
      </c>
      <c r="K93" s="8" t="s">
        <v>188</v>
      </c>
      <c r="L93" s="8" t="s">
        <v>492</v>
      </c>
      <c r="M93" s="8">
        <v>0</v>
      </c>
      <c r="N93" s="8"/>
      <c r="P93" s="1" t="s">
        <v>1673</v>
      </c>
      <c r="Q93" s="1" t="s">
        <v>705</v>
      </c>
      <c r="R93" s="1" t="s">
        <v>1961</v>
      </c>
      <c r="S93" s="8" t="s">
        <v>476</v>
      </c>
      <c r="T93" s="9" t="s">
        <v>1958</v>
      </c>
      <c r="V93" s="7" t="s">
        <v>1575</v>
      </c>
      <c r="W93" s="1" t="s">
        <v>1683</v>
      </c>
      <c r="X93" s="1" t="s">
        <v>1684</v>
      </c>
      <c r="Y93" s="1" t="s">
        <v>1686</v>
      </c>
      <c r="Z93" s="1" t="s">
        <v>1687</v>
      </c>
      <c r="AA93" s="1" t="s">
        <v>1504</v>
      </c>
      <c r="AB93" s="1" t="s">
        <v>1503</v>
      </c>
      <c r="AC93" s="1" t="s">
        <v>1685</v>
      </c>
    </row>
    <row r="94" spans="1:30" x14ac:dyDescent="0.35">
      <c r="A94" s="1" t="s">
        <v>274</v>
      </c>
      <c r="C94" s="1" t="s">
        <v>30</v>
      </c>
      <c r="E94" s="1" t="s">
        <v>201</v>
      </c>
      <c r="F94" s="1" t="s">
        <v>396</v>
      </c>
      <c r="G94" s="1">
        <v>1</v>
      </c>
      <c r="H94" s="1" t="s">
        <v>200</v>
      </c>
      <c r="I94" s="1" t="s">
        <v>396</v>
      </c>
      <c r="K94" s="8" t="s">
        <v>188</v>
      </c>
      <c r="L94" s="8" t="s">
        <v>493</v>
      </c>
      <c r="M94" s="8">
        <v>0</v>
      </c>
      <c r="N94" s="8"/>
      <c r="P94" s="1" t="s">
        <v>1673</v>
      </c>
      <c r="Q94" s="1" t="s">
        <v>704</v>
      </c>
      <c r="R94" s="1" t="s">
        <v>1962</v>
      </c>
      <c r="S94" s="8" t="s">
        <v>476</v>
      </c>
      <c r="T94" s="9" t="s">
        <v>1959</v>
      </c>
      <c r="V94" s="7" t="s">
        <v>1575</v>
      </c>
      <c r="X94" s="1" t="s">
        <v>1889</v>
      </c>
      <c r="Y94" s="1" t="s">
        <v>1890</v>
      </c>
      <c r="Z94" s="1" t="s">
        <v>1891</v>
      </c>
      <c r="AA94" s="1" t="s">
        <v>1576</v>
      </c>
      <c r="AB94" s="1" t="s">
        <v>1564</v>
      </c>
      <c r="AC94" s="1" t="s">
        <v>1519</v>
      </c>
    </row>
    <row r="95" spans="1:30" x14ac:dyDescent="0.35">
      <c r="A95" s="1" t="s">
        <v>275</v>
      </c>
      <c r="C95" s="1" t="s">
        <v>31</v>
      </c>
      <c r="E95" s="1" t="s">
        <v>201</v>
      </c>
      <c r="F95" s="1" t="s">
        <v>397</v>
      </c>
      <c r="G95" s="1">
        <v>1</v>
      </c>
      <c r="H95" s="1" t="s">
        <v>202</v>
      </c>
      <c r="I95" s="1" t="s">
        <v>397</v>
      </c>
      <c r="K95" s="8" t="s">
        <v>188</v>
      </c>
      <c r="L95" s="8" t="s">
        <v>494</v>
      </c>
      <c r="M95" s="8">
        <v>0</v>
      </c>
      <c r="N95" s="8"/>
      <c r="P95" s="1" t="s">
        <v>1825</v>
      </c>
      <c r="Q95" s="1" t="s">
        <v>350</v>
      </c>
      <c r="R95" s="1" t="s">
        <v>1800</v>
      </c>
      <c r="S95" s="8" t="s">
        <v>517</v>
      </c>
      <c r="T95" s="9" t="s">
        <v>1850</v>
      </c>
      <c r="V95" s="7" t="s">
        <v>1575</v>
      </c>
      <c r="X95" s="1" t="s">
        <v>1889</v>
      </c>
      <c r="Y95" s="1" t="s">
        <v>1892</v>
      </c>
      <c r="Z95" s="1" t="s">
        <v>1893</v>
      </c>
      <c r="AA95" s="1" t="s">
        <v>1577</v>
      </c>
      <c r="AB95" s="1" t="s">
        <v>1567</v>
      </c>
      <c r="AC95" s="1" t="s">
        <v>1519</v>
      </c>
    </row>
    <row r="96" spans="1:30" x14ac:dyDescent="0.35">
      <c r="A96" s="1" t="s">
        <v>276</v>
      </c>
      <c r="C96" s="1" t="s">
        <v>32</v>
      </c>
      <c r="E96" s="1" t="s">
        <v>201</v>
      </c>
      <c r="F96" s="1" t="s">
        <v>398</v>
      </c>
      <c r="G96" s="1">
        <v>1</v>
      </c>
      <c r="K96" s="8" t="s">
        <v>188</v>
      </c>
      <c r="L96" s="8" t="s">
        <v>495</v>
      </c>
      <c r="M96" s="8">
        <v>0</v>
      </c>
      <c r="N96" s="8"/>
      <c r="P96" s="1" t="s">
        <v>1825</v>
      </c>
      <c r="Q96" s="1" t="s">
        <v>1048</v>
      </c>
      <c r="R96" s="1" t="s">
        <v>1680</v>
      </c>
      <c r="S96" s="8" t="s">
        <v>476</v>
      </c>
      <c r="V96" s="7" t="s">
        <v>1575</v>
      </c>
    </row>
    <row r="97" spans="1:33" x14ac:dyDescent="0.35">
      <c r="A97" s="1" t="s">
        <v>277</v>
      </c>
      <c r="C97" s="1" t="s">
        <v>33</v>
      </c>
      <c r="E97" s="1" t="s">
        <v>202</v>
      </c>
      <c r="F97" s="1" t="s">
        <v>397</v>
      </c>
      <c r="G97" s="1">
        <v>1</v>
      </c>
      <c r="K97" s="8" t="s">
        <v>189</v>
      </c>
      <c r="L97" s="8" t="s">
        <v>701</v>
      </c>
      <c r="M97" s="8">
        <v>0</v>
      </c>
      <c r="N97" s="8"/>
      <c r="P97" s="1" t="s">
        <v>1825</v>
      </c>
      <c r="Q97" s="1" t="s">
        <v>464</v>
      </c>
      <c r="R97" s="1" t="s">
        <v>295</v>
      </c>
      <c r="S97" s="8" t="s">
        <v>517</v>
      </c>
      <c r="T97" s="9" t="s">
        <v>1851</v>
      </c>
      <c r="V97" s="7" t="s">
        <v>1575</v>
      </c>
      <c r="W97" s="1" t="s">
        <v>1688</v>
      </c>
      <c r="X97" s="1" t="s">
        <v>1689</v>
      </c>
      <c r="Y97" s="1" t="s">
        <v>1692</v>
      </c>
      <c r="Z97" s="1" t="s">
        <v>1691</v>
      </c>
      <c r="AA97" s="1" t="s">
        <v>1501</v>
      </c>
      <c r="AB97" s="1" t="s">
        <v>1690</v>
      </c>
    </row>
    <row r="98" spans="1:33" x14ac:dyDescent="0.35">
      <c r="A98" s="1" t="s">
        <v>278</v>
      </c>
      <c r="C98" s="1" t="s">
        <v>34</v>
      </c>
      <c r="E98" s="1" t="s">
        <v>203</v>
      </c>
      <c r="F98" s="1" t="s">
        <v>397</v>
      </c>
      <c r="G98" s="1">
        <v>1</v>
      </c>
      <c r="H98" s="1" t="s">
        <v>202</v>
      </c>
      <c r="I98" s="1" t="s">
        <v>397</v>
      </c>
      <c r="K98" s="8" t="s">
        <v>189</v>
      </c>
      <c r="L98" s="8" t="s">
        <v>702</v>
      </c>
      <c r="M98" s="8">
        <v>1</v>
      </c>
      <c r="N98" s="8" t="s">
        <v>476</v>
      </c>
      <c r="P98" s="1" t="s">
        <v>1825</v>
      </c>
      <c r="Q98" s="1" t="s">
        <v>465</v>
      </c>
      <c r="R98" s="1" t="s">
        <v>1681</v>
      </c>
      <c r="S98" s="8" t="s">
        <v>517</v>
      </c>
      <c r="T98" s="9" t="s">
        <v>1852</v>
      </c>
      <c r="V98" s="7" t="s">
        <v>1575</v>
      </c>
      <c r="X98" s="1" t="s">
        <v>1896</v>
      </c>
      <c r="Y98" s="1" t="s">
        <v>1897</v>
      </c>
      <c r="Z98" s="1" t="s">
        <v>567</v>
      </c>
      <c r="AA98" s="1" t="s">
        <v>1544</v>
      </c>
      <c r="AB98" s="1" t="s">
        <v>517</v>
      </c>
    </row>
    <row r="99" spans="1:33" x14ac:dyDescent="0.35">
      <c r="A99" s="1" t="s">
        <v>279</v>
      </c>
      <c r="C99" s="1" t="s">
        <v>35</v>
      </c>
      <c r="E99" s="1" t="s">
        <v>203</v>
      </c>
      <c r="F99" s="1" t="s">
        <v>399</v>
      </c>
      <c r="G99" s="1">
        <v>1</v>
      </c>
      <c r="K99" s="8" t="s">
        <v>189</v>
      </c>
      <c r="L99" s="8" t="s">
        <v>703</v>
      </c>
      <c r="M99" s="8">
        <v>1</v>
      </c>
      <c r="N99" s="8" t="s">
        <v>476</v>
      </c>
      <c r="P99" s="1" t="s">
        <v>1825</v>
      </c>
      <c r="Q99" s="1" t="s">
        <v>1051</v>
      </c>
      <c r="R99" s="1" t="s">
        <v>1508</v>
      </c>
      <c r="S99" s="8" t="s">
        <v>517</v>
      </c>
      <c r="V99" s="7" t="s">
        <v>1575</v>
      </c>
      <c r="X99" s="1" t="s">
        <v>1896</v>
      </c>
      <c r="Y99" s="1" t="s">
        <v>1897</v>
      </c>
      <c r="Z99" s="1" t="s">
        <v>567</v>
      </c>
      <c r="AA99" s="1" t="s">
        <v>1546</v>
      </c>
      <c r="AB99" s="1" t="s">
        <v>517</v>
      </c>
    </row>
    <row r="100" spans="1:33" x14ac:dyDescent="0.35">
      <c r="A100" s="1" t="s">
        <v>280</v>
      </c>
      <c r="C100" s="1" t="s">
        <v>36</v>
      </c>
      <c r="E100" s="1" t="s">
        <v>203</v>
      </c>
      <c r="F100" s="1" t="s">
        <v>380</v>
      </c>
      <c r="G100" s="1">
        <v>0</v>
      </c>
      <c r="H100" s="1" t="s">
        <v>284</v>
      </c>
      <c r="I100" s="1" t="s">
        <v>380</v>
      </c>
      <c r="K100" s="8" t="s">
        <v>189</v>
      </c>
      <c r="L100" s="8" t="s">
        <v>480</v>
      </c>
      <c r="M100" s="8">
        <v>0</v>
      </c>
      <c r="N100" s="8"/>
      <c r="P100" s="1" t="s">
        <v>1683</v>
      </c>
      <c r="Q100" s="1" t="s">
        <v>349</v>
      </c>
      <c r="R100" s="1" t="s">
        <v>1684</v>
      </c>
      <c r="S100" s="1" t="s">
        <v>517</v>
      </c>
      <c r="V100" s="7" t="s">
        <v>1575</v>
      </c>
    </row>
    <row r="101" spans="1:33" x14ac:dyDescent="0.35">
      <c r="A101" s="1" t="s">
        <v>281</v>
      </c>
      <c r="C101" s="1" t="s">
        <v>37</v>
      </c>
      <c r="E101" s="1" t="s">
        <v>204</v>
      </c>
      <c r="F101" s="1" t="s">
        <v>381</v>
      </c>
      <c r="G101" s="1">
        <v>1</v>
      </c>
      <c r="K101" s="8" t="s">
        <v>189</v>
      </c>
      <c r="L101" s="8" t="s">
        <v>481</v>
      </c>
      <c r="M101" s="8">
        <v>0</v>
      </c>
      <c r="N101" s="8"/>
      <c r="P101" s="1" t="s">
        <v>1683</v>
      </c>
      <c r="Q101" s="1" t="s">
        <v>352</v>
      </c>
      <c r="R101" s="1" t="s">
        <v>1686</v>
      </c>
      <c r="S101" s="1" t="s">
        <v>517</v>
      </c>
      <c r="V101" s="7" t="s">
        <v>1575</v>
      </c>
      <c r="W101" s="1" t="s">
        <v>1673</v>
      </c>
      <c r="X101" s="1" t="s">
        <v>1670</v>
      </c>
      <c r="Y101" s="1" t="s">
        <v>1671</v>
      </c>
      <c r="Z101" s="1" t="s">
        <v>1652</v>
      </c>
      <c r="AA101" s="1" t="s">
        <v>1501</v>
      </c>
      <c r="AB101" s="1" t="s">
        <v>1773</v>
      </c>
      <c r="AC101" s="1" t="s">
        <v>1500</v>
      </c>
      <c r="AD101" s="1" t="s">
        <v>1672</v>
      </c>
      <c r="AE101" s="1" t="s">
        <v>1961</v>
      </c>
      <c r="AF101" s="1" t="s">
        <v>1962</v>
      </c>
    </row>
    <row r="102" spans="1:33" x14ac:dyDescent="0.35">
      <c r="A102" s="1" t="s">
        <v>282</v>
      </c>
      <c r="C102" s="1" t="s">
        <v>38</v>
      </c>
      <c r="E102" s="1" t="s">
        <v>205</v>
      </c>
      <c r="F102" s="1" t="s">
        <v>400</v>
      </c>
      <c r="G102" s="1">
        <v>1</v>
      </c>
      <c r="K102" s="8" t="s">
        <v>189</v>
      </c>
      <c r="L102" s="8" t="s">
        <v>482</v>
      </c>
      <c r="M102" s="8">
        <v>0</v>
      </c>
      <c r="N102" s="8"/>
      <c r="P102" s="1" t="s">
        <v>1683</v>
      </c>
      <c r="Q102" s="1" t="s">
        <v>637</v>
      </c>
      <c r="R102" s="1" t="s">
        <v>1687</v>
      </c>
      <c r="S102" s="1" t="s">
        <v>476</v>
      </c>
      <c r="V102" s="7" t="s">
        <v>1575</v>
      </c>
      <c r="X102" s="1" t="s">
        <v>1674</v>
      </c>
      <c r="Y102" s="1" t="s">
        <v>1675</v>
      </c>
      <c r="Z102" s="1" t="s">
        <v>1651</v>
      </c>
      <c r="AA102" s="1" t="s">
        <v>1544</v>
      </c>
      <c r="AB102" s="1" t="s">
        <v>1488</v>
      </c>
      <c r="AC102" s="1" t="s">
        <v>1530</v>
      </c>
      <c r="AD102" s="1" t="s">
        <v>476</v>
      </c>
      <c r="AF102" s="1">
        <v>1</v>
      </c>
    </row>
    <row r="103" spans="1:33" x14ac:dyDescent="0.35">
      <c r="A103" s="1" t="s">
        <v>283</v>
      </c>
      <c r="C103" s="1" t="s">
        <v>39</v>
      </c>
      <c r="E103" s="1" t="s">
        <v>205</v>
      </c>
      <c r="F103" s="1" t="s">
        <v>401</v>
      </c>
      <c r="G103" s="1">
        <v>1</v>
      </c>
      <c r="K103" s="8" t="s">
        <v>189</v>
      </c>
      <c r="L103" s="8" t="s">
        <v>483</v>
      </c>
      <c r="M103" s="8">
        <v>0</v>
      </c>
      <c r="N103" s="8"/>
      <c r="P103" s="1" t="s">
        <v>1683</v>
      </c>
      <c r="Q103" s="1" t="s">
        <v>439</v>
      </c>
      <c r="R103" s="1" t="s">
        <v>1504</v>
      </c>
      <c r="S103" s="1" t="s">
        <v>517</v>
      </c>
      <c r="V103" s="7" t="s">
        <v>1575</v>
      </c>
      <c r="X103" s="1" t="s">
        <v>1674</v>
      </c>
      <c r="Y103" s="1" t="s">
        <v>1675</v>
      </c>
      <c r="Z103" s="1" t="s">
        <v>1651</v>
      </c>
      <c r="AA103" s="1" t="s">
        <v>1544</v>
      </c>
      <c r="AB103" s="1" t="s">
        <v>1488</v>
      </c>
      <c r="AC103" s="1" t="s">
        <v>1532</v>
      </c>
      <c r="AD103" s="1" t="s">
        <v>476</v>
      </c>
      <c r="AF103" s="1">
        <v>1</v>
      </c>
    </row>
    <row r="104" spans="1:33" x14ac:dyDescent="0.35">
      <c r="A104" s="1" t="s">
        <v>284</v>
      </c>
      <c r="C104" s="1" t="s">
        <v>40</v>
      </c>
      <c r="E104" s="1" t="s">
        <v>205</v>
      </c>
      <c r="F104" s="1" t="s">
        <v>402</v>
      </c>
      <c r="G104" s="1">
        <v>1</v>
      </c>
      <c r="K104" s="8" t="s">
        <v>189</v>
      </c>
      <c r="L104" s="8" t="s">
        <v>484</v>
      </c>
      <c r="M104" s="8">
        <v>0</v>
      </c>
      <c r="N104" s="8"/>
      <c r="P104" s="1" t="s">
        <v>1683</v>
      </c>
      <c r="Q104" s="1" t="s">
        <v>412</v>
      </c>
      <c r="R104" s="1" t="s">
        <v>1503</v>
      </c>
      <c r="S104" s="1" t="s">
        <v>517</v>
      </c>
      <c r="V104" s="7" t="s">
        <v>1575</v>
      </c>
      <c r="X104" s="1" t="s">
        <v>1674</v>
      </c>
      <c r="Y104" s="1" t="s">
        <v>1675</v>
      </c>
      <c r="Z104" s="1" t="s">
        <v>1651</v>
      </c>
      <c r="AA104" s="1" t="s">
        <v>1545</v>
      </c>
      <c r="AB104" s="1" t="s">
        <v>1489</v>
      </c>
      <c r="AC104" s="1" t="s">
        <v>1538</v>
      </c>
      <c r="AD104" s="1" t="s">
        <v>476</v>
      </c>
      <c r="AF104" s="1">
        <v>1</v>
      </c>
    </row>
    <row r="105" spans="1:33" x14ac:dyDescent="0.35">
      <c r="A105" s="1" t="s">
        <v>285</v>
      </c>
      <c r="C105" s="1" t="s">
        <v>41</v>
      </c>
      <c r="E105" s="1" t="s">
        <v>205</v>
      </c>
      <c r="F105" s="1" t="s">
        <v>375</v>
      </c>
      <c r="G105" s="1">
        <v>1</v>
      </c>
      <c r="H105" s="1" t="s">
        <v>226</v>
      </c>
      <c r="I105" s="1" t="s">
        <v>375</v>
      </c>
      <c r="K105" s="8" t="s">
        <v>189</v>
      </c>
      <c r="L105" s="8" t="s">
        <v>375</v>
      </c>
      <c r="M105" s="8">
        <v>1</v>
      </c>
      <c r="N105" s="8"/>
      <c r="P105" s="1" t="s">
        <v>1683</v>
      </c>
      <c r="Q105" s="1" t="s">
        <v>435</v>
      </c>
      <c r="R105" s="1" t="s">
        <v>1685</v>
      </c>
      <c r="S105" s="8" t="s">
        <v>517</v>
      </c>
      <c r="V105" s="7" t="s">
        <v>1575</v>
      </c>
      <c r="X105" s="1" t="s">
        <v>1674</v>
      </c>
      <c r="Y105" s="1" t="s">
        <v>1675</v>
      </c>
      <c r="Z105" s="1" t="s">
        <v>1651</v>
      </c>
      <c r="AA105" s="1" t="s">
        <v>1546</v>
      </c>
      <c r="AB105" s="1" t="s">
        <v>1488</v>
      </c>
      <c r="AC105" s="1" t="s">
        <v>1530</v>
      </c>
      <c r="AD105" s="1" t="s">
        <v>476</v>
      </c>
      <c r="AF105" s="1">
        <v>1</v>
      </c>
    </row>
    <row r="106" spans="1:33" x14ac:dyDescent="0.35">
      <c r="A106" s="1" t="s">
        <v>286</v>
      </c>
      <c r="C106" s="1" t="s">
        <v>42</v>
      </c>
      <c r="E106" s="1" t="s">
        <v>205</v>
      </c>
      <c r="F106" s="1" t="s">
        <v>376</v>
      </c>
      <c r="G106" s="1">
        <v>1</v>
      </c>
      <c r="H106" s="1" t="s">
        <v>226</v>
      </c>
      <c r="I106" s="1" t="s">
        <v>376</v>
      </c>
      <c r="K106" s="8" t="s">
        <v>189</v>
      </c>
      <c r="L106" s="8" t="s">
        <v>376</v>
      </c>
      <c r="M106" s="8">
        <v>1</v>
      </c>
      <c r="N106" s="8"/>
      <c r="P106" s="1" t="s">
        <v>1688</v>
      </c>
      <c r="Q106" s="1" t="s">
        <v>369</v>
      </c>
      <c r="R106" s="1" t="s">
        <v>1689</v>
      </c>
      <c r="S106" s="1" t="s">
        <v>517</v>
      </c>
      <c r="T106" s="9" t="s">
        <v>1853</v>
      </c>
      <c r="V106" s="7" t="s">
        <v>1575</v>
      </c>
    </row>
    <row r="107" spans="1:33" x14ac:dyDescent="0.35">
      <c r="A107" s="1" t="s">
        <v>287</v>
      </c>
      <c r="C107" s="1" t="s">
        <v>43</v>
      </c>
      <c r="E107" s="1" t="s">
        <v>206</v>
      </c>
      <c r="F107" s="1" t="s">
        <v>403</v>
      </c>
      <c r="G107" s="1">
        <v>1</v>
      </c>
      <c r="K107" s="8" t="s">
        <v>189</v>
      </c>
      <c r="L107" s="8" t="s">
        <v>372</v>
      </c>
      <c r="M107" s="8">
        <v>1</v>
      </c>
      <c r="N107" s="8"/>
      <c r="P107" s="1" t="s">
        <v>1688</v>
      </c>
      <c r="Q107" s="1" t="s">
        <v>654</v>
      </c>
      <c r="R107" s="1" t="s">
        <v>1692</v>
      </c>
      <c r="S107" s="8" t="s">
        <v>476</v>
      </c>
      <c r="V107" s="7" t="s">
        <v>1575</v>
      </c>
      <c r="W107" s="1" t="s">
        <v>1693</v>
      </c>
      <c r="X107" s="1" t="s">
        <v>1695</v>
      </c>
      <c r="Y107" s="1" t="s">
        <v>1696</v>
      </c>
      <c r="Z107" s="1" t="s">
        <v>1694</v>
      </c>
      <c r="AA107" s="1" t="s">
        <v>1502</v>
      </c>
      <c r="AB107" s="1" t="s">
        <v>1697</v>
      </c>
      <c r="AC107" s="1" t="s">
        <v>1698</v>
      </c>
      <c r="AD107" s="1" t="s">
        <v>1800</v>
      </c>
      <c r="AE107" s="1" t="s">
        <v>1803</v>
      </c>
      <c r="AF107" s="1" t="s">
        <v>1503</v>
      </c>
      <c r="AG107" s="1" t="s">
        <v>1685</v>
      </c>
    </row>
    <row r="108" spans="1:33" x14ac:dyDescent="0.35">
      <c r="A108" s="1" t="s">
        <v>288</v>
      </c>
      <c r="C108" s="1" t="s">
        <v>44</v>
      </c>
      <c r="E108" s="1" t="s">
        <v>206</v>
      </c>
      <c r="F108" s="1" t="s">
        <v>404</v>
      </c>
      <c r="G108" s="1">
        <v>1</v>
      </c>
      <c r="K108" s="8" t="s">
        <v>189</v>
      </c>
      <c r="L108" s="8" t="s">
        <v>486</v>
      </c>
      <c r="M108" s="8">
        <v>0</v>
      </c>
      <c r="N108" s="8"/>
      <c r="P108" s="1" t="s">
        <v>1688</v>
      </c>
      <c r="Q108" s="1" t="s">
        <v>659</v>
      </c>
      <c r="R108" s="1" t="s">
        <v>1691</v>
      </c>
      <c r="S108" s="1" t="s">
        <v>517</v>
      </c>
      <c r="T108" s="9" t="s">
        <v>1856</v>
      </c>
      <c r="V108" s="7" t="s">
        <v>1575</v>
      </c>
      <c r="X108" s="1" t="s">
        <v>1901</v>
      </c>
      <c r="Y108" s="1" t="s">
        <v>1902</v>
      </c>
      <c r="Z108" s="1" t="s">
        <v>1756</v>
      </c>
      <c r="AA108" s="1" t="s">
        <v>539</v>
      </c>
      <c r="AB108" s="1" t="s">
        <v>1895</v>
      </c>
      <c r="AC108" s="1" t="s">
        <v>1894</v>
      </c>
      <c r="AD108" s="1" t="s">
        <v>1552</v>
      </c>
      <c r="AE108" s="1" t="s">
        <v>1570</v>
      </c>
      <c r="AF108" s="8" t="s">
        <v>1572</v>
      </c>
      <c r="AG108" s="8">
        <v>10</v>
      </c>
    </row>
    <row r="109" spans="1:33" x14ac:dyDescent="0.35">
      <c r="A109" s="1" t="s">
        <v>1998</v>
      </c>
      <c r="C109" s="1" t="s">
        <v>45</v>
      </c>
      <c r="E109" s="1" t="s">
        <v>206</v>
      </c>
      <c r="F109" s="1" t="s">
        <v>375</v>
      </c>
      <c r="G109" s="1">
        <v>1</v>
      </c>
      <c r="H109" s="1" t="s">
        <v>226</v>
      </c>
      <c r="I109" s="1" t="s">
        <v>375</v>
      </c>
      <c r="K109" s="8" t="s">
        <v>189</v>
      </c>
      <c r="L109" s="8" t="s">
        <v>487</v>
      </c>
      <c r="M109" s="8">
        <v>0</v>
      </c>
      <c r="N109" s="8"/>
      <c r="P109" s="1" t="s">
        <v>1688</v>
      </c>
      <c r="Q109" s="1" t="s">
        <v>374</v>
      </c>
      <c r="R109" s="1" t="s">
        <v>1501</v>
      </c>
      <c r="S109" s="1" t="s">
        <v>517</v>
      </c>
      <c r="T109" s="9" t="s">
        <v>1854</v>
      </c>
      <c r="V109" s="7" t="s">
        <v>1575</v>
      </c>
      <c r="X109" s="1" t="s">
        <v>1901</v>
      </c>
      <c r="Y109" s="1" t="s">
        <v>1902</v>
      </c>
      <c r="Z109" s="1" t="s">
        <v>1756</v>
      </c>
      <c r="AA109" s="1" t="s">
        <v>539</v>
      </c>
      <c r="AB109" s="1" t="s">
        <v>1895</v>
      </c>
      <c r="AC109" s="1" t="s">
        <v>1894</v>
      </c>
      <c r="AD109" s="1" t="s">
        <v>1551</v>
      </c>
      <c r="AE109" s="1" t="s">
        <v>1571</v>
      </c>
      <c r="AF109" s="8" t="s">
        <v>1573</v>
      </c>
      <c r="AG109" s="8">
        <v>10</v>
      </c>
    </row>
    <row r="110" spans="1:33" x14ac:dyDescent="0.35">
      <c r="A110" s="1" t="s">
        <v>1999</v>
      </c>
      <c r="C110" s="1" t="s">
        <v>46</v>
      </c>
      <c r="E110" s="1" t="s">
        <v>206</v>
      </c>
      <c r="F110" s="1" t="s">
        <v>376</v>
      </c>
      <c r="G110" s="1">
        <v>1</v>
      </c>
      <c r="H110" s="1" t="s">
        <v>226</v>
      </c>
      <c r="I110" s="1" t="s">
        <v>376</v>
      </c>
      <c r="K110" s="8" t="s">
        <v>189</v>
      </c>
      <c r="L110" s="8" t="s">
        <v>488</v>
      </c>
      <c r="M110" s="8">
        <v>0</v>
      </c>
      <c r="N110" s="8"/>
      <c r="P110" s="1" t="s">
        <v>1688</v>
      </c>
      <c r="Q110" s="1" t="s">
        <v>889</v>
      </c>
      <c r="R110" s="1" t="s">
        <v>1690</v>
      </c>
      <c r="S110" s="1" t="s">
        <v>517</v>
      </c>
      <c r="T110" s="9" t="s">
        <v>1855</v>
      </c>
      <c r="V110" s="7" t="s">
        <v>1575</v>
      </c>
      <c r="X110" s="1" t="s">
        <v>1901</v>
      </c>
      <c r="Y110" s="1" t="s">
        <v>1902</v>
      </c>
      <c r="Z110" s="1" t="s">
        <v>1756</v>
      </c>
      <c r="AA110" s="1" t="s">
        <v>539</v>
      </c>
      <c r="AB110" s="1" t="s">
        <v>1898</v>
      </c>
      <c r="AC110" s="1" t="s">
        <v>1899</v>
      </c>
      <c r="AD110" s="1" t="s">
        <v>1551</v>
      </c>
      <c r="AE110" s="1" t="s">
        <v>1571</v>
      </c>
      <c r="AF110" s="8" t="s">
        <v>1573</v>
      </c>
      <c r="AG110" s="8">
        <v>20</v>
      </c>
    </row>
    <row r="111" spans="1:33" x14ac:dyDescent="0.35">
      <c r="A111" s="1" t="s">
        <v>2000</v>
      </c>
      <c r="C111" s="1" t="s">
        <v>47</v>
      </c>
      <c r="E111" s="1" t="s">
        <v>207</v>
      </c>
      <c r="F111" s="1" t="s">
        <v>405</v>
      </c>
      <c r="G111" s="1">
        <v>1</v>
      </c>
      <c r="K111" s="8" t="s">
        <v>189</v>
      </c>
      <c r="L111" s="8" t="s">
        <v>489</v>
      </c>
      <c r="M111" s="8">
        <v>0</v>
      </c>
      <c r="N111" s="8"/>
      <c r="P111" s="18" t="s">
        <v>1693</v>
      </c>
      <c r="Q111" s="18" t="s">
        <v>350</v>
      </c>
      <c r="R111" s="1" t="s">
        <v>1800</v>
      </c>
      <c r="S111" s="1" t="s">
        <v>517</v>
      </c>
      <c r="T111" s="9" t="s">
        <v>1857</v>
      </c>
      <c r="V111" s="7" t="s">
        <v>1575</v>
      </c>
    </row>
    <row r="112" spans="1:33" x14ac:dyDescent="0.35">
      <c r="A112" s="1" t="s">
        <v>2001</v>
      </c>
      <c r="C112" s="1" t="s">
        <v>48</v>
      </c>
      <c r="E112" s="1" t="s">
        <v>208</v>
      </c>
      <c r="F112" s="1" t="s">
        <v>393</v>
      </c>
      <c r="G112" s="1">
        <v>1</v>
      </c>
      <c r="H112" s="1" t="s">
        <v>226</v>
      </c>
      <c r="I112" s="1" t="s">
        <v>375</v>
      </c>
      <c r="K112" s="8" t="s">
        <v>189</v>
      </c>
      <c r="L112" s="8" t="s">
        <v>490</v>
      </c>
      <c r="M112" s="8">
        <v>0</v>
      </c>
      <c r="N112" s="8"/>
      <c r="P112" s="1" t="s">
        <v>1693</v>
      </c>
      <c r="Q112" s="1" t="s">
        <v>432</v>
      </c>
      <c r="R112" s="1" t="s">
        <v>1803</v>
      </c>
      <c r="S112" s="1" t="s">
        <v>517</v>
      </c>
      <c r="T112" s="9" t="s">
        <v>1858</v>
      </c>
      <c r="V112" s="7" t="s">
        <v>1575</v>
      </c>
      <c r="W112" s="1" t="s">
        <v>1825</v>
      </c>
      <c r="X112" s="1" t="s">
        <v>1800</v>
      </c>
      <c r="Y112" s="1" t="s">
        <v>1680</v>
      </c>
      <c r="Z112" s="1" t="s">
        <v>295</v>
      </c>
      <c r="AA112" s="1" t="s">
        <v>1681</v>
      </c>
      <c r="AB112" s="1" t="s">
        <v>1508</v>
      </c>
    </row>
    <row r="113" spans="1:36" x14ac:dyDescent="0.35">
      <c r="A113" s="1" t="s">
        <v>2002</v>
      </c>
      <c r="C113" s="1" t="s">
        <v>49</v>
      </c>
      <c r="E113" s="1" t="s">
        <v>208</v>
      </c>
      <c r="F113" s="1" t="s">
        <v>394</v>
      </c>
      <c r="G113" s="1">
        <v>1</v>
      </c>
      <c r="H113" s="1" t="s">
        <v>226</v>
      </c>
      <c r="I113" s="1" t="s">
        <v>376</v>
      </c>
      <c r="K113" s="8" t="s">
        <v>189</v>
      </c>
      <c r="L113" s="8" t="s">
        <v>491</v>
      </c>
      <c r="M113" s="8">
        <v>0</v>
      </c>
      <c r="N113" s="8"/>
      <c r="P113" s="1" t="s">
        <v>1693</v>
      </c>
      <c r="Q113" s="1" t="s">
        <v>412</v>
      </c>
      <c r="R113" s="1" t="s">
        <v>1503</v>
      </c>
      <c r="S113" s="1" t="s">
        <v>517</v>
      </c>
      <c r="T113" s="9" t="s">
        <v>1859</v>
      </c>
      <c r="V113" s="7" t="s">
        <v>1575</v>
      </c>
      <c r="X113" s="1" t="s">
        <v>1566</v>
      </c>
      <c r="Y113" s="1" t="s">
        <v>1903</v>
      </c>
      <c r="Z113" s="1" t="str">
        <f ca="1">Date_To_Ortems_Format(TODAY())</f>
        <v>09/08/2020 00:00</v>
      </c>
      <c r="AA113" s="1" t="s">
        <v>1900</v>
      </c>
      <c r="AB113" s="1" t="s">
        <v>1884</v>
      </c>
    </row>
    <row r="114" spans="1:36" x14ac:dyDescent="0.35">
      <c r="A114" s="1" t="s">
        <v>2003</v>
      </c>
      <c r="C114" s="1" t="s">
        <v>50</v>
      </c>
      <c r="E114" s="1" t="s">
        <v>208</v>
      </c>
      <c r="F114" s="1" t="s">
        <v>375</v>
      </c>
      <c r="G114" s="1">
        <v>1</v>
      </c>
      <c r="H114" s="1" t="s">
        <v>226</v>
      </c>
      <c r="I114" s="1" t="s">
        <v>375</v>
      </c>
      <c r="K114" s="8" t="s">
        <v>189</v>
      </c>
      <c r="L114" s="8" t="s">
        <v>492</v>
      </c>
      <c r="M114" s="8">
        <v>0</v>
      </c>
      <c r="N114" s="8"/>
      <c r="P114" s="1" t="s">
        <v>1693</v>
      </c>
      <c r="Q114" s="1" t="s">
        <v>435</v>
      </c>
      <c r="R114" s="1" t="s">
        <v>1685</v>
      </c>
      <c r="S114" s="1" t="s">
        <v>517</v>
      </c>
      <c r="T114" s="9" t="s">
        <v>1860</v>
      </c>
      <c r="V114" s="7" t="s">
        <v>1575</v>
      </c>
    </row>
    <row r="115" spans="1:36" x14ac:dyDescent="0.35">
      <c r="A115" s="1" t="s">
        <v>2004</v>
      </c>
      <c r="C115" s="1" t="s">
        <v>51</v>
      </c>
      <c r="E115" s="1" t="s">
        <v>208</v>
      </c>
      <c r="F115" s="1" t="s">
        <v>376</v>
      </c>
      <c r="G115" s="1">
        <v>1</v>
      </c>
      <c r="H115" s="1" t="s">
        <v>226</v>
      </c>
      <c r="I115" s="1" t="s">
        <v>376</v>
      </c>
      <c r="K115" s="8" t="s">
        <v>189</v>
      </c>
      <c r="L115" s="8" t="s">
        <v>493</v>
      </c>
      <c r="M115" s="8">
        <v>0</v>
      </c>
      <c r="N115" s="8"/>
      <c r="P115" s="1" t="s">
        <v>1693</v>
      </c>
      <c r="Q115" s="1" t="s">
        <v>370</v>
      </c>
      <c r="R115" s="1" t="s">
        <v>1695</v>
      </c>
      <c r="S115" s="1" t="s">
        <v>517</v>
      </c>
      <c r="T115" s="9" t="s">
        <v>1879</v>
      </c>
      <c r="V115" s="7" t="s">
        <v>1575</v>
      </c>
      <c r="W115" s="1" t="s">
        <v>1704</v>
      </c>
      <c r="X115" s="1" t="s">
        <v>1864</v>
      </c>
      <c r="Y115" s="1" t="s">
        <v>1865</v>
      </c>
      <c r="Z115" s="1" t="s">
        <v>1866</v>
      </c>
    </row>
    <row r="116" spans="1:36" x14ac:dyDescent="0.35">
      <c r="A116" s="1" t="s">
        <v>2005</v>
      </c>
      <c r="C116" s="1" t="s">
        <v>52</v>
      </c>
      <c r="E116" s="1" t="s">
        <v>209</v>
      </c>
      <c r="F116" s="1" t="s">
        <v>406</v>
      </c>
      <c r="G116" s="1">
        <v>1</v>
      </c>
      <c r="K116" s="8" t="s">
        <v>189</v>
      </c>
      <c r="L116" s="8" t="s">
        <v>494</v>
      </c>
      <c r="M116" s="8">
        <v>0</v>
      </c>
      <c r="N116" s="8"/>
      <c r="P116" s="1" t="s">
        <v>1693</v>
      </c>
      <c r="Q116" s="1" t="s">
        <v>944</v>
      </c>
      <c r="R116" s="1" t="s">
        <v>1696</v>
      </c>
      <c r="S116" s="1" t="s">
        <v>476</v>
      </c>
      <c r="V116" s="7" t="s">
        <v>1575</v>
      </c>
      <c r="X116" s="1" t="s">
        <v>1904</v>
      </c>
      <c r="Y116" s="1" t="str">
        <f ca="1">Date_To_Ortems_Format(TODAY())</f>
        <v>09/08/2020 00:00</v>
      </c>
      <c r="Z116" s="1" t="str">
        <f ca="1">Date_To_Ortems_Format(DATE(YEAR(TODAY()), MONTH(TODAY()), DAY(TODAY()) + 7))</f>
        <v>09/15/2020 00:00</v>
      </c>
    </row>
    <row r="117" spans="1:36" x14ac:dyDescent="0.35">
      <c r="A117" s="1" t="s">
        <v>2006</v>
      </c>
      <c r="C117" s="1" t="s">
        <v>53</v>
      </c>
      <c r="E117" s="1" t="s">
        <v>210</v>
      </c>
      <c r="F117" s="1" t="s">
        <v>350</v>
      </c>
      <c r="G117" s="1">
        <v>0</v>
      </c>
      <c r="H117" s="1" t="s">
        <v>190</v>
      </c>
      <c r="I117" s="1" t="s">
        <v>350</v>
      </c>
      <c r="K117" s="8" t="s">
        <v>189</v>
      </c>
      <c r="L117" s="8" t="s">
        <v>495</v>
      </c>
      <c r="M117" s="8">
        <v>0</v>
      </c>
      <c r="N117" s="8"/>
      <c r="P117" s="1" t="s">
        <v>1693</v>
      </c>
      <c r="Q117" s="1" t="s">
        <v>371</v>
      </c>
      <c r="R117" s="1" t="s">
        <v>1697</v>
      </c>
      <c r="S117" s="1" t="s">
        <v>517</v>
      </c>
      <c r="T117" s="9" t="s">
        <v>1861</v>
      </c>
      <c r="V117" s="7" t="s">
        <v>1575</v>
      </c>
      <c r="X117" s="1" t="s">
        <v>1905</v>
      </c>
      <c r="Y117" s="1" t="str">
        <f ca="1">Date_To_Ortems_Format(DATE(YEAR(TODAY()), MONTH(TODAY()), DAY(TODAY()) + 7))</f>
        <v>09/15/2020 00:00</v>
      </c>
      <c r="Z117" s="1" t="str">
        <f ca="1">Date_To_Ortems_Format(DATE(YEAR(TODAY()), MONTH(TODAY()), DAY(TODAY()) + 14))</f>
        <v>09/22/2020 00:00</v>
      </c>
      <c r="AH117" s="8"/>
      <c r="AJ117" s="8"/>
    </row>
    <row r="118" spans="1:36" x14ac:dyDescent="0.35">
      <c r="A118" s="1" t="s">
        <v>2007</v>
      </c>
      <c r="C118" s="1" t="s">
        <v>54</v>
      </c>
      <c r="E118" s="1" t="s">
        <v>210</v>
      </c>
      <c r="F118" s="1" t="s">
        <v>406</v>
      </c>
      <c r="G118" s="1">
        <v>1</v>
      </c>
      <c r="H118" s="1" t="s">
        <v>209</v>
      </c>
      <c r="I118" s="1" t="s">
        <v>406</v>
      </c>
      <c r="K118" s="8" t="s">
        <v>189</v>
      </c>
      <c r="L118" s="8" t="s">
        <v>704</v>
      </c>
      <c r="M118" s="8">
        <v>1</v>
      </c>
      <c r="N118" s="8" t="s">
        <v>476</v>
      </c>
      <c r="P118" s="1" t="s">
        <v>1693</v>
      </c>
      <c r="Q118" s="1" t="s">
        <v>954</v>
      </c>
      <c r="R118" s="1" t="s">
        <v>1698</v>
      </c>
      <c r="S118" s="1" t="s">
        <v>476</v>
      </c>
      <c r="V118" s="7" t="s">
        <v>1575</v>
      </c>
      <c r="X118" s="1" t="s">
        <v>1906</v>
      </c>
      <c r="Y118" s="1" t="str">
        <f ca="1">Date_To_Ortems_Format(DATE(YEAR(TODAY()), MONTH(TODAY()), DAY(TODAY()) + 14))</f>
        <v>09/22/2020 00:00</v>
      </c>
      <c r="Z118" s="1" t="str">
        <f ca="1">Date_To_Ortems_Format(DATE(YEAR(TODAY()), MONTH(TODAY()), DAY(TODAY()) + 21))</f>
        <v>09/29/2020 00:00</v>
      </c>
      <c r="AH118" s="8"/>
      <c r="AJ118" s="8"/>
    </row>
    <row r="119" spans="1:36" x14ac:dyDescent="0.35">
      <c r="A119" s="1" t="s">
        <v>2008</v>
      </c>
      <c r="C119" s="1" t="s">
        <v>55</v>
      </c>
      <c r="E119" s="1" t="s">
        <v>210</v>
      </c>
      <c r="F119" s="1" t="s">
        <v>407</v>
      </c>
      <c r="G119" s="1">
        <v>1</v>
      </c>
      <c r="K119" s="8" t="s">
        <v>189</v>
      </c>
      <c r="L119" s="8" t="s">
        <v>705</v>
      </c>
      <c r="M119" s="8">
        <v>1</v>
      </c>
      <c r="N119" s="8" t="s">
        <v>476</v>
      </c>
      <c r="P119" s="1" t="s">
        <v>1693</v>
      </c>
      <c r="Q119" s="1" t="s">
        <v>946</v>
      </c>
      <c r="R119" s="1" t="s">
        <v>1694</v>
      </c>
      <c r="S119" s="1" t="s">
        <v>517</v>
      </c>
      <c r="T119" s="9" t="s">
        <v>1862</v>
      </c>
      <c r="V119" s="7" t="s">
        <v>1575</v>
      </c>
      <c r="X119" s="1" t="s">
        <v>1907</v>
      </c>
      <c r="Y119" s="1" t="str">
        <f ca="1">Date_To_Ortems_Format(DATE(YEAR(TODAY()), MONTH(TODAY()), DAY(TODAY()) + 21))</f>
        <v>09/29/2020 00:00</v>
      </c>
      <c r="Z119" s="1" t="str">
        <f ca="1">Date_To_Ortems_Format(DATE(YEAR(TODAY()), MONTH(TODAY()), DAY(TODAY()) + 28))</f>
        <v>10/06/2020 00:00</v>
      </c>
      <c r="AH119" s="8"/>
      <c r="AJ119" s="8"/>
    </row>
    <row r="120" spans="1:36" x14ac:dyDescent="0.35">
      <c r="A120" s="1" t="s">
        <v>2009</v>
      </c>
      <c r="C120" s="1" t="s">
        <v>56</v>
      </c>
      <c r="E120" s="1" t="s">
        <v>210</v>
      </c>
      <c r="F120" s="1" t="s">
        <v>380</v>
      </c>
      <c r="G120" s="1">
        <v>0</v>
      </c>
      <c r="H120" s="1" t="s">
        <v>284</v>
      </c>
      <c r="I120" s="1" t="s">
        <v>380</v>
      </c>
      <c r="K120" s="8" t="s">
        <v>190</v>
      </c>
      <c r="L120" s="8" t="s">
        <v>847</v>
      </c>
      <c r="M120" s="8">
        <v>1</v>
      </c>
      <c r="N120" s="8" t="s">
        <v>553</v>
      </c>
      <c r="P120" s="1" t="s">
        <v>1693</v>
      </c>
      <c r="Q120" s="1" t="s">
        <v>951</v>
      </c>
      <c r="R120" s="1" t="s">
        <v>2957</v>
      </c>
      <c r="S120" s="1" t="s">
        <v>517</v>
      </c>
      <c r="T120" s="9" t="s">
        <v>1863</v>
      </c>
      <c r="V120" s="7" t="s">
        <v>1575</v>
      </c>
      <c r="X120" s="1" t="s">
        <v>1908</v>
      </c>
      <c r="Y120" s="1" t="str">
        <f ca="1">Date_To_Ortems_Format(DATE(YEAR(TODAY()), MONTH(TODAY()), DAY(TODAY()) + 28))</f>
        <v>10/06/2020 00:00</v>
      </c>
      <c r="Z120" s="1" t="str">
        <f ca="1">Date_To_Ortems_Format(DATE(YEAR(TODAY()), MONTH(TODAY()), DAY(TODAY()) + 35))</f>
        <v>10/13/2020 00:00</v>
      </c>
    </row>
    <row r="121" spans="1:36" x14ac:dyDescent="0.35">
      <c r="A121" s="1" t="s">
        <v>2010</v>
      </c>
      <c r="C121" s="1" t="s">
        <v>57</v>
      </c>
      <c r="E121" s="1" t="s">
        <v>211</v>
      </c>
      <c r="F121" s="1" t="s">
        <v>409</v>
      </c>
      <c r="G121" s="1">
        <v>1</v>
      </c>
      <c r="H121" s="1" t="s">
        <v>183</v>
      </c>
      <c r="I121" s="1" t="s">
        <v>395</v>
      </c>
      <c r="K121" s="8" t="s">
        <v>190</v>
      </c>
      <c r="L121" s="8" t="s">
        <v>838</v>
      </c>
      <c r="M121" s="8">
        <v>0</v>
      </c>
      <c r="N121" s="8"/>
      <c r="P121" s="1" t="s">
        <v>1700</v>
      </c>
      <c r="Q121" s="1" t="s">
        <v>370</v>
      </c>
      <c r="R121" s="1" t="s">
        <v>2946</v>
      </c>
      <c r="S121" s="1" t="s">
        <v>517</v>
      </c>
      <c r="V121" s="7" t="s">
        <v>1575</v>
      </c>
    </row>
    <row r="122" spans="1:36" x14ac:dyDescent="0.35">
      <c r="A122" s="1" t="s">
        <v>2011</v>
      </c>
      <c r="C122" s="1" t="s">
        <v>58</v>
      </c>
      <c r="E122" s="1" t="s">
        <v>211</v>
      </c>
      <c r="F122" s="1" t="s">
        <v>408</v>
      </c>
      <c r="G122" s="1">
        <v>1</v>
      </c>
      <c r="H122" s="1" t="s">
        <v>183</v>
      </c>
      <c r="I122" s="1" t="s">
        <v>395</v>
      </c>
      <c r="K122" s="8" t="s">
        <v>190</v>
      </c>
      <c r="L122" s="8" t="s">
        <v>837</v>
      </c>
      <c r="M122" s="8">
        <v>0</v>
      </c>
      <c r="N122" s="8"/>
      <c r="P122" s="1" t="s">
        <v>1700</v>
      </c>
      <c r="Q122" s="1" t="s">
        <v>944</v>
      </c>
      <c r="R122" s="1" t="s">
        <v>2947</v>
      </c>
      <c r="S122" s="1" t="s">
        <v>517</v>
      </c>
      <c r="V122" s="7" t="s">
        <v>1575</v>
      </c>
      <c r="W122" s="1" t="s">
        <v>1705</v>
      </c>
      <c r="X122" s="1" t="s">
        <v>1864</v>
      </c>
      <c r="Y122" s="1" t="s">
        <v>1800</v>
      </c>
      <c r="Z122" s="1" t="s">
        <v>1803</v>
      </c>
      <c r="AA122" s="1" t="s">
        <v>1706</v>
      </c>
    </row>
    <row r="123" spans="1:36" x14ac:dyDescent="0.35">
      <c r="A123" s="1" t="s">
        <v>2012</v>
      </c>
      <c r="C123" s="1" t="s">
        <v>59</v>
      </c>
      <c r="E123" s="1" t="s">
        <v>211</v>
      </c>
      <c r="F123" s="1" t="s">
        <v>395</v>
      </c>
      <c r="G123" s="1">
        <v>1</v>
      </c>
      <c r="H123" s="1" t="s">
        <v>183</v>
      </c>
      <c r="I123" s="1" t="s">
        <v>395</v>
      </c>
      <c r="K123" s="8" t="s">
        <v>190</v>
      </c>
      <c r="L123" s="8" t="s">
        <v>881</v>
      </c>
      <c r="M123" s="8">
        <v>0</v>
      </c>
      <c r="N123" s="8"/>
      <c r="P123" s="1" t="s">
        <v>1700</v>
      </c>
      <c r="Q123" s="1" t="s">
        <v>1029</v>
      </c>
      <c r="R123" s="1" t="s">
        <v>1699</v>
      </c>
      <c r="S123" s="1" t="s">
        <v>517</v>
      </c>
      <c r="V123" s="7" t="s">
        <v>1575</v>
      </c>
      <c r="X123" s="1" t="s">
        <v>1909</v>
      </c>
      <c r="Y123" s="1" t="s">
        <v>1555</v>
      </c>
      <c r="Z123" s="1" t="s">
        <v>1570</v>
      </c>
      <c r="AA123" s="1" t="s">
        <v>1913</v>
      </c>
    </row>
    <row r="124" spans="1:36" x14ac:dyDescent="0.35">
      <c r="A124" s="1" t="s">
        <v>2013</v>
      </c>
      <c r="C124" s="1" t="s">
        <v>60</v>
      </c>
      <c r="E124" s="1" t="s">
        <v>212</v>
      </c>
      <c r="F124" s="1" t="s">
        <v>375</v>
      </c>
      <c r="G124" s="1">
        <v>1</v>
      </c>
      <c r="H124" s="1" t="s">
        <v>226</v>
      </c>
      <c r="I124" s="1" t="s">
        <v>375</v>
      </c>
      <c r="K124" s="8" t="s">
        <v>190</v>
      </c>
      <c r="L124" s="8" t="s">
        <v>883</v>
      </c>
      <c r="M124" s="8">
        <v>0</v>
      </c>
      <c r="N124" s="8"/>
      <c r="P124" s="1" t="s">
        <v>1700</v>
      </c>
      <c r="Q124" s="1" t="s">
        <v>951</v>
      </c>
      <c r="R124" s="1" t="s">
        <v>2957</v>
      </c>
      <c r="S124" s="1" t="s">
        <v>517</v>
      </c>
      <c r="T124" s="9" t="s">
        <v>1863</v>
      </c>
      <c r="V124" s="7" t="s">
        <v>1575</v>
      </c>
      <c r="X124" s="1" t="s">
        <v>1909</v>
      </c>
      <c r="Y124" s="1" t="s">
        <v>1556</v>
      </c>
      <c r="Z124" s="1" t="s">
        <v>1571</v>
      </c>
      <c r="AA124" s="1" t="s">
        <v>1914</v>
      </c>
    </row>
    <row r="125" spans="1:36" x14ac:dyDescent="0.35">
      <c r="A125" s="1" t="s">
        <v>2014</v>
      </c>
      <c r="C125" s="1" t="s">
        <v>61</v>
      </c>
      <c r="E125" s="1" t="s">
        <v>212</v>
      </c>
      <c r="F125" s="1" t="s">
        <v>376</v>
      </c>
      <c r="G125" s="1">
        <v>1</v>
      </c>
      <c r="H125" s="1" t="s">
        <v>226</v>
      </c>
      <c r="I125" s="1" t="s">
        <v>376</v>
      </c>
      <c r="K125" s="8" t="s">
        <v>190</v>
      </c>
      <c r="L125" s="8" t="s">
        <v>846</v>
      </c>
      <c r="M125" s="8">
        <v>1</v>
      </c>
      <c r="N125" s="8" t="s">
        <v>619</v>
      </c>
      <c r="P125" s="1" t="s">
        <v>1700</v>
      </c>
      <c r="Q125" s="18" t="s">
        <v>350</v>
      </c>
      <c r="R125" s="1" t="s">
        <v>1800</v>
      </c>
      <c r="S125" s="1" t="s">
        <v>517</v>
      </c>
      <c r="T125" s="9" t="s">
        <v>1857</v>
      </c>
      <c r="V125" s="7" t="s">
        <v>1575</v>
      </c>
      <c r="X125" s="1" t="s">
        <v>1912</v>
      </c>
      <c r="Y125" s="1" t="s">
        <v>1555</v>
      </c>
      <c r="Z125" s="1" t="s">
        <v>1570</v>
      </c>
      <c r="AA125" s="1" t="s">
        <v>1915</v>
      </c>
    </row>
    <row r="126" spans="1:36" x14ac:dyDescent="0.35">
      <c r="A126" s="1" t="s">
        <v>2015</v>
      </c>
      <c r="C126" s="1" t="s">
        <v>62</v>
      </c>
      <c r="E126" s="1" t="s">
        <v>212</v>
      </c>
      <c r="F126" s="1" t="s">
        <v>377</v>
      </c>
      <c r="G126" s="1">
        <v>1</v>
      </c>
      <c r="H126" s="1" t="s">
        <v>249</v>
      </c>
      <c r="I126" s="1" t="s">
        <v>377</v>
      </c>
      <c r="K126" s="8" t="s">
        <v>190</v>
      </c>
      <c r="L126" s="8" t="s">
        <v>817</v>
      </c>
      <c r="M126" s="8">
        <v>0</v>
      </c>
      <c r="N126" s="8"/>
      <c r="P126" s="1" t="s">
        <v>1700</v>
      </c>
      <c r="Q126" s="1" t="s">
        <v>432</v>
      </c>
      <c r="R126" s="1" t="s">
        <v>1803</v>
      </c>
      <c r="S126" s="1" t="s">
        <v>517</v>
      </c>
      <c r="T126" s="9" t="s">
        <v>1858</v>
      </c>
      <c r="V126" s="7" t="s">
        <v>1575</v>
      </c>
    </row>
    <row r="127" spans="1:36" x14ac:dyDescent="0.35">
      <c r="A127" s="1" t="s">
        <v>2016</v>
      </c>
      <c r="C127" s="1" t="s">
        <v>63</v>
      </c>
      <c r="E127" s="1" t="s">
        <v>212</v>
      </c>
      <c r="F127" s="1" t="s">
        <v>372</v>
      </c>
      <c r="G127" s="1">
        <v>1</v>
      </c>
      <c r="H127" s="1" t="s">
        <v>264</v>
      </c>
      <c r="I127" s="1" t="s">
        <v>372</v>
      </c>
      <c r="K127" s="8" t="s">
        <v>190</v>
      </c>
      <c r="L127" s="8" t="s">
        <v>818</v>
      </c>
      <c r="M127" s="8">
        <v>0</v>
      </c>
      <c r="N127" s="8" t="s">
        <v>1004</v>
      </c>
      <c r="P127" s="1" t="s">
        <v>1700</v>
      </c>
      <c r="Q127" s="1" t="s">
        <v>412</v>
      </c>
      <c r="R127" s="1" t="s">
        <v>1503</v>
      </c>
      <c r="S127" s="1" t="s">
        <v>517</v>
      </c>
      <c r="T127" s="9" t="s">
        <v>1859</v>
      </c>
      <c r="V127" s="7" t="s">
        <v>1575</v>
      </c>
      <c r="W127" s="1" t="s">
        <v>1707</v>
      </c>
      <c r="X127" s="1" t="s">
        <v>1708</v>
      </c>
      <c r="Y127" s="1" t="s">
        <v>1709</v>
      </c>
      <c r="Z127" s="1" t="s">
        <v>1710</v>
      </c>
      <c r="AA127" s="1" t="s">
        <v>1826</v>
      </c>
      <c r="AB127" s="1" t="s">
        <v>1711</v>
      </c>
      <c r="AC127" s="1" t="s">
        <v>1800</v>
      </c>
      <c r="AD127" s="1" t="s">
        <v>1803</v>
      </c>
      <c r="AE127" s="1" t="s">
        <v>1508</v>
      </c>
    </row>
    <row r="128" spans="1:36" x14ac:dyDescent="0.35">
      <c r="A128" s="1" t="s">
        <v>2017</v>
      </c>
      <c r="C128" s="1" t="s">
        <v>64</v>
      </c>
      <c r="E128" s="1" t="s">
        <v>213</v>
      </c>
      <c r="F128" s="1" t="s">
        <v>378</v>
      </c>
      <c r="G128" s="1">
        <v>1</v>
      </c>
      <c r="K128" s="8" t="s">
        <v>190</v>
      </c>
      <c r="L128" s="8" t="s">
        <v>819</v>
      </c>
      <c r="M128" s="8">
        <v>0</v>
      </c>
      <c r="N128" s="8"/>
      <c r="P128" s="1" t="s">
        <v>1700</v>
      </c>
      <c r="Q128" s="1" t="s">
        <v>435</v>
      </c>
      <c r="R128" s="1" t="s">
        <v>1685</v>
      </c>
      <c r="S128" s="1" t="s">
        <v>517</v>
      </c>
      <c r="T128" s="9" t="s">
        <v>1860</v>
      </c>
      <c r="V128" s="7" t="s">
        <v>1575</v>
      </c>
      <c r="X128" s="1" t="s">
        <v>1916</v>
      </c>
      <c r="Y128" s="1" t="s">
        <v>1917</v>
      </c>
      <c r="Z128" s="1" t="s">
        <v>1918</v>
      </c>
      <c r="AA128" s="1" t="s">
        <v>517</v>
      </c>
      <c r="AB128" s="1" t="str">
        <f ca="1">Date_To_Ortems_Format(DATE(YEAR(TODAY()), MONTH(TODAY()), DAY(TODAY()) + 9))</f>
        <v>09/17/2020 00:00</v>
      </c>
      <c r="AC128" s="1" t="s">
        <v>1910</v>
      </c>
      <c r="AD128" s="1" t="s">
        <v>1570</v>
      </c>
      <c r="AE128" s="1" t="s">
        <v>1919</v>
      </c>
    </row>
    <row r="129" spans="1:31" x14ac:dyDescent="0.35">
      <c r="A129" s="1" t="s">
        <v>2018</v>
      </c>
      <c r="C129" s="1" t="s">
        <v>65</v>
      </c>
      <c r="E129" s="1" t="s">
        <v>214</v>
      </c>
      <c r="F129" s="1" t="s">
        <v>352</v>
      </c>
      <c r="G129" s="1">
        <v>1</v>
      </c>
      <c r="K129" s="8" t="s">
        <v>190</v>
      </c>
      <c r="L129" s="8" t="s">
        <v>820</v>
      </c>
      <c r="M129" s="8">
        <v>1</v>
      </c>
      <c r="N129" s="8" t="s">
        <v>517</v>
      </c>
      <c r="P129" s="1" t="s">
        <v>2944</v>
      </c>
      <c r="Q129" s="1" t="s">
        <v>370</v>
      </c>
      <c r="R129" s="1" t="s">
        <v>1695</v>
      </c>
      <c r="S129" s="1" t="s">
        <v>517</v>
      </c>
      <c r="V129" s="7" t="s">
        <v>1575</v>
      </c>
      <c r="X129" s="1" t="s">
        <v>1916</v>
      </c>
      <c r="Y129" s="1" t="s">
        <v>1917</v>
      </c>
      <c r="Z129" s="1" t="s">
        <v>1918</v>
      </c>
      <c r="AA129" s="1" t="s">
        <v>567</v>
      </c>
      <c r="AB129" s="1" t="str">
        <f ca="1">Date_To_Ortems_Format(DATE(YEAR(TODAY()), MONTH(TODAY()), DAY(TODAY()) + 9))</f>
        <v>09/17/2020 00:00</v>
      </c>
      <c r="AC129" s="1" t="s">
        <v>1911</v>
      </c>
      <c r="AD129" s="1" t="s">
        <v>1571</v>
      </c>
      <c r="AE129" s="1" t="s">
        <v>1667</v>
      </c>
    </row>
    <row r="130" spans="1:31" x14ac:dyDescent="0.35">
      <c r="A130" s="1" t="s">
        <v>2019</v>
      </c>
      <c r="C130" s="1" t="s">
        <v>66</v>
      </c>
      <c r="E130" s="1" t="s">
        <v>214</v>
      </c>
      <c r="F130" s="1" t="s">
        <v>349</v>
      </c>
      <c r="G130" s="1">
        <v>1</v>
      </c>
      <c r="H130" s="1" t="s">
        <v>282</v>
      </c>
      <c r="I130" s="1" t="s">
        <v>349</v>
      </c>
      <c r="K130" s="8" t="s">
        <v>190</v>
      </c>
      <c r="L130" s="8" t="s">
        <v>864</v>
      </c>
      <c r="M130" s="8">
        <v>1</v>
      </c>
      <c r="N130" s="8" t="s">
        <v>517</v>
      </c>
      <c r="P130" s="1" t="s">
        <v>2944</v>
      </c>
      <c r="Q130" s="1" t="s">
        <v>427</v>
      </c>
      <c r="R130" s="1" t="s">
        <v>1701</v>
      </c>
      <c r="S130" s="1" t="s">
        <v>517</v>
      </c>
      <c r="V130" s="7" t="s">
        <v>1575</v>
      </c>
      <c r="X130" s="1" t="s">
        <v>1920</v>
      </c>
      <c r="Y130" s="1" t="s">
        <v>1921</v>
      </c>
      <c r="Z130" s="1" t="s">
        <v>1922</v>
      </c>
      <c r="AA130" s="1" t="s">
        <v>517</v>
      </c>
      <c r="AB130" s="1" t="str">
        <f ca="1">Date_To_Ortems_Format(DATE(YEAR(TODAY()), MONTH(TODAY()), DAY(TODAY()) + 17))</f>
        <v>09/25/2020 00:00</v>
      </c>
      <c r="AC130" s="1" t="s">
        <v>1910</v>
      </c>
      <c r="AD130" s="1" t="s">
        <v>1570</v>
      </c>
      <c r="AE130" s="1" t="s">
        <v>619</v>
      </c>
    </row>
    <row r="131" spans="1:31" x14ac:dyDescent="0.35">
      <c r="A131" s="1" t="s">
        <v>2020</v>
      </c>
      <c r="C131" s="1" t="s">
        <v>67</v>
      </c>
      <c r="E131" s="1" t="s">
        <v>215</v>
      </c>
      <c r="F131" s="1" t="s">
        <v>384</v>
      </c>
      <c r="G131" s="1">
        <v>0</v>
      </c>
      <c r="H131" s="1" t="s">
        <v>194</v>
      </c>
      <c r="I131" s="1" t="s">
        <v>384</v>
      </c>
      <c r="K131" s="8" t="s">
        <v>190</v>
      </c>
      <c r="L131" s="8" t="s">
        <v>839</v>
      </c>
      <c r="M131" s="8">
        <v>0</v>
      </c>
      <c r="N131" s="8" t="s">
        <v>768</v>
      </c>
      <c r="P131" s="1" t="s">
        <v>2944</v>
      </c>
      <c r="Q131" s="1" t="s">
        <v>428</v>
      </c>
      <c r="R131" s="1" t="s">
        <v>1703</v>
      </c>
      <c r="S131" s="1" t="s">
        <v>517</v>
      </c>
      <c r="V131" s="7" t="s">
        <v>1575</v>
      </c>
    </row>
    <row r="132" spans="1:31" x14ac:dyDescent="0.35">
      <c r="A132" s="1" t="s">
        <v>2021</v>
      </c>
      <c r="C132" s="1" t="s">
        <v>68</v>
      </c>
      <c r="E132" s="1" t="s">
        <v>215</v>
      </c>
      <c r="F132" s="1" t="s">
        <v>410</v>
      </c>
      <c r="G132" s="1">
        <v>1</v>
      </c>
      <c r="H132" s="1" t="s">
        <v>229</v>
      </c>
      <c r="I132" s="1" t="s">
        <v>410</v>
      </c>
      <c r="K132" s="8" t="s">
        <v>190</v>
      </c>
      <c r="L132" s="8" t="s">
        <v>875</v>
      </c>
      <c r="M132" s="8">
        <v>0</v>
      </c>
      <c r="N132" s="8"/>
      <c r="P132" s="1" t="s">
        <v>2944</v>
      </c>
      <c r="Q132" s="1" t="s">
        <v>429</v>
      </c>
      <c r="R132" s="1" t="s">
        <v>1702</v>
      </c>
      <c r="S132" s="1" t="s">
        <v>517</v>
      </c>
      <c r="V132" s="7" t="s">
        <v>1575</v>
      </c>
    </row>
    <row r="133" spans="1:31" x14ac:dyDescent="0.35">
      <c r="A133" s="1" t="s">
        <v>2022</v>
      </c>
      <c r="C133" s="1" t="s">
        <v>69</v>
      </c>
      <c r="E133" s="1" t="s">
        <v>215</v>
      </c>
      <c r="F133" s="1" t="s">
        <v>411</v>
      </c>
      <c r="G133" s="1">
        <v>1</v>
      </c>
      <c r="K133" s="8" t="s">
        <v>190</v>
      </c>
      <c r="L133" s="8" t="s">
        <v>868</v>
      </c>
      <c r="M133" s="8">
        <v>1</v>
      </c>
      <c r="N133" s="8" t="s">
        <v>768</v>
      </c>
      <c r="P133" s="1" t="s">
        <v>2944</v>
      </c>
      <c r="Q133" s="1" t="s">
        <v>991</v>
      </c>
      <c r="R133" s="1" t="s">
        <v>1694</v>
      </c>
      <c r="S133" s="1" t="s">
        <v>517</v>
      </c>
      <c r="V133" s="7" t="s">
        <v>1575</v>
      </c>
    </row>
    <row r="134" spans="1:31" x14ac:dyDescent="0.35">
      <c r="A134" s="1" t="s">
        <v>2023</v>
      </c>
      <c r="C134" s="1" t="s">
        <v>70</v>
      </c>
      <c r="E134" s="1" t="s">
        <v>217</v>
      </c>
      <c r="F134" s="1" t="s">
        <v>412</v>
      </c>
      <c r="G134" s="1">
        <v>1</v>
      </c>
      <c r="K134" s="8" t="s">
        <v>190</v>
      </c>
      <c r="L134" s="8" t="s">
        <v>856</v>
      </c>
      <c r="M134" s="8">
        <v>1</v>
      </c>
      <c r="N134" s="8" t="s">
        <v>476</v>
      </c>
      <c r="P134" s="1" t="s">
        <v>2944</v>
      </c>
      <c r="Q134" s="1" t="s">
        <v>992</v>
      </c>
      <c r="R134" s="1" t="s">
        <v>2957</v>
      </c>
      <c r="S134" s="1" t="s">
        <v>517</v>
      </c>
      <c r="V134" s="7" t="s">
        <v>1575</v>
      </c>
    </row>
    <row r="135" spans="1:31" x14ac:dyDescent="0.35">
      <c r="A135" s="1" t="s">
        <v>2024</v>
      </c>
      <c r="C135" s="1" t="s">
        <v>71</v>
      </c>
      <c r="E135" s="1" t="s">
        <v>217</v>
      </c>
      <c r="F135" s="1" t="s">
        <v>380</v>
      </c>
      <c r="G135" s="1">
        <v>0</v>
      </c>
      <c r="H135" s="1" t="s">
        <v>284</v>
      </c>
      <c r="I135" s="1" t="s">
        <v>380</v>
      </c>
      <c r="K135" s="8" t="s">
        <v>190</v>
      </c>
      <c r="L135" s="8" t="s">
        <v>876</v>
      </c>
      <c r="M135" s="8">
        <v>1</v>
      </c>
      <c r="N135" s="8" t="s">
        <v>517</v>
      </c>
      <c r="P135" s="1" t="s">
        <v>1704</v>
      </c>
      <c r="Q135" s="1" t="s">
        <v>381</v>
      </c>
      <c r="R135" s="1" t="s">
        <v>1864</v>
      </c>
      <c r="S135" s="1" t="s">
        <v>517</v>
      </c>
      <c r="V135" s="7" t="s">
        <v>1575</v>
      </c>
    </row>
    <row r="136" spans="1:31" x14ac:dyDescent="0.35">
      <c r="A136" s="1" t="s">
        <v>2025</v>
      </c>
      <c r="C136" s="1" t="s">
        <v>72</v>
      </c>
      <c r="E136" s="1" t="s">
        <v>218</v>
      </c>
      <c r="F136" s="1" t="s">
        <v>386</v>
      </c>
      <c r="G136" s="1">
        <v>1</v>
      </c>
      <c r="K136" s="8" t="s">
        <v>190</v>
      </c>
      <c r="L136" s="8" t="s">
        <v>882</v>
      </c>
      <c r="M136" s="8">
        <v>0</v>
      </c>
      <c r="N136" s="8"/>
      <c r="P136" s="1" t="s">
        <v>1704</v>
      </c>
      <c r="Q136" s="1" t="s">
        <v>1190</v>
      </c>
      <c r="R136" s="1" t="s">
        <v>1865</v>
      </c>
      <c r="S136" s="1" t="s">
        <v>517</v>
      </c>
      <c r="V136" s="7" t="s">
        <v>1575</v>
      </c>
    </row>
    <row r="137" spans="1:31" x14ac:dyDescent="0.35">
      <c r="A137" s="1" t="s">
        <v>2026</v>
      </c>
      <c r="C137" s="1" t="s">
        <v>73</v>
      </c>
      <c r="E137" s="1" t="s">
        <v>219</v>
      </c>
      <c r="F137" s="1" t="s">
        <v>386</v>
      </c>
      <c r="G137" s="1">
        <v>1</v>
      </c>
      <c r="H137" s="1" t="s">
        <v>218</v>
      </c>
      <c r="I137" s="1" t="s">
        <v>386</v>
      </c>
      <c r="K137" s="8" t="s">
        <v>190</v>
      </c>
      <c r="L137" s="8" t="s">
        <v>884</v>
      </c>
      <c r="M137" s="8">
        <v>0</v>
      </c>
      <c r="N137" s="8"/>
      <c r="P137" s="1" t="s">
        <v>1704</v>
      </c>
      <c r="Q137" s="1" t="s">
        <v>1191</v>
      </c>
      <c r="R137" s="1" t="s">
        <v>1866</v>
      </c>
      <c r="S137" s="1" t="s">
        <v>517</v>
      </c>
      <c r="V137" s="7" t="s">
        <v>1575</v>
      </c>
    </row>
    <row r="138" spans="1:31" x14ac:dyDescent="0.35">
      <c r="A138" s="1" t="s">
        <v>2027</v>
      </c>
      <c r="C138" s="1" t="s">
        <v>74</v>
      </c>
      <c r="E138" s="1" t="s">
        <v>219</v>
      </c>
      <c r="F138" s="1" t="s">
        <v>375</v>
      </c>
      <c r="G138" s="1">
        <v>1</v>
      </c>
      <c r="H138" s="1" t="s">
        <v>226</v>
      </c>
      <c r="I138" s="1" t="s">
        <v>375</v>
      </c>
      <c r="K138" s="8" t="s">
        <v>190</v>
      </c>
      <c r="L138" s="8" t="s">
        <v>827</v>
      </c>
      <c r="M138" s="8">
        <v>1</v>
      </c>
      <c r="N138" s="8" t="s">
        <v>476</v>
      </c>
      <c r="P138" s="1" t="s">
        <v>1705</v>
      </c>
      <c r="Q138" s="1" t="s">
        <v>381</v>
      </c>
      <c r="R138" s="1" t="s">
        <v>1864</v>
      </c>
      <c r="S138" s="1" t="s">
        <v>517</v>
      </c>
      <c r="V138" s="7" t="s">
        <v>1575</v>
      </c>
    </row>
    <row r="139" spans="1:31" x14ac:dyDescent="0.35">
      <c r="A139" s="1" t="s">
        <v>2028</v>
      </c>
      <c r="C139" s="1" t="s">
        <v>75</v>
      </c>
      <c r="E139" s="1" t="s">
        <v>219</v>
      </c>
      <c r="F139" s="1" t="s">
        <v>376</v>
      </c>
      <c r="G139" s="1">
        <v>1</v>
      </c>
      <c r="H139" s="1" t="s">
        <v>226</v>
      </c>
      <c r="I139" s="1" t="s">
        <v>376</v>
      </c>
      <c r="K139" s="8" t="s">
        <v>190</v>
      </c>
      <c r="L139" s="8" t="s">
        <v>826</v>
      </c>
      <c r="M139" s="8">
        <v>1</v>
      </c>
      <c r="N139" s="8" t="s">
        <v>476</v>
      </c>
      <c r="P139" s="1" t="s">
        <v>1705</v>
      </c>
      <c r="Q139" s="1" t="s">
        <v>350</v>
      </c>
      <c r="R139" s="1" t="s">
        <v>1800</v>
      </c>
      <c r="S139" s="1" t="s">
        <v>517</v>
      </c>
      <c r="V139" s="7" t="s">
        <v>1575</v>
      </c>
    </row>
    <row r="140" spans="1:31" x14ac:dyDescent="0.35">
      <c r="A140" s="1" t="s">
        <v>2029</v>
      </c>
      <c r="C140" s="1" t="s">
        <v>76</v>
      </c>
      <c r="E140" s="1" t="s">
        <v>220</v>
      </c>
      <c r="F140" s="1" t="s">
        <v>379</v>
      </c>
      <c r="G140" s="1">
        <v>1</v>
      </c>
      <c r="K140" s="8" t="s">
        <v>190</v>
      </c>
      <c r="L140" s="8" t="s">
        <v>350</v>
      </c>
      <c r="M140" s="8">
        <v>1</v>
      </c>
      <c r="N140" s="8"/>
      <c r="P140" s="1" t="s">
        <v>1705</v>
      </c>
      <c r="Q140" s="1" t="s">
        <v>382</v>
      </c>
      <c r="R140" s="1" t="s">
        <v>1803</v>
      </c>
      <c r="S140" s="1" t="s">
        <v>517</v>
      </c>
      <c r="T140" s="9" t="s">
        <v>1869</v>
      </c>
      <c r="V140" s="7" t="s">
        <v>1575</v>
      </c>
    </row>
    <row r="141" spans="1:31" x14ac:dyDescent="0.35">
      <c r="A141" s="1" t="s">
        <v>2030</v>
      </c>
      <c r="C141" s="1" t="s">
        <v>77</v>
      </c>
      <c r="E141" s="1" t="s">
        <v>221</v>
      </c>
      <c r="F141" s="1" t="s">
        <v>413</v>
      </c>
      <c r="G141" s="1">
        <v>1</v>
      </c>
      <c r="K141" s="8" t="s">
        <v>190</v>
      </c>
      <c r="L141" s="8" t="s">
        <v>850</v>
      </c>
      <c r="M141" s="8">
        <v>1</v>
      </c>
      <c r="N141" s="8" t="s">
        <v>517</v>
      </c>
      <c r="P141" s="1" t="s">
        <v>1705</v>
      </c>
      <c r="Q141" s="1" t="s">
        <v>1207</v>
      </c>
      <c r="R141" s="1" t="s">
        <v>1706</v>
      </c>
      <c r="S141" s="1" t="s">
        <v>517</v>
      </c>
      <c r="T141" s="9" t="s">
        <v>1867</v>
      </c>
      <c r="V141" s="7" t="s">
        <v>1575</v>
      </c>
    </row>
    <row r="142" spans="1:31" x14ac:dyDescent="0.35">
      <c r="A142" s="1" t="s">
        <v>2031</v>
      </c>
      <c r="C142" s="1" t="s">
        <v>78</v>
      </c>
      <c r="E142" s="1" t="s">
        <v>222</v>
      </c>
      <c r="F142" s="1" t="s">
        <v>375</v>
      </c>
      <c r="G142" s="1">
        <v>1</v>
      </c>
      <c r="K142" s="8" t="s">
        <v>190</v>
      </c>
      <c r="L142" s="8" t="s">
        <v>855</v>
      </c>
      <c r="M142" s="8">
        <v>1</v>
      </c>
      <c r="N142" s="8" t="s">
        <v>517</v>
      </c>
      <c r="P142" s="1" t="s">
        <v>1707</v>
      </c>
      <c r="Q142" s="1" t="s">
        <v>406</v>
      </c>
      <c r="R142" s="1" t="s">
        <v>1708</v>
      </c>
      <c r="S142" s="1" t="s">
        <v>517</v>
      </c>
      <c r="T142" s="9" t="s">
        <v>1868</v>
      </c>
      <c r="V142" s="7" t="s">
        <v>1575</v>
      </c>
    </row>
    <row r="143" spans="1:31" x14ac:dyDescent="0.35">
      <c r="A143" s="1" t="s">
        <v>2032</v>
      </c>
      <c r="C143" s="1" t="s">
        <v>79</v>
      </c>
      <c r="E143" s="1" t="s">
        <v>223</v>
      </c>
      <c r="F143" s="1" t="s">
        <v>389</v>
      </c>
      <c r="G143" s="1">
        <v>1</v>
      </c>
      <c r="K143" s="8" t="s">
        <v>190</v>
      </c>
      <c r="L143" s="8" t="s">
        <v>852</v>
      </c>
      <c r="M143" s="8">
        <v>1</v>
      </c>
      <c r="N143" s="8" t="s">
        <v>517</v>
      </c>
      <c r="P143" s="1" t="s">
        <v>1707</v>
      </c>
      <c r="Q143" s="1" t="s">
        <v>1219</v>
      </c>
      <c r="R143" s="1" t="s">
        <v>1709</v>
      </c>
      <c r="S143" s="1" t="s">
        <v>476</v>
      </c>
      <c r="T143" s="9" t="s">
        <v>1870</v>
      </c>
      <c r="V143" s="7" t="s">
        <v>1575</v>
      </c>
    </row>
    <row r="144" spans="1:31" x14ac:dyDescent="0.35">
      <c r="A144" s="1" t="s">
        <v>2033</v>
      </c>
      <c r="C144" s="1" t="s">
        <v>80</v>
      </c>
      <c r="E144" s="1" t="s">
        <v>224</v>
      </c>
      <c r="F144" s="1" t="s">
        <v>390</v>
      </c>
      <c r="G144" s="1">
        <v>1</v>
      </c>
      <c r="K144" s="8" t="s">
        <v>190</v>
      </c>
      <c r="L144" s="8" t="s">
        <v>877</v>
      </c>
      <c r="M144" s="8">
        <v>0</v>
      </c>
      <c r="N144" s="8" t="s">
        <v>476</v>
      </c>
      <c r="P144" s="1" t="s">
        <v>1707</v>
      </c>
      <c r="Q144" s="1" t="s">
        <v>1216</v>
      </c>
      <c r="R144" s="1" t="s">
        <v>1710</v>
      </c>
      <c r="S144" s="1" t="s">
        <v>476</v>
      </c>
      <c r="V144" s="7" t="s">
        <v>1575</v>
      </c>
    </row>
    <row r="145" spans="1:22" x14ac:dyDescent="0.35">
      <c r="A145" s="1" t="s">
        <v>2034</v>
      </c>
      <c r="C145" s="1" t="s">
        <v>81</v>
      </c>
      <c r="E145" s="1" t="s">
        <v>224</v>
      </c>
      <c r="F145" s="1" t="s">
        <v>389</v>
      </c>
      <c r="G145" s="1">
        <v>1</v>
      </c>
      <c r="H145" s="1" t="s">
        <v>223</v>
      </c>
      <c r="I145" s="1" t="s">
        <v>389</v>
      </c>
      <c r="K145" s="8" t="s">
        <v>190</v>
      </c>
      <c r="L145" s="8" t="s">
        <v>878</v>
      </c>
      <c r="M145" s="8">
        <v>0</v>
      </c>
      <c r="N145" s="8" t="s">
        <v>476</v>
      </c>
      <c r="P145" s="1" t="s">
        <v>1707</v>
      </c>
      <c r="Q145" s="1" t="s">
        <v>407</v>
      </c>
      <c r="R145" s="1" t="s">
        <v>1826</v>
      </c>
      <c r="S145" s="1" t="s">
        <v>517</v>
      </c>
      <c r="V145" s="7" t="s">
        <v>1575</v>
      </c>
    </row>
    <row r="146" spans="1:22" x14ac:dyDescent="0.35">
      <c r="A146" s="1" t="s">
        <v>2035</v>
      </c>
      <c r="C146" s="1" t="s">
        <v>82</v>
      </c>
      <c r="E146" s="1" t="s">
        <v>225</v>
      </c>
      <c r="F146" s="1" t="s">
        <v>369</v>
      </c>
      <c r="G146" s="1">
        <v>1</v>
      </c>
      <c r="K146" s="8" t="s">
        <v>190</v>
      </c>
      <c r="L146" s="8" t="s">
        <v>871</v>
      </c>
      <c r="M146" s="8">
        <v>0</v>
      </c>
      <c r="N146" s="8"/>
      <c r="P146" s="1" t="s">
        <v>1707</v>
      </c>
      <c r="Q146" s="1" t="s">
        <v>350</v>
      </c>
      <c r="R146" s="1" t="s">
        <v>1800</v>
      </c>
      <c r="S146" s="1" t="s">
        <v>517</v>
      </c>
      <c r="V146" s="7" t="s">
        <v>1575</v>
      </c>
    </row>
    <row r="147" spans="1:22" x14ac:dyDescent="0.35">
      <c r="A147" s="1" t="s">
        <v>2036</v>
      </c>
      <c r="C147" s="1" t="s">
        <v>83</v>
      </c>
      <c r="E147" s="1" t="s">
        <v>225</v>
      </c>
      <c r="F147" s="1" t="s">
        <v>413</v>
      </c>
      <c r="G147" s="1">
        <v>0</v>
      </c>
      <c r="H147" s="1" t="s">
        <v>221</v>
      </c>
      <c r="I147" s="1" t="s">
        <v>413</v>
      </c>
      <c r="K147" s="8" t="s">
        <v>190</v>
      </c>
      <c r="L147" s="8" t="s">
        <v>869</v>
      </c>
      <c r="M147" s="8">
        <v>0</v>
      </c>
      <c r="N147" s="8"/>
      <c r="P147" s="1" t="s">
        <v>1707</v>
      </c>
      <c r="Q147" s="1" t="s">
        <v>1223</v>
      </c>
      <c r="R147" s="1" t="s">
        <v>1803</v>
      </c>
      <c r="S147" s="1" t="s">
        <v>517</v>
      </c>
      <c r="V147" s="7" t="s">
        <v>1575</v>
      </c>
    </row>
    <row r="148" spans="1:22" x14ac:dyDescent="0.35">
      <c r="A148" s="1" t="s">
        <v>2037</v>
      </c>
      <c r="C148" s="1" t="s">
        <v>84</v>
      </c>
      <c r="E148" s="1" t="s">
        <v>225</v>
      </c>
      <c r="F148" s="1" t="s">
        <v>395</v>
      </c>
      <c r="G148" s="1">
        <v>0</v>
      </c>
      <c r="H148" s="1" t="s">
        <v>183</v>
      </c>
      <c r="I148" s="1" t="s">
        <v>395</v>
      </c>
      <c r="K148" s="8" t="s">
        <v>190</v>
      </c>
      <c r="L148" s="8" t="s">
        <v>870</v>
      </c>
      <c r="M148" s="8">
        <v>0</v>
      </c>
      <c r="N148" s="8"/>
      <c r="P148" s="1" t="s">
        <v>1707</v>
      </c>
      <c r="Q148" s="1" t="s">
        <v>1222</v>
      </c>
      <c r="R148" s="1" t="s">
        <v>1508</v>
      </c>
      <c r="S148" s="1" t="s">
        <v>517</v>
      </c>
      <c r="V148" s="7" t="s">
        <v>1575</v>
      </c>
    </row>
    <row r="149" spans="1:22" x14ac:dyDescent="0.35">
      <c r="A149" s="1" t="s">
        <v>289</v>
      </c>
      <c r="C149" s="1" t="s">
        <v>85</v>
      </c>
      <c r="E149" s="1" t="s">
        <v>226</v>
      </c>
      <c r="F149" s="1" t="s">
        <v>396</v>
      </c>
      <c r="G149" s="1">
        <v>0</v>
      </c>
      <c r="H149" s="1" t="s">
        <v>200</v>
      </c>
      <c r="I149" s="1" t="s">
        <v>396</v>
      </c>
      <c r="K149" s="8" t="s">
        <v>190</v>
      </c>
      <c r="L149" s="8" t="s">
        <v>866</v>
      </c>
      <c r="M149" s="8">
        <v>0</v>
      </c>
      <c r="N149" s="8"/>
      <c r="P149" s="1" t="s">
        <v>1707</v>
      </c>
      <c r="Q149" s="1" t="s">
        <v>1221</v>
      </c>
      <c r="R149" s="1" t="s">
        <v>1711</v>
      </c>
      <c r="S149" s="1" t="s">
        <v>517</v>
      </c>
      <c r="V149" s="7" t="s">
        <v>1575</v>
      </c>
    </row>
    <row r="150" spans="1:22" x14ac:dyDescent="0.35">
      <c r="A150" s="1" t="s">
        <v>2038</v>
      </c>
      <c r="C150" s="1" t="s">
        <v>86</v>
      </c>
      <c r="E150" s="1" t="s">
        <v>226</v>
      </c>
      <c r="F150" s="1" t="s">
        <v>414</v>
      </c>
      <c r="G150" s="1">
        <v>0</v>
      </c>
      <c r="H150" s="1" t="s">
        <v>269</v>
      </c>
      <c r="I150" s="1" t="s">
        <v>414</v>
      </c>
      <c r="K150" s="8" t="s">
        <v>190</v>
      </c>
      <c r="L150" s="8" t="s">
        <v>845</v>
      </c>
      <c r="M150" s="8">
        <v>1</v>
      </c>
      <c r="N150" s="8" t="s">
        <v>567</v>
      </c>
      <c r="P150" s="1" t="s">
        <v>1811</v>
      </c>
      <c r="Q150" s="1" t="s">
        <v>876</v>
      </c>
      <c r="R150" s="1" t="s">
        <v>1712</v>
      </c>
      <c r="S150" s="1" t="s">
        <v>476</v>
      </c>
      <c r="T150" s="9" t="s">
        <v>1871</v>
      </c>
      <c r="V150" s="7" t="s">
        <v>1575</v>
      </c>
    </row>
    <row r="151" spans="1:22" x14ac:dyDescent="0.35">
      <c r="A151" s="1" t="s">
        <v>2039</v>
      </c>
      <c r="C151" s="1" t="s">
        <v>87</v>
      </c>
      <c r="E151" s="1" t="s">
        <v>226</v>
      </c>
      <c r="F151" s="1" t="s">
        <v>375</v>
      </c>
      <c r="G151" s="1">
        <v>1</v>
      </c>
      <c r="H151" s="1" t="s">
        <v>222</v>
      </c>
      <c r="I151" s="1" t="s">
        <v>375</v>
      </c>
      <c r="K151" s="8" t="s">
        <v>190</v>
      </c>
      <c r="L151" s="8" t="s">
        <v>851</v>
      </c>
      <c r="M151" s="8">
        <v>1</v>
      </c>
      <c r="N151" s="8" t="s">
        <v>476</v>
      </c>
      <c r="P151" s="1" t="s">
        <v>1811</v>
      </c>
      <c r="Q151" s="1" t="s">
        <v>833</v>
      </c>
      <c r="R151" s="1" t="s">
        <v>1875</v>
      </c>
      <c r="S151" s="1" t="s">
        <v>476</v>
      </c>
      <c r="V151" s="7" t="s">
        <v>1575</v>
      </c>
    </row>
    <row r="152" spans="1:22" x14ac:dyDescent="0.35">
      <c r="A152" s="1" t="s">
        <v>2040</v>
      </c>
      <c r="C152" s="1" t="s">
        <v>88</v>
      </c>
      <c r="E152" s="1" t="s">
        <v>226</v>
      </c>
      <c r="F152" s="1" t="s">
        <v>376</v>
      </c>
      <c r="G152" s="1">
        <v>1</v>
      </c>
      <c r="K152" s="8" t="s">
        <v>190</v>
      </c>
      <c r="L152" s="8" t="s">
        <v>841</v>
      </c>
      <c r="M152" s="8">
        <v>0</v>
      </c>
      <c r="N152" s="8"/>
      <c r="P152" s="1" t="s">
        <v>1811</v>
      </c>
      <c r="Q152" s="1" t="s">
        <v>832</v>
      </c>
      <c r="R152" s="1" t="s">
        <v>1502</v>
      </c>
      <c r="S152" s="1" t="s">
        <v>476</v>
      </c>
    </row>
    <row r="153" spans="1:22" x14ac:dyDescent="0.35">
      <c r="A153" s="1" t="s">
        <v>2041</v>
      </c>
      <c r="C153" s="1" t="s">
        <v>89</v>
      </c>
      <c r="E153" s="1" t="s">
        <v>226</v>
      </c>
      <c r="F153" s="1" t="s">
        <v>416</v>
      </c>
      <c r="G153" s="1">
        <v>0</v>
      </c>
      <c r="H153" s="1" t="s">
        <v>289</v>
      </c>
      <c r="I153" s="1" t="s">
        <v>416</v>
      </c>
      <c r="K153" s="8" t="s">
        <v>190</v>
      </c>
      <c r="L153" s="8" t="s">
        <v>842</v>
      </c>
      <c r="M153" s="8">
        <v>0</v>
      </c>
      <c r="N153" s="8"/>
      <c r="P153" s="1" t="s">
        <v>1811</v>
      </c>
      <c r="Q153" s="1" t="s">
        <v>847</v>
      </c>
      <c r="R153" s="1" t="s">
        <v>1713</v>
      </c>
      <c r="S153" s="1" t="s">
        <v>476</v>
      </c>
    </row>
    <row r="154" spans="1:22" x14ac:dyDescent="0.35">
      <c r="A154" s="1" t="s">
        <v>2042</v>
      </c>
      <c r="C154" s="1" t="s">
        <v>90</v>
      </c>
      <c r="E154" s="1" t="s">
        <v>226</v>
      </c>
      <c r="F154" s="1" t="s">
        <v>395</v>
      </c>
      <c r="G154" s="1">
        <v>0</v>
      </c>
      <c r="H154" s="1" t="s">
        <v>183</v>
      </c>
      <c r="I154" s="1" t="s">
        <v>395</v>
      </c>
      <c r="K154" s="8" t="s">
        <v>190</v>
      </c>
      <c r="L154" s="8" t="s">
        <v>825</v>
      </c>
      <c r="M154" s="8">
        <v>1</v>
      </c>
      <c r="N154" s="8" t="s">
        <v>476</v>
      </c>
      <c r="P154" s="1" t="s">
        <v>1760</v>
      </c>
      <c r="Q154" s="1" t="s">
        <v>386</v>
      </c>
      <c r="R154" s="1" t="s">
        <v>1761</v>
      </c>
      <c r="S154" s="1" t="s">
        <v>517</v>
      </c>
      <c r="T154" s="9" t="s">
        <v>1872</v>
      </c>
    </row>
    <row r="155" spans="1:22" x14ac:dyDescent="0.35">
      <c r="A155" s="1" t="s">
        <v>2043</v>
      </c>
      <c r="C155" s="1" t="s">
        <v>300</v>
      </c>
      <c r="E155" s="1" t="s">
        <v>226</v>
      </c>
      <c r="F155" s="1" t="s">
        <v>415</v>
      </c>
      <c r="G155" s="1">
        <v>0</v>
      </c>
      <c r="H155" s="1" t="s">
        <v>288</v>
      </c>
      <c r="I155" s="1" t="s">
        <v>415</v>
      </c>
      <c r="K155" s="8" t="s">
        <v>190</v>
      </c>
      <c r="L155" s="8" t="s">
        <v>833</v>
      </c>
      <c r="M155" s="8">
        <v>0</v>
      </c>
      <c r="N155" s="8"/>
      <c r="P155" s="1" t="s">
        <v>1760</v>
      </c>
      <c r="Q155" s="1" t="s">
        <v>521</v>
      </c>
      <c r="R155" s="1" t="s">
        <v>1762</v>
      </c>
      <c r="S155" s="1">
        <v>0</v>
      </c>
      <c r="T155" s="9" t="s">
        <v>1873</v>
      </c>
    </row>
    <row r="156" spans="1:22" x14ac:dyDescent="0.35">
      <c r="A156" s="1" t="s">
        <v>2044</v>
      </c>
      <c r="C156" s="1" t="s">
        <v>91</v>
      </c>
      <c r="E156" s="1" t="s">
        <v>226</v>
      </c>
      <c r="F156" s="1" t="s">
        <v>380</v>
      </c>
      <c r="G156" s="1">
        <v>0</v>
      </c>
      <c r="H156" s="1" t="s">
        <v>284</v>
      </c>
      <c r="I156" s="1" t="s">
        <v>380</v>
      </c>
      <c r="K156" s="8" t="s">
        <v>190</v>
      </c>
      <c r="L156" s="8" t="s">
        <v>828</v>
      </c>
      <c r="M156" s="8">
        <v>1</v>
      </c>
      <c r="N156" s="8" t="s">
        <v>1005</v>
      </c>
      <c r="P156" s="1" t="s">
        <v>1760</v>
      </c>
      <c r="Q156" s="1" t="s">
        <v>520</v>
      </c>
      <c r="R156" s="1" t="s">
        <v>1763</v>
      </c>
      <c r="S156" s="1">
        <v>0</v>
      </c>
      <c r="T156" s="9" t="s">
        <v>1874</v>
      </c>
    </row>
    <row r="157" spans="1:22" x14ac:dyDescent="0.35">
      <c r="A157" s="1" t="s">
        <v>2045</v>
      </c>
      <c r="C157" s="1" t="s">
        <v>92</v>
      </c>
      <c r="E157" s="1" t="s">
        <v>227</v>
      </c>
      <c r="F157" s="1" t="s">
        <v>393</v>
      </c>
      <c r="G157" s="1">
        <v>1</v>
      </c>
      <c r="H157" s="1" t="s">
        <v>226</v>
      </c>
      <c r="I157" s="1" t="s">
        <v>375</v>
      </c>
      <c r="K157" s="8" t="s">
        <v>190</v>
      </c>
      <c r="L157" s="8" t="s">
        <v>829</v>
      </c>
      <c r="M157" s="8">
        <v>1</v>
      </c>
      <c r="N157" s="8" t="s">
        <v>1005</v>
      </c>
      <c r="P157" s="1" t="s">
        <v>1760</v>
      </c>
      <c r="Q157" s="1" t="s">
        <v>519</v>
      </c>
      <c r="R157" s="1" t="s">
        <v>1764</v>
      </c>
      <c r="S157" s="1">
        <v>0</v>
      </c>
      <c r="T157" s="9" t="s">
        <v>1876</v>
      </c>
    </row>
    <row r="158" spans="1:22" x14ac:dyDescent="0.35">
      <c r="A158" s="1" t="s">
        <v>2046</v>
      </c>
      <c r="C158" s="1" t="s">
        <v>93</v>
      </c>
      <c r="E158" s="1" t="s">
        <v>227</v>
      </c>
      <c r="F158" s="1" t="s">
        <v>394</v>
      </c>
      <c r="G158" s="1">
        <v>1</v>
      </c>
      <c r="H158" s="1" t="s">
        <v>226</v>
      </c>
      <c r="I158" s="1" t="s">
        <v>376</v>
      </c>
      <c r="K158" s="8" t="s">
        <v>190</v>
      </c>
      <c r="L158" s="8" t="s">
        <v>480</v>
      </c>
      <c r="M158" s="8">
        <v>0</v>
      </c>
      <c r="N158" s="8"/>
    </row>
    <row r="159" spans="1:22" x14ac:dyDescent="0.35">
      <c r="A159" s="1" t="s">
        <v>2047</v>
      </c>
      <c r="C159" s="1" t="s">
        <v>94</v>
      </c>
      <c r="E159" s="1" t="s">
        <v>227</v>
      </c>
      <c r="F159" s="1" t="s">
        <v>375</v>
      </c>
      <c r="G159" s="1">
        <v>1</v>
      </c>
      <c r="H159" s="1" t="s">
        <v>226</v>
      </c>
      <c r="I159" s="1" t="s">
        <v>375</v>
      </c>
      <c r="K159" s="8" t="s">
        <v>190</v>
      </c>
      <c r="L159" s="8" t="s">
        <v>481</v>
      </c>
      <c r="M159" s="8">
        <v>0</v>
      </c>
      <c r="N159" s="8"/>
    </row>
    <row r="160" spans="1:22" x14ac:dyDescent="0.35">
      <c r="A160" s="1" t="s">
        <v>2048</v>
      </c>
      <c r="C160" s="1" t="s">
        <v>95</v>
      </c>
      <c r="E160" s="1" t="s">
        <v>227</v>
      </c>
      <c r="F160" s="1" t="s">
        <v>376</v>
      </c>
      <c r="G160" s="1">
        <v>1</v>
      </c>
      <c r="H160" s="1" t="s">
        <v>226</v>
      </c>
      <c r="I160" s="1" t="s">
        <v>376</v>
      </c>
      <c r="K160" s="8" t="s">
        <v>190</v>
      </c>
      <c r="L160" s="8" t="s">
        <v>482</v>
      </c>
      <c r="M160" s="8">
        <v>0</v>
      </c>
      <c r="N160" s="8"/>
    </row>
    <row r="161" spans="1:14" x14ac:dyDescent="0.35">
      <c r="A161" s="1" t="s">
        <v>2049</v>
      </c>
      <c r="C161" s="1" t="s">
        <v>96</v>
      </c>
      <c r="E161" s="1" t="s">
        <v>228</v>
      </c>
      <c r="F161" s="1" t="s">
        <v>405</v>
      </c>
      <c r="G161" s="1">
        <v>0</v>
      </c>
      <c r="H161" s="1" t="s">
        <v>207</v>
      </c>
      <c r="I161" s="1" t="s">
        <v>405</v>
      </c>
      <c r="K161" s="8" t="s">
        <v>190</v>
      </c>
      <c r="L161" s="8" t="s">
        <v>483</v>
      </c>
      <c r="M161" s="8">
        <v>0</v>
      </c>
      <c r="N161" s="8"/>
    </row>
    <row r="162" spans="1:14" x14ac:dyDescent="0.35">
      <c r="A162" s="1" t="s">
        <v>2050</v>
      </c>
      <c r="C162" s="1" t="s">
        <v>97</v>
      </c>
      <c r="E162" s="1" t="s">
        <v>228</v>
      </c>
      <c r="F162" s="1" t="s">
        <v>417</v>
      </c>
      <c r="G162" s="1">
        <v>1</v>
      </c>
      <c r="K162" s="8" t="s">
        <v>190</v>
      </c>
      <c r="L162" s="8" t="s">
        <v>484</v>
      </c>
      <c r="M162" s="8">
        <v>0</v>
      </c>
      <c r="N162" s="8"/>
    </row>
    <row r="163" spans="1:14" x14ac:dyDescent="0.35">
      <c r="A163" s="1" t="s">
        <v>2051</v>
      </c>
      <c r="C163" s="1" t="s">
        <v>98</v>
      </c>
      <c r="E163" s="1" t="s">
        <v>229</v>
      </c>
      <c r="F163" s="1" t="s">
        <v>405</v>
      </c>
      <c r="G163" s="1">
        <v>0</v>
      </c>
      <c r="H163" s="1" t="s">
        <v>207</v>
      </c>
      <c r="I163" s="1" t="s">
        <v>405</v>
      </c>
      <c r="K163" s="8" t="s">
        <v>190</v>
      </c>
      <c r="L163" s="8" t="s">
        <v>848</v>
      </c>
      <c r="M163" s="8">
        <v>0</v>
      </c>
      <c r="N163" s="8"/>
    </row>
    <row r="164" spans="1:14" x14ac:dyDescent="0.35">
      <c r="A164" s="1" t="s">
        <v>2052</v>
      </c>
      <c r="C164" s="1" t="s">
        <v>99</v>
      </c>
      <c r="E164" s="1" t="s">
        <v>229</v>
      </c>
      <c r="F164" s="1" t="s">
        <v>410</v>
      </c>
      <c r="G164" s="1">
        <v>1</v>
      </c>
      <c r="K164" s="8" t="s">
        <v>190</v>
      </c>
      <c r="L164" s="8" t="s">
        <v>379</v>
      </c>
      <c r="M164" s="8">
        <v>0</v>
      </c>
      <c r="N164" s="8"/>
    </row>
    <row r="165" spans="1:14" x14ac:dyDescent="0.35">
      <c r="A165" s="1" t="s">
        <v>2053</v>
      </c>
      <c r="C165" s="1" t="s">
        <v>100</v>
      </c>
      <c r="E165" s="1" t="s">
        <v>230</v>
      </c>
      <c r="F165" s="1" t="s">
        <v>418</v>
      </c>
      <c r="G165" s="1">
        <v>1</v>
      </c>
      <c r="K165" s="8" t="s">
        <v>190</v>
      </c>
      <c r="L165" s="8" t="s">
        <v>859</v>
      </c>
      <c r="M165" s="8">
        <v>1</v>
      </c>
      <c r="N165" s="8" t="s">
        <v>476</v>
      </c>
    </row>
    <row r="166" spans="1:14" x14ac:dyDescent="0.35">
      <c r="A166" s="1" t="s">
        <v>2054</v>
      </c>
      <c r="C166" s="1" t="s">
        <v>101</v>
      </c>
      <c r="E166" s="1" t="s">
        <v>231</v>
      </c>
      <c r="F166" s="1" t="s">
        <v>420</v>
      </c>
      <c r="G166" s="1">
        <v>1</v>
      </c>
      <c r="H166" s="1" t="s">
        <v>251</v>
      </c>
      <c r="I166" s="1" t="s">
        <v>371</v>
      </c>
      <c r="K166" s="8" t="s">
        <v>190</v>
      </c>
      <c r="L166" s="8" t="s">
        <v>861</v>
      </c>
      <c r="M166" s="8">
        <v>1</v>
      </c>
      <c r="N166" s="8" t="s">
        <v>476</v>
      </c>
    </row>
    <row r="167" spans="1:14" x14ac:dyDescent="0.35">
      <c r="A167" s="1" t="s">
        <v>290</v>
      </c>
      <c r="C167" s="1" t="s">
        <v>102</v>
      </c>
      <c r="E167" s="1" t="s">
        <v>231</v>
      </c>
      <c r="F167" s="1" t="s">
        <v>419</v>
      </c>
      <c r="G167" s="1">
        <v>1</v>
      </c>
      <c r="H167" s="1" t="s">
        <v>251</v>
      </c>
      <c r="I167" s="1" t="s">
        <v>370</v>
      </c>
      <c r="K167" s="8" t="s">
        <v>190</v>
      </c>
      <c r="L167" s="8" t="s">
        <v>863</v>
      </c>
      <c r="M167" s="8">
        <v>1</v>
      </c>
      <c r="N167" s="8" t="s">
        <v>476</v>
      </c>
    </row>
    <row r="168" spans="1:14" x14ac:dyDescent="0.35">
      <c r="A168" s="1" t="s">
        <v>2055</v>
      </c>
      <c r="C168" s="1" t="s">
        <v>103</v>
      </c>
      <c r="E168" s="1" t="s">
        <v>231</v>
      </c>
      <c r="F168" s="1" t="s">
        <v>375</v>
      </c>
      <c r="G168" s="1">
        <v>1</v>
      </c>
      <c r="H168" s="1" t="s">
        <v>226</v>
      </c>
      <c r="I168" s="1" t="s">
        <v>375</v>
      </c>
      <c r="K168" s="8" t="s">
        <v>190</v>
      </c>
      <c r="L168" s="8" t="s">
        <v>860</v>
      </c>
      <c r="M168" s="8">
        <v>0</v>
      </c>
      <c r="N168" s="8"/>
    </row>
    <row r="169" spans="1:14" x14ac:dyDescent="0.35">
      <c r="A169" s="1" t="s">
        <v>2056</v>
      </c>
      <c r="C169" s="1" t="s">
        <v>104</v>
      </c>
      <c r="E169" s="1" t="s">
        <v>231</v>
      </c>
      <c r="F169" s="1" t="s">
        <v>376</v>
      </c>
      <c r="G169" s="1">
        <v>1</v>
      </c>
      <c r="H169" s="1" t="s">
        <v>226</v>
      </c>
      <c r="I169" s="1" t="s">
        <v>376</v>
      </c>
      <c r="K169" s="8" t="s">
        <v>190</v>
      </c>
      <c r="L169" s="8" t="s">
        <v>862</v>
      </c>
      <c r="M169" s="8">
        <v>0</v>
      </c>
      <c r="N169" s="8"/>
    </row>
    <row r="170" spans="1:14" x14ac:dyDescent="0.35">
      <c r="A170" s="1" t="s">
        <v>2057</v>
      </c>
      <c r="C170" s="1" t="s">
        <v>105</v>
      </c>
      <c r="E170" s="1" t="s">
        <v>231</v>
      </c>
      <c r="F170" s="1" t="s">
        <v>371</v>
      </c>
      <c r="G170" s="1">
        <v>1</v>
      </c>
      <c r="H170" s="1" t="s">
        <v>251</v>
      </c>
      <c r="I170" s="1" t="s">
        <v>371</v>
      </c>
      <c r="K170" s="8" t="s">
        <v>190</v>
      </c>
      <c r="L170" s="8" t="s">
        <v>858</v>
      </c>
      <c r="M170" s="8">
        <v>1</v>
      </c>
      <c r="N170" s="8" t="s">
        <v>476</v>
      </c>
    </row>
    <row r="171" spans="1:14" x14ac:dyDescent="0.35">
      <c r="A171" s="1" t="s">
        <v>2058</v>
      </c>
      <c r="C171" s="1" t="s">
        <v>106</v>
      </c>
      <c r="E171" s="1" t="s">
        <v>231</v>
      </c>
      <c r="F171" s="1" t="s">
        <v>370</v>
      </c>
      <c r="G171" s="1">
        <v>1</v>
      </c>
      <c r="H171" s="1" t="s">
        <v>251</v>
      </c>
      <c r="I171" s="1" t="s">
        <v>370</v>
      </c>
      <c r="K171" s="8" t="s">
        <v>190</v>
      </c>
      <c r="L171" s="8" t="s">
        <v>558</v>
      </c>
      <c r="M171" s="8">
        <v>1</v>
      </c>
      <c r="N171" s="8" t="s">
        <v>517</v>
      </c>
    </row>
    <row r="172" spans="1:14" x14ac:dyDescent="0.35">
      <c r="A172" s="1" t="s">
        <v>2059</v>
      </c>
      <c r="C172" s="1" t="s">
        <v>107</v>
      </c>
      <c r="E172" s="1" t="s">
        <v>232</v>
      </c>
      <c r="F172" s="1" t="s">
        <v>420</v>
      </c>
      <c r="G172" s="1">
        <v>1</v>
      </c>
      <c r="H172" s="1" t="s">
        <v>251</v>
      </c>
      <c r="I172" s="1" t="s">
        <v>371</v>
      </c>
      <c r="K172" s="8" t="s">
        <v>190</v>
      </c>
      <c r="L172" s="8" t="s">
        <v>809</v>
      </c>
      <c r="M172" s="8">
        <v>0</v>
      </c>
      <c r="N172" s="8"/>
    </row>
    <row r="173" spans="1:14" x14ac:dyDescent="0.35">
      <c r="A173" s="1" t="s">
        <v>2060</v>
      </c>
      <c r="C173" s="1" t="s">
        <v>108</v>
      </c>
      <c r="E173" s="1" t="s">
        <v>232</v>
      </c>
      <c r="F173" s="1" t="s">
        <v>419</v>
      </c>
      <c r="G173" s="1">
        <v>1</v>
      </c>
      <c r="H173" s="1" t="s">
        <v>251</v>
      </c>
      <c r="I173" s="1" t="s">
        <v>370</v>
      </c>
      <c r="K173" s="8" t="s">
        <v>190</v>
      </c>
      <c r="L173" s="8" t="s">
        <v>812</v>
      </c>
      <c r="M173" s="8">
        <v>0</v>
      </c>
      <c r="N173" s="8" t="s">
        <v>746</v>
      </c>
    </row>
    <row r="174" spans="1:14" x14ac:dyDescent="0.35">
      <c r="A174" s="1" t="s">
        <v>291</v>
      </c>
      <c r="C174" s="1" t="s">
        <v>109</v>
      </c>
      <c r="E174" s="1" t="s">
        <v>232</v>
      </c>
      <c r="F174" s="1" t="s">
        <v>375</v>
      </c>
      <c r="G174" s="1">
        <v>1</v>
      </c>
      <c r="H174" s="1" t="s">
        <v>222</v>
      </c>
      <c r="I174" s="1" t="s">
        <v>375</v>
      </c>
      <c r="K174" s="8" t="s">
        <v>190</v>
      </c>
      <c r="L174" s="8" t="s">
        <v>822</v>
      </c>
      <c r="M174" s="8">
        <v>0</v>
      </c>
      <c r="N174" s="8"/>
    </row>
    <row r="175" spans="1:14" x14ac:dyDescent="0.35">
      <c r="A175" s="1" t="s">
        <v>2061</v>
      </c>
      <c r="C175" s="1" t="s">
        <v>110</v>
      </c>
      <c r="E175" s="1" t="s">
        <v>232</v>
      </c>
      <c r="F175" s="1" t="s">
        <v>371</v>
      </c>
      <c r="G175" s="1">
        <v>1</v>
      </c>
      <c r="H175" s="1" t="s">
        <v>251</v>
      </c>
      <c r="I175" s="1" t="s">
        <v>371</v>
      </c>
      <c r="K175" s="8" t="s">
        <v>190</v>
      </c>
      <c r="L175" s="8" t="s">
        <v>844</v>
      </c>
      <c r="M175" s="8">
        <v>1</v>
      </c>
      <c r="N175" s="8" t="s">
        <v>476</v>
      </c>
    </row>
    <row r="176" spans="1:14" x14ac:dyDescent="0.35">
      <c r="A176" s="1" t="s">
        <v>2062</v>
      </c>
      <c r="C176" s="1" t="s">
        <v>111</v>
      </c>
      <c r="E176" s="1" t="s">
        <v>232</v>
      </c>
      <c r="F176" s="1" t="s">
        <v>370</v>
      </c>
      <c r="G176" s="1">
        <v>1</v>
      </c>
      <c r="H176" s="1" t="s">
        <v>251</v>
      </c>
      <c r="I176" s="1" t="s">
        <v>370</v>
      </c>
      <c r="K176" s="8" t="s">
        <v>190</v>
      </c>
      <c r="L176" s="8" t="s">
        <v>843</v>
      </c>
      <c r="M176" s="8">
        <v>1</v>
      </c>
      <c r="N176" s="8" t="s">
        <v>1006</v>
      </c>
    </row>
    <row r="177" spans="1:14" x14ac:dyDescent="0.35">
      <c r="A177" s="1" t="s">
        <v>2063</v>
      </c>
      <c r="C177" s="1" t="s">
        <v>112</v>
      </c>
      <c r="E177" s="1" t="s">
        <v>233</v>
      </c>
      <c r="F177" s="1" t="s">
        <v>420</v>
      </c>
      <c r="G177" s="1">
        <v>1</v>
      </c>
      <c r="H177" s="1" t="s">
        <v>251</v>
      </c>
      <c r="I177" s="1" t="s">
        <v>371</v>
      </c>
      <c r="K177" s="8" t="s">
        <v>190</v>
      </c>
      <c r="L177" s="8" t="s">
        <v>561</v>
      </c>
      <c r="M177" s="8">
        <v>0</v>
      </c>
      <c r="N177" s="8"/>
    </row>
    <row r="178" spans="1:14" x14ac:dyDescent="0.35">
      <c r="A178" s="1" t="s">
        <v>2064</v>
      </c>
      <c r="C178" s="1" t="s">
        <v>113</v>
      </c>
      <c r="E178" s="1" t="s">
        <v>233</v>
      </c>
      <c r="F178" s="1" t="s">
        <v>419</v>
      </c>
      <c r="G178" s="1">
        <v>1</v>
      </c>
      <c r="H178" s="1" t="s">
        <v>251</v>
      </c>
      <c r="I178" s="1" t="s">
        <v>370</v>
      </c>
      <c r="K178" s="8" t="s">
        <v>190</v>
      </c>
      <c r="L178" s="8" t="s">
        <v>830</v>
      </c>
      <c r="M178" s="8">
        <v>0</v>
      </c>
      <c r="N178" s="8"/>
    </row>
    <row r="179" spans="1:14" x14ac:dyDescent="0.35">
      <c r="A179" s="1" t="s">
        <v>2065</v>
      </c>
      <c r="C179" s="1" t="s">
        <v>114</v>
      </c>
      <c r="E179" s="1" t="s">
        <v>233</v>
      </c>
      <c r="F179" s="1" t="s">
        <v>371</v>
      </c>
      <c r="G179" s="1">
        <v>1</v>
      </c>
      <c r="H179" s="1" t="s">
        <v>251</v>
      </c>
      <c r="I179" s="1" t="s">
        <v>371</v>
      </c>
      <c r="K179" s="8" t="s">
        <v>190</v>
      </c>
      <c r="L179" s="8" t="s">
        <v>816</v>
      </c>
      <c r="M179" s="8">
        <v>1</v>
      </c>
      <c r="N179" s="8" t="s">
        <v>476</v>
      </c>
    </row>
    <row r="180" spans="1:14" x14ac:dyDescent="0.35">
      <c r="A180" s="1" t="s">
        <v>2066</v>
      </c>
      <c r="C180" s="1" t="s">
        <v>115</v>
      </c>
      <c r="E180" s="1" t="s">
        <v>233</v>
      </c>
      <c r="F180" s="1" t="s">
        <v>370</v>
      </c>
      <c r="G180" s="1">
        <v>1</v>
      </c>
      <c r="H180" s="1" t="s">
        <v>251</v>
      </c>
      <c r="I180" s="1" t="s">
        <v>370</v>
      </c>
      <c r="K180" s="8" t="s">
        <v>190</v>
      </c>
      <c r="L180" s="8" t="s">
        <v>810</v>
      </c>
      <c r="M180" s="8">
        <v>1</v>
      </c>
      <c r="N180" s="8" t="s">
        <v>517</v>
      </c>
    </row>
    <row r="181" spans="1:14" x14ac:dyDescent="0.35">
      <c r="A181" s="1" t="s">
        <v>2067</v>
      </c>
      <c r="C181" s="1" t="s">
        <v>301</v>
      </c>
      <c r="E181" s="1" t="s">
        <v>234</v>
      </c>
      <c r="F181" s="1" t="s">
        <v>375</v>
      </c>
      <c r="G181" s="1">
        <v>1</v>
      </c>
      <c r="H181" s="1" t="s">
        <v>226</v>
      </c>
      <c r="I181" s="1" t="s">
        <v>375</v>
      </c>
      <c r="K181" s="8" t="s">
        <v>190</v>
      </c>
      <c r="L181" s="8" t="s">
        <v>879</v>
      </c>
      <c r="M181" s="8">
        <v>0</v>
      </c>
      <c r="N181" s="8"/>
    </row>
    <row r="182" spans="1:14" x14ac:dyDescent="0.35">
      <c r="A182" s="1" t="s">
        <v>2068</v>
      </c>
      <c r="C182" s="1" t="s">
        <v>116</v>
      </c>
      <c r="E182" s="1" t="s">
        <v>234</v>
      </c>
      <c r="F182" s="1" t="s">
        <v>376</v>
      </c>
      <c r="G182" s="1">
        <v>1</v>
      </c>
      <c r="H182" s="1" t="s">
        <v>226</v>
      </c>
      <c r="I182" s="1" t="s">
        <v>376</v>
      </c>
      <c r="K182" s="8" t="s">
        <v>190</v>
      </c>
      <c r="L182" s="8" t="s">
        <v>880</v>
      </c>
      <c r="M182" s="8">
        <v>0</v>
      </c>
      <c r="N182" s="8"/>
    </row>
    <row r="183" spans="1:14" x14ac:dyDescent="0.35">
      <c r="A183" s="1" t="s">
        <v>2069</v>
      </c>
      <c r="C183" s="1" t="s">
        <v>117</v>
      </c>
      <c r="E183" s="1" t="s">
        <v>234</v>
      </c>
      <c r="F183" s="1" t="s">
        <v>422</v>
      </c>
      <c r="G183" s="1">
        <v>1</v>
      </c>
      <c r="K183" s="8" t="s">
        <v>190</v>
      </c>
      <c r="L183" s="8" t="s">
        <v>821</v>
      </c>
      <c r="M183" s="8">
        <v>0</v>
      </c>
      <c r="N183" s="8"/>
    </row>
    <row r="184" spans="1:14" x14ac:dyDescent="0.35">
      <c r="A184" s="1" t="s">
        <v>2070</v>
      </c>
      <c r="C184" s="1" t="s">
        <v>118</v>
      </c>
      <c r="E184" s="1" t="s">
        <v>234</v>
      </c>
      <c r="F184" s="1" t="s">
        <v>423</v>
      </c>
      <c r="G184" s="1">
        <v>1</v>
      </c>
      <c r="K184" s="8" t="s">
        <v>190</v>
      </c>
      <c r="L184" s="8" t="s">
        <v>834</v>
      </c>
      <c r="M184" s="8">
        <v>0</v>
      </c>
      <c r="N184" s="8" t="s">
        <v>476</v>
      </c>
    </row>
    <row r="185" spans="1:14" x14ac:dyDescent="0.35">
      <c r="A185" s="1" t="s">
        <v>2071</v>
      </c>
      <c r="C185" s="1" t="s">
        <v>119</v>
      </c>
      <c r="E185" s="1" t="s">
        <v>234</v>
      </c>
      <c r="F185" s="1" t="s">
        <v>421</v>
      </c>
      <c r="G185" s="1">
        <v>1</v>
      </c>
      <c r="K185" s="8" t="s">
        <v>190</v>
      </c>
      <c r="L185" s="8" t="s">
        <v>836</v>
      </c>
      <c r="M185" s="8">
        <v>0</v>
      </c>
      <c r="N185" s="8" t="s">
        <v>476</v>
      </c>
    </row>
    <row r="186" spans="1:14" x14ac:dyDescent="0.35">
      <c r="A186" s="1" t="s">
        <v>2072</v>
      </c>
      <c r="C186" s="1" t="s">
        <v>120</v>
      </c>
      <c r="E186" s="1" t="s">
        <v>234</v>
      </c>
      <c r="F186" s="1" t="s">
        <v>370</v>
      </c>
      <c r="G186" s="1">
        <v>1</v>
      </c>
      <c r="H186" s="1" t="s">
        <v>281</v>
      </c>
      <c r="I186" s="1" t="s">
        <v>370</v>
      </c>
      <c r="K186" s="8" t="s">
        <v>190</v>
      </c>
      <c r="L186" s="8" t="s">
        <v>835</v>
      </c>
      <c r="M186" s="8">
        <v>0</v>
      </c>
      <c r="N186" s="8" t="s">
        <v>476</v>
      </c>
    </row>
    <row r="187" spans="1:14" x14ac:dyDescent="0.35">
      <c r="A187" s="1" t="s">
        <v>2073</v>
      </c>
      <c r="C187" s="1" t="s">
        <v>121</v>
      </c>
      <c r="E187" s="1" t="s">
        <v>235</v>
      </c>
      <c r="F187" s="1" t="s">
        <v>375</v>
      </c>
      <c r="G187" s="1">
        <v>1</v>
      </c>
      <c r="H187" s="1" t="s">
        <v>222</v>
      </c>
      <c r="I187" s="1" t="s">
        <v>375</v>
      </c>
      <c r="K187" s="8" t="s">
        <v>190</v>
      </c>
      <c r="L187" s="8" t="s">
        <v>831</v>
      </c>
      <c r="M187" s="8">
        <v>0</v>
      </c>
      <c r="N187" s="8"/>
    </row>
    <row r="188" spans="1:14" x14ac:dyDescent="0.35">
      <c r="A188" s="1" t="s">
        <v>2074</v>
      </c>
      <c r="C188" s="1" t="s">
        <v>122</v>
      </c>
      <c r="E188" s="1" t="s">
        <v>235</v>
      </c>
      <c r="F188" s="1" t="s">
        <v>425</v>
      </c>
      <c r="G188" s="1">
        <v>1</v>
      </c>
      <c r="K188" s="8" t="s">
        <v>190</v>
      </c>
      <c r="L188" s="8" t="s">
        <v>854</v>
      </c>
      <c r="M188" s="8">
        <v>1</v>
      </c>
      <c r="N188" s="8" t="s">
        <v>476</v>
      </c>
    </row>
    <row r="189" spans="1:14" x14ac:dyDescent="0.35">
      <c r="A189" s="1" t="s">
        <v>2075</v>
      </c>
      <c r="C189" s="1" t="s">
        <v>123</v>
      </c>
      <c r="E189" s="1" t="s">
        <v>235</v>
      </c>
      <c r="F189" s="1" t="s">
        <v>426</v>
      </c>
      <c r="G189" s="1">
        <v>1</v>
      </c>
      <c r="K189" s="8" t="s">
        <v>190</v>
      </c>
      <c r="L189" s="8" t="s">
        <v>813</v>
      </c>
      <c r="M189" s="8">
        <v>1</v>
      </c>
      <c r="N189" s="8" t="s">
        <v>476</v>
      </c>
    </row>
    <row r="190" spans="1:14" x14ac:dyDescent="0.35">
      <c r="A190" s="1" t="s">
        <v>2076</v>
      </c>
      <c r="C190" s="1" t="s">
        <v>124</v>
      </c>
      <c r="E190" s="1" t="s">
        <v>235</v>
      </c>
      <c r="F190" s="1" t="s">
        <v>424</v>
      </c>
      <c r="G190" s="1">
        <v>1</v>
      </c>
      <c r="K190" s="8" t="s">
        <v>190</v>
      </c>
      <c r="L190" s="8" t="s">
        <v>867</v>
      </c>
      <c r="M190" s="8">
        <v>1</v>
      </c>
      <c r="N190" s="8" t="s">
        <v>476</v>
      </c>
    </row>
    <row r="191" spans="1:14" x14ac:dyDescent="0.35">
      <c r="A191" s="1" t="s">
        <v>2077</v>
      </c>
      <c r="C191" s="1" t="s">
        <v>125</v>
      </c>
      <c r="E191" s="1" t="s">
        <v>235</v>
      </c>
      <c r="F191" s="1" t="s">
        <v>370</v>
      </c>
      <c r="G191" s="1">
        <v>1</v>
      </c>
      <c r="H191" s="1" t="s">
        <v>281</v>
      </c>
      <c r="I191" s="1" t="s">
        <v>370</v>
      </c>
      <c r="K191" s="8" t="s">
        <v>190</v>
      </c>
      <c r="L191" s="8" t="s">
        <v>486</v>
      </c>
      <c r="M191" s="8">
        <v>0</v>
      </c>
      <c r="N191" s="8"/>
    </row>
    <row r="192" spans="1:14" x14ac:dyDescent="0.35">
      <c r="A192" s="1" t="s">
        <v>2078</v>
      </c>
      <c r="C192" s="1" t="s">
        <v>126</v>
      </c>
      <c r="E192" s="1" t="s">
        <v>236</v>
      </c>
      <c r="F192" s="1" t="s">
        <v>428</v>
      </c>
      <c r="G192" s="1">
        <v>1</v>
      </c>
      <c r="K192" s="8" t="s">
        <v>190</v>
      </c>
      <c r="L192" s="8" t="s">
        <v>487</v>
      </c>
      <c r="M192" s="8">
        <v>0</v>
      </c>
      <c r="N192" s="8"/>
    </row>
    <row r="193" spans="1:14" x14ac:dyDescent="0.35">
      <c r="A193" s="1" t="s">
        <v>2079</v>
      </c>
      <c r="C193" s="1" t="s">
        <v>127</v>
      </c>
      <c r="E193" s="1" t="s">
        <v>236</v>
      </c>
      <c r="F193" s="1" t="s">
        <v>429</v>
      </c>
      <c r="G193" s="1">
        <v>1</v>
      </c>
      <c r="K193" s="8" t="s">
        <v>190</v>
      </c>
      <c r="L193" s="8" t="s">
        <v>488</v>
      </c>
      <c r="M193" s="8">
        <v>0</v>
      </c>
      <c r="N193" s="8"/>
    </row>
    <row r="194" spans="1:14" x14ac:dyDescent="0.35">
      <c r="A194" s="1" t="s">
        <v>2080</v>
      </c>
      <c r="C194" s="1" t="s">
        <v>128</v>
      </c>
      <c r="E194" s="1" t="s">
        <v>236</v>
      </c>
      <c r="F194" s="1" t="s">
        <v>427</v>
      </c>
      <c r="G194" s="1">
        <v>1</v>
      </c>
      <c r="K194" s="8" t="s">
        <v>190</v>
      </c>
      <c r="L194" s="8" t="s">
        <v>489</v>
      </c>
      <c r="M194" s="8">
        <v>0</v>
      </c>
      <c r="N194" s="8"/>
    </row>
    <row r="195" spans="1:14" x14ac:dyDescent="0.35">
      <c r="A195" s="1" t="s">
        <v>2081</v>
      </c>
      <c r="C195" s="1" t="s">
        <v>129</v>
      </c>
      <c r="E195" s="1" t="s">
        <v>236</v>
      </c>
      <c r="F195" s="1" t="s">
        <v>370</v>
      </c>
      <c r="G195" s="1">
        <v>1</v>
      </c>
      <c r="H195" s="1" t="s">
        <v>281</v>
      </c>
      <c r="I195" s="1" t="s">
        <v>370</v>
      </c>
      <c r="K195" s="8" t="s">
        <v>190</v>
      </c>
      <c r="L195" s="8" t="s">
        <v>490</v>
      </c>
      <c r="M195" s="8">
        <v>0</v>
      </c>
      <c r="N195" s="8"/>
    </row>
    <row r="196" spans="1:14" x14ac:dyDescent="0.35">
      <c r="A196" s="1" t="s">
        <v>2082</v>
      </c>
      <c r="C196" s="1" t="s">
        <v>130</v>
      </c>
      <c r="E196" s="1" t="s">
        <v>237</v>
      </c>
      <c r="F196" s="1" t="s">
        <v>430</v>
      </c>
      <c r="G196" s="1">
        <v>1</v>
      </c>
      <c r="H196" s="1" t="s">
        <v>250</v>
      </c>
      <c r="I196" s="1" t="s">
        <v>388</v>
      </c>
      <c r="K196" s="8" t="s">
        <v>190</v>
      </c>
      <c r="L196" s="8" t="s">
        <v>814</v>
      </c>
      <c r="M196" s="8">
        <v>1</v>
      </c>
      <c r="N196" s="8" t="s">
        <v>1007</v>
      </c>
    </row>
    <row r="197" spans="1:14" x14ac:dyDescent="0.35">
      <c r="A197" s="1" t="s">
        <v>2083</v>
      </c>
      <c r="C197" s="1" t="s">
        <v>131</v>
      </c>
      <c r="E197" s="1" t="s">
        <v>237</v>
      </c>
      <c r="F197" s="1" t="s">
        <v>388</v>
      </c>
      <c r="G197" s="1">
        <v>1</v>
      </c>
      <c r="H197" s="1" t="s">
        <v>250</v>
      </c>
      <c r="I197" s="1" t="s">
        <v>388</v>
      </c>
      <c r="K197" s="8" t="s">
        <v>190</v>
      </c>
      <c r="L197" s="8" t="s">
        <v>815</v>
      </c>
      <c r="M197" s="8">
        <v>1</v>
      </c>
      <c r="N197" s="8" t="s">
        <v>476</v>
      </c>
    </row>
    <row r="198" spans="1:14" x14ac:dyDescent="0.35">
      <c r="A198" s="1" t="s">
        <v>2084</v>
      </c>
      <c r="C198" s="1" t="s">
        <v>132</v>
      </c>
      <c r="E198" s="1" t="s">
        <v>238</v>
      </c>
      <c r="F198" s="1" t="s">
        <v>431</v>
      </c>
      <c r="G198" s="1">
        <v>1</v>
      </c>
      <c r="H198" s="1" t="s">
        <v>286</v>
      </c>
      <c r="I198" s="1" t="s">
        <v>350</v>
      </c>
      <c r="K198" s="8" t="s">
        <v>190</v>
      </c>
      <c r="L198" s="8" t="s">
        <v>874</v>
      </c>
      <c r="M198" s="8">
        <v>0</v>
      </c>
      <c r="N198" s="8"/>
    </row>
    <row r="199" spans="1:14" x14ac:dyDescent="0.35">
      <c r="A199" s="1" t="s">
        <v>2085</v>
      </c>
      <c r="C199" s="1" t="s">
        <v>133</v>
      </c>
      <c r="E199" s="1" t="s">
        <v>238</v>
      </c>
      <c r="F199" s="1" t="s">
        <v>350</v>
      </c>
      <c r="G199" s="1">
        <v>1</v>
      </c>
      <c r="H199" s="1" t="s">
        <v>190</v>
      </c>
      <c r="I199" s="1" t="s">
        <v>350</v>
      </c>
      <c r="K199" s="8" t="s">
        <v>190</v>
      </c>
      <c r="L199" s="8" t="s">
        <v>872</v>
      </c>
      <c r="M199" s="8">
        <v>0</v>
      </c>
      <c r="N199" s="8"/>
    </row>
    <row r="200" spans="1:14" x14ac:dyDescent="0.35">
      <c r="A200" s="1" t="s">
        <v>2086</v>
      </c>
      <c r="C200" s="1" t="s">
        <v>134</v>
      </c>
      <c r="E200" s="1" t="s">
        <v>238</v>
      </c>
      <c r="F200" s="1" t="s">
        <v>436</v>
      </c>
      <c r="G200" s="1">
        <v>1</v>
      </c>
      <c r="K200" s="8" t="s">
        <v>190</v>
      </c>
      <c r="L200" s="8" t="s">
        <v>873</v>
      </c>
      <c r="M200" s="8">
        <v>0</v>
      </c>
      <c r="N200" s="8"/>
    </row>
    <row r="201" spans="1:14" x14ac:dyDescent="0.35">
      <c r="A201" s="1" t="s">
        <v>2087</v>
      </c>
      <c r="C201" s="1" t="s">
        <v>135</v>
      </c>
      <c r="E201" s="1" t="s">
        <v>238</v>
      </c>
      <c r="F201" s="1" t="s">
        <v>412</v>
      </c>
      <c r="G201" s="1">
        <v>1</v>
      </c>
      <c r="H201" s="1" t="s">
        <v>254</v>
      </c>
      <c r="I201" s="1" t="s">
        <v>412</v>
      </c>
      <c r="K201" s="8" t="s">
        <v>190</v>
      </c>
      <c r="L201" s="8" t="s">
        <v>840</v>
      </c>
      <c r="M201" s="8">
        <v>0</v>
      </c>
      <c r="N201" s="8"/>
    </row>
    <row r="202" spans="1:14" x14ac:dyDescent="0.35">
      <c r="A202" s="1" t="s">
        <v>2088</v>
      </c>
      <c r="C202" s="1" t="s">
        <v>136</v>
      </c>
      <c r="E202" s="1" t="s">
        <v>238</v>
      </c>
      <c r="F202" s="1" t="s">
        <v>435</v>
      </c>
      <c r="G202" s="1">
        <v>1</v>
      </c>
      <c r="H202" s="1" t="s">
        <v>254</v>
      </c>
      <c r="I202" s="1" t="s">
        <v>435</v>
      </c>
      <c r="K202" s="8" t="s">
        <v>190</v>
      </c>
      <c r="L202" s="8" t="s">
        <v>865</v>
      </c>
      <c r="M202" s="8">
        <v>1</v>
      </c>
      <c r="N202" s="8" t="s">
        <v>517</v>
      </c>
    </row>
    <row r="203" spans="1:14" x14ac:dyDescent="0.35">
      <c r="A203" s="1" t="s">
        <v>2089</v>
      </c>
      <c r="C203" s="1" t="s">
        <v>137</v>
      </c>
      <c r="E203" s="1" t="s">
        <v>238</v>
      </c>
      <c r="F203" s="1" t="s">
        <v>432</v>
      </c>
      <c r="G203" s="1">
        <v>1</v>
      </c>
      <c r="H203" s="1" t="s">
        <v>286</v>
      </c>
      <c r="I203" s="1" t="s">
        <v>432</v>
      </c>
      <c r="K203" s="8" t="s">
        <v>190</v>
      </c>
      <c r="L203" s="8" t="s">
        <v>824</v>
      </c>
      <c r="M203" s="8">
        <v>0</v>
      </c>
      <c r="N203" s="8"/>
    </row>
    <row r="204" spans="1:14" x14ac:dyDescent="0.35">
      <c r="A204" s="1" t="s">
        <v>2090</v>
      </c>
      <c r="C204" s="1" t="s">
        <v>138</v>
      </c>
      <c r="E204" s="1" t="s">
        <v>238</v>
      </c>
      <c r="F204" s="1" t="s">
        <v>433</v>
      </c>
      <c r="G204" s="1">
        <v>1</v>
      </c>
      <c r="H204" s="1" t="s">
        <v>286</v>
      </c>
      <c r="I204" s="1" t="s">
        <v>433</v>
      </c>
      <c r="K204" s="8" t="s">
        <v>190</v>
      </c>
      <c r="L204" s="8" t="s">
        <v>853</v>
      </c>
      <c r="M204" s="8">
        <v>1</v>
      </c>
      <c r="N204" s="8" t="s">
        <v>539</v>
      </c>
    </row>
    <row r="205" spans="1:14" x14ac:dyDescent="0.35">
      <c r="A205" s="1" t="s">
        <v>292</v>
      </c>
      <c r="C205" s="1" t="s">
        <v>139</v>
      </c>
      <c r="E205" s="1" t="s">
        <v>238</v>
      </c>
      <c r="F205" s="1" t="s">
        <v>434</v>
      </c>
      <c r="G205" s="1">
        <v>1</v>
      </c>
      <c r="H205" s="1" t="s">
        <v>286</v>
      </c>
      <c r="I205" s="1" t="s">
        <v>434</v>
      </c>
      <c r="K205" s="8" t="s">
        <v>190</v>
      </c>
      <c r="L205" s="8" t="s">
        <v>849</v>
      </c>
      <c r="M205" s="8">
        <v>1</v>
      </c>
      <c r="N205" s="8" t="s">
        <v>1009</v>
      </c>
    </row>
    <row r="206" spans="1:14" x14ac:dyDescent="0.35">
      <c r="A206" s="1" t="s">
        <v>2091</v>
      </c>
      <c r="C206" s="1" t="s">
        <v>140</v>
      </c>
      <c r="E206" s="1" t="s">
        <v>239</v>
      </c>
      <c r="F206" s="1" t="s">
        <v>431</v>
      </c>
      <c r="G206" s="1">
        <v>1</v>
      </c>
      <c r="H206" s="1" t="s">
        <v>286</v>
      </c>
      <c r="I206" s="1" t="s">
        <v>350</v>
      </c>
      <c r="K206" s="8" t="s">
        <v>190</v>
      </c>
      <c r="L206" s="8" t="s">
        <v>811</v>
      </c>
      <c r="M206" s="8">
        <v>1</v>
      </c>
      <c r="N206" s="8" t="s">
        <v>1008</v>
      </c>
    </row>
    <row r="207" spans="1:14" x14ac:dyDescent="0.35">
      <c r="A207" s="1" t="s">
        <v>2092</v>
      </c>
      <c r="C207" s="1" t="s">
        <v>141</v>
      </c>
      <c r="E207" s="1" t="s">
        <v>239</v>
      </c>
      <c r="F207" s="1" t="s">
        <v>350</v>
      </c>
      <c r="G207" s="1">
        <v>1</v>
      </c>
      <c r="H207" s="1" t="s">
        <v>190</v>
      </c>
      <c r="I207" s="1" t="s">
        <v>350</v>
      </c>
      <c r="K207" s="8" t="s">
        <v>190</v>
      </c>
      <c r="L207" s="8" t="s">
        <v>378</v>
      </c>
      <c r="M207" s="8">
        <v>0</v>
      </c>
      <c r="N207" s="8"/>
    </row>
    <row r="208" spans="1:14" x14ac:dyDescent="0.35">
      <c r="A208" s="1" t="s">
        <v>2093</v>
      </c>
      <c r="C208" s="1" t="s">
        <v>142</v>
      </c>
      <c r="E208" s="1" t="s">
        <v>239</v>
      </c>
      <c r="F208" s="1" t="s">
        <v>437</v>
      </c>
      <c r="G208" s="1">
        <v>1</v>
      </c>
      <c r="K208" s="8" t="s">
        <v>190</v>
      </c>
      <c r="L208" s="8" t="s">
        <v>491</v>
      </c>
      <c r="M208" s="8">
        <v>0</v>
      </c>
      <c r="N208" s="8"/>
    </row>
    <row r="209" spans="1:14" x14ac:dyDescent="0.35">
      <c r="A209" s="1" t="s">
        <v>2094</v>
      </c>
      <c r="C209" s="1" t="s">
        <v>143</v>
      </c>
      <c r="E209" s="1" t="s">
        <v>239</v>
      </c>
      <c r="F209" s="1" t="s">
        <v>412</v>
      </c>
      <c r="G209" s="1">
        <v>1</v>
      </c>
      <c r="H209" s="1" t="s">
        <v>254</v>
      </c>
      <c r="I209" s="1" t="s">
        <v>412</v>
      </c>
      <c r="K209" s="8" t="s">
        <v>190</v>
      </c>
      <c r="L209" s="8" t="s">
        <v>492</v>
      </c>
      <c r="M209" s="8">
        <v>0</v>
      </c>
      <c r="N209" s="8"/>
    </row>
    <row r="210" spans="1:14" x14ac:dyDescent="0.35">
      <c r="A210" s="1" t="s">
        <v>2095</v>
      </c>
      <c r="C210" s="1" t="s">
        <v>144</v>
      </c>
      <c r="E210" s="1" t="s">
        <v>239</v>
      </c>
      <c r="F210" s="1" t="s">
        <v>435</v>
      </c>
      <c r="G210" s="1">
        <v>1</v>
      </c>
      <c r="H210" s="1" t="s">
        <v>254</v>
      </c>
      <c r="I210" s="1" t="s">
        <v>435</v>
      </c>
      <c r="K210" s="8" t="s">
        <v>190</v>
      </c>
      <c r="L210" s="8" t="s">
        <v>493</v>
      </c>
      <c r="M210" s="8">
        <v>0</v>
      </c>
      <c r="N210" s="8"/>
    </row>
    <row r="211" spans="1:14" x14ac:dyDescent="0.35">
      <c r="A211" s="1" t="s">
        <v>2096</v>
      </c>
      <c r="C211" s="1" t="s">
        <v>145</v>
      </c>
      <c r="E211" s="1" t="s">
        <v>239</v>
      </c>
      <c r="F211" s="1" t="s">
        <v>432</v>
      </c>
      <c r="G211" s="1">
        <v>1</v>
      </c>
      <c r="H211" s="1" t="s">
        <v>286</v>
      </c>
      <c r="I211" s="1" t="s">
        <v>432</v>
      </c>
      <c r="K211" s="8" t="s">
        <v>190</v>
      </c>
      <c r="L211" s="8" t="s">
        <v>494</v>
      </c>
      <c r="M211" s="8">
        <v>0</v>
      </c>
      <c r="N211" s="8"/>
    </row>
    <row r="212" spans="1:14" x14ac:dyDescent="0.35">
      <c r="A212" s="1" t="s">
        <v>2097</v>
      </c>
      <c r="C212" s="1" t="s">
        <v>146</v>
      </c>
      <c r="E212" s="1" t="s">
        <v>239</v>
      </c>
      <c r="F212" s="1" t="s">
        <v>433</v>
      </c>
      <c r="G212" s="1">
        <v>1</v>
      </c>
      <c r="H212" s="1" t="s">
        <v>286</v>
      </c>
      <c r="I212" s="1" t="s">
        <v>433</v>
      </c>
      <c r="K212" s="8" t="s">
        <v>190</v>
      </c>
      <c r="L212" s="8" t="s">
        <v>495</v>
      </c>
      <c r="M212" s="8">
        <v>0</v>
      </c>
      <c r="N212" s="8"/>
    </row>
    <row r="213" spans="1:14" x14ac:dyDescent="0.35">
      <c r="A213" s="1" t="s">
        <v>2098</v>
      </c>
      <c r="C213" s="1" t="s">
        <v>147</v>
      </c>
      <c r="E213" s="1" t="s">
        <v>239</v>
      </c>
      <c r="F213" s="1" t="s">
        <v>434</v>
      </c>
      <c r="G213" s="1">
        <v>1</v>
      </c>
      <c r="H213" s="1" t="s">
        <v>286</v>
      </c>
      <c r="I213" s="1" t="s">
        <v>434</v>
      </c>
      <c r="K213" s="8" t="s">
        <v>190</v>
      </c>
      <c r="L213" s="8" t="s">
        <v>857</v>
      </c>
      <c r="M213" s="8">
        <v>1</v>
      </c>
      <c r="N213" s="8" t="s">
        <v>570</v>
      </c>
    </row>
    <row r="214" spans="1:14" x14ac:dyDescent="0.35">
      <c r="A214" s="1" t="s">
        <v>2099</v>
      </c>
      <c r="C214" s="1" t="s">
        <v>148</v>
      </c>
      <c r="E214" s="1" t="s">
        <v>240</v>
      </c>
      <c r="F214" s="1" t="s">
        <v>438</v>
      </c>
      <c r="G214" s="1">
        <v>1</v>
      </c>
      <c r="K214" s="8" t="s">
        <v>190</v>
      </c>
      <c r="L214" s="8" t="s">
        <v>832</v>
      </c>
      <c r="M214" s="8">
        <v>0</v>
      </c>
      <c r="N214" s="8" t="s">
        <v>539</v>
      </c>
    </row>
    <row r="215" spans="1:14" x14ac:dyDescent="0.35">
      <c r="A215" s="1" t="s">
        <v>2100</v>
      </c>
      <c r="C215" s="1" t="s">
        <v>149</v>
      </c>
      <c r="E215" s="1" t="s">
        <v>241</v>
      </c>
      <c r="F215" s="1" t="s">
        <v>375</v>
      </c>
      <c r="G215" s="1">
        <v>1</v>
      </c>
      <c r="H215" s="1" t="s">
        <v>199</v>
      </c>
      <c r="I215" s="1" t="s">
        <v>375</v>
      </c>
      <c r="K215" s="8" t="s">
        <v>190</v>
      </c>
      <c r="L215" s="8" t="s">
        <v>823</v>
      </c>
      <c r="M215" s="8">
        <v>0</v>
      </c>
      <c r="N215" s="8" t="s">
        <v>539</v>
      </c>
    </row>
    <row r="216" spans="1:14" x14ac:dyDescent="0.35">
      <c r="A216" s="1" t="s">
        <v>2101</v>
      </c>
      <c r="C216" s="1" t="s">
        <v>150</v>
      </c>
      <c r="E216" s="1" t="s">
        <v>241</v>
      </c>
      <c r="F216" s="1" t="s">
        <v>376</v>
      </c>
      <c r="G216" s="1">
        <v>1</v>
      </c>
      <c r="H216" s="1" t="s">
        <v>199</v>
      </c>
      <c r="I216" s="1" t="s">
        <v>376</v>
      </c>
      <c r="K216" s="8" t="s">
        <v>190</v>
      </c>
      <c r="L216" s="8" t="s">
        <v>604</v>
      </c>
      <c r="M216" s="8">
        <v>0</v>
      </c>
      <c r="N216" s="8"/>
    </row>
    <row r="217" spans="1:14" x14ac:dyDescent="0.35">
      <c r="A217" s="1" t="s">
        <v>2102</v>
      </c>
      <c r="C217" s="1" t="s">
        <v>151</v>
      </c>
      <c r="E217" s="1" t="s">
        <v>241</v>
      </c>
      <c r="F217" s="1" t="s">
        <v>438</v>
      </c>
      <c r="G217" s="1">
        <v>1</v>
      </c>
      <c r="H217" s="1" t="s">
        <v>240</v>
      </c>
      <c r="I217" s="1" t="s">
        <v>438</v>
      </c>
      <c r="K217" s="8" t="s">
        <v>190</v>
      </c>
      <c r="L217" s="8" t="s">
        <v>380</v>
      </c>
      <c r="M217" s="8">
        <v>0</v>
      </c>
      <c r="N217" s="8"/>
    </row>
    <row r="218" spans="1:14" x14ac:dyDescent="0.35">
      <c r="A218" s="1" t="s">
        <v>2103</v>
      </c>
      <c r="C218" s="1" t="s">
        <v>152</v>
      </c>
      <c r="E218" s="1" t="s">
        <v>241</v>
      </c>
      <c r="F218" s="1" t="s">
        <v>374</v>
      </c>
      <c r="G218" s="1">
        <v>1</v>
      </c>
      <c r="H218" s="1" t="s">
        <v>199</v>
      </c>
      <c r="I218" s="1" t="s">
        <v>374</v>
      </c>
      <c r="K218" s="8" t="s">
        <v>191</v>
      </c>
      <c r="L218" s="8" t="s">
        <v>350</v>
      </c>
      <c r="M218" s="8">
        <v>1</v>
      </c>
      <c r="N218" s="8"/>
    </row>
    <row r="219" spans="1:14" x14ac:dyDescent="0.35">
      <c r="A219" s="1" t="s">
        <v>2104</v>
      </c>
      <c r="C219" s="1" t="s">
        <v>153</v>
      </c>
      <c r="E219" s="1" t="s">
        <v>242</v>
      </c>
      <c r="F219" s="1" t="s">
        <v>375</v>
      </c>
      <c r="G219" s="1">
        <v>1</v>
      </c>
      <c r="H219" s="1" t="s">
        <v>226</v>
      </c>
      <c r="I219" s="1" t="s">
        <v>375</v>
      </c>
      <c r="K219" s="8" t="s">
        <v>191</v>
      </c>
      <c r="L219" s="8" t="s">
        <v>1054</v>
      </c>
      <c r="M219" s="8">
        <v>1</v>
      </c>
      <c r="N219" s="8" t="s">
        <v>517</v>
      </c>
    </row>
    <row r="220" spans="1:14" x14ac:dyDescent="0.35">
      <c r="A220" s="1" t="s">
        <v>2105</v>
      </c>
      <c r="C220" s="1" t="s">
        <v>154</v>
      </c>
      <c r="E220" s="1" t="s">
        <v>242</v>
      </c>
      <c r="F220" s="1" t="s">
        <v>376</v>
      </c>
      <c r="G220" s="1">
        <v>1</v>
      </c>
      <c r="H220" s="1" t="s">
        <v>226</v>
      </c>
      <c r="I220" s="1" t="s">
        <v>376</v>
      </c>
      <c r="K220" s="8" t="s">
        <v>191</v>
      </c>
      <c r="L220" s="8" t="s">
        <v>1055</v>
      </c>
      <c r="M220" s="8">
        <v>1</v>
      </c>
      <c r="N220" s="8" t="s">
        <v>517</v>
      </c>
    </row>
    <row r="221" spans="1:14" x14ac:dyDescent="0.35">
      <c r="A221" s="1" t="s">
        <v>2106</v>
      </c>
      <c r="C221" s="1" t="s">
        <v>155</v>
      </c>
      <c r="E221" s="1" t="s">
        <v>242</v>
      </c>
      <c r="F221" s="1" t="s">
        <v>438</v>
      </c>
      <c r="G221" s="1">
        <v>1</v>
      </c>
      <c r="H221" s="1" t="s">
        <v>240</v>
      </c>
      <c r="I221" s="1" t="s">
        <v>438</v>
      </c>
      <c r="K221" s="8" t="s">
        <v>191</v>
      </c>
      <c r="L221" s="8" t="s">
        <v>480</v>
      </c>
      <c r="M221" s="8">
        <v>0</v>
      </c>
      <c r="N221" s="8"/>
    </row>
    <row r="222" spans="1:14" x14ac:dyDescent="0.35">
      <c r="A222" s="1" t="s">
        <v>2107</v>
      </c>
      <c r="C222" s="1" t="s">
        <v>156</v>
      </c>
      <c r="E222" s="1" t="s">
        <v>243</v>
      </c>
      <c r="F222" s="1" t="s">
        <v>350</v>
      </c>
      <c r="G222" s="1">
        <v>0</v>
      </c>
      <c r="H222" s="1" t="s">
        <v>286</v>
      </c>
      <c r="I222" s="1" t="s">
        <v>350</v>
      </c>
      <c r="K222" s="8" t="s">
        <v>191</v>
      </c>
      <c r="L222" s="8" t="s">
        <v>481</v>
      </c>
      <c r="M222" s="8">
        <v>0</v>
      </c>
      <c r="N222" s="8"/>
    </row>
    <row r="223" spans="1:14" x14ac:dyDescent="0.35">
      <c r="A223" s="1" t="s">
        <v>2108</v>
      </c>
      <c r="C223" s="1" t="s">
        <v>157</v>
      </c>
      <c r="E223" s="1" t="s">
        <v>243</v>
      </c>
      <c r="F223" s="1" t="s">
        <v>439</v>
      </c>
      <c r="G223" s="1">
        <v>1</v>
      </c>
      <c r="K223" s="8" t="s">
        <v>191</v>
      </c>
      <c r="L223" s="8" t="s">
        <v>482</v>
      </c>
      <c r="M223" s="8">
        <v>0</v>
      </c>
      <c r="N223" s="8"/>
    </row>
    <row r="224" spans="1:14" x14ac:dyDescent="0.35">
      <c r="A224" s="1" t="s">
        <v>2109</v>
      </c>
      <c r="C224" s="1" t="s">
        <v>158</v>
      </c>
      <c r="E224" s="1" t="s">
        <v>243</v>
      </c>
      <c r="F224" s="1" t="s">
        <v>412</v>
      </c>
      <c r="G224" s="1">
        <v>0</v>
      </c>
      <c r="H224" s="1" t="s">
        <v>217</v>
      </c>
      <c r="I224" s="1" t="s">
        <v>412</v>
      </c>
      <c r="K224" s="8" t="s">
        <v>191</v>
      </c>
      <c r="L224" s="8" t="s">
        <v>483</v>
      </c>
      <c r="M224" s="8">
        <v>0</v>
      </c>
      <c r="N224" s="8"/>
    </row>
    <row r="225" spans="1:14" x14ac:dyDescent="0.35">
      <c r="A225" s="1" t="s">
        <v>2110</v>
      </c>
      <c r="C225" s="1" t="s">
        <v>159</v>
      </c>
      <c r="E225" s="1" t="s">
        <v>243</v>
      </c>
      <c r="F225" s="1" t="s">
        <v>373</v>
      </c>
      <c r="G225" s="1">
        <v>0</v>
      </c>
      <c r="H225" s="1" t="s">
        <v>270</v>
      </c>
      <c r="I225" s="1" t="s">
        <v>373</v>
      </c>
      <c r="K225" s="8" t="s">
        <v>191</v>
      </c>
      <c r="L225" s="8" t="s">
        <v>484</v>
      </c>
      <c r="M225" s="8">
        <v>0</v>
      </c>
      <c r="N225" s="8"/>
    </row>
    <row r="226" spans="1:14" x14ac:dyDescent="0.35">
      <c r="A226" s="1" t="s">
        <v>2111</v>
      </c>
      <c r="C226" s="1" t="s">
        <v>160</v>
      </c>
      <c r="E226" s="1" t="s">
        <v>243</v>
      </c>
      <c r="F226" s="1" t="s">
        <v>387</v>
      </c>
      <c r="G226" s="1">
        <v>0</v>
      </c>
      <c r="H226" s="1" t="s">
        <v>280</v>
      </c>
      <c r="I226" s="1" t="s">
        <v>387</v>
      </c>
      <c r="K226" s="8" t="s">
        <v>191</v>
      </c>
      <c r="L226" s="8" t="s">
        <v>486</v>
      </c>
      <c r="M226" s="8">
        <v>0</v>
      </c>
      <c r="N226" s="8"/>
    </row>
    <row r="227" spans="1:14" x14ac:dyDescent="0.35">
      <c r="A227" s="1" t="s">
        <v>2112</v>
      </c>
      <c r="C227" s="1" t="s">
        <v>302</v>
      </c>
      <c r="E227" s="1" t="s">
        <v>243</v>
      </c>
      <c r="F227" s="1" t="s">
        <v>380</v>
      </c>
      <c r="G227" s="1">
        <v>0</v>
      </c>
      <c r="H227" s="1" t="s">
        <v>284</v>
      </c>
      <c r="I227" s="1" t="s">
        <v>380</v>
      </c>
      <c r="K227" s="8" t="s">
        <v>191</v>
      </c>
      <c r="L227" s="8" t="s">
        <v>487</v>
      </c>
      <c r="M227" s="8">
        <v>0</v>
      </c>
      <c r="N227" s="8"/>
    </row>
    <row r="228" spans="1:14" x14ac:dyDescent="0.35">
      <c r="A228" s="1" t="s">
        <v>2113</v>
      </c>
      <c r="C228" s="1" t="s">
        <v>303</v>
      </c>
      <c r="E228" s="1" t="s">
        <v>243</v>
      </c>
      <c r="F228" s="1" t="s">
        <v>432</v>
      </c>
      <c r="G228" s="1">
        <v>0</v>
      </c>
      <c r="H228" s="1" t="s">
        <v>286</v>
      </c>
      <c r="I228" s="1" t="s">
        <v>432</v>
      </c>
      <c r="K228" s="8" t="s">
        <v>191</v>
      </c>
      <c r="L228" s="8" t="s">
        <v>488</v>
      </c>
      <c r="M228" s="8">
        <v>0</v>
      </c>
      <c r="N228" s="8"/>
    </row>
    <row r="229" spans="1:14" x14ac:dyDescent="0.35">
      <c r="A229" s="1" t="s">
        <v>2114</v>
      </c>
      <c r="C229" s="1" t="s">
        <v>161</v>
      </c>
      <c r="E229" s="1" t="s">
        <v>243</v>
      </c>
      <c r="F229" s="1" t="s">
        <v>433</v>
      </c>
      <c r="G229" s="1">
        <v>0</v>
      </c>
      <c r="H229" s="1" t="s">
        <v>286</v>
      </c>
      <c r="I229" s="1" t="s">
        <v>433</v>
      </c>
      <c r="K229" s="8" t="s">
        <v>191</v>
      </c>
      <c r="L229" s="8" t="s">
        <v>489</v>
      </c>
      <c r="M229" s="8">
        <v>0</v>
      </c>
      <c r="N229" s="8"/>
    </row>
    <row r="230" spans="1:14" x14ac:dyDescent="0.35">
      <c r="A230" s="1" t="s">
        <v>2115</v>
      </c>
      <c r="C230" s="1" t="s">
        <v>162</v>
      </c>
      <c r="E230" s="1" t="s">
        <v>243</v>
      </c>
      <c r="F230" s="1" t="s">
        <v>434</v>
      </c>
      <c r="G230" s="1">
        <v>0</v>
      </c>
      <c r="H230" s="1" t="s">
        <v>286</v>
      </c>
      <c r="I230" s="1" t="s">
        <v>434</v>
      </c>
      <c r="K230" s="8" t="s">
        <v>191</v>
      </c>
      <c r="L230" s="8" t="s">
        <v>490</v>
      </c>
      <c r="M230" s="8">
        <v>0</v>
      </c>
      <c r="N230" s="8"/>
    </row>
    <row r="231" spans="1:14" x14ac:dyDescent="0.35">
      <c r="A231" s="1" t="s">
        <v>2116</v>
      </c>
      <c r="C231" s="1" t="s">
        <v>163</v>
      </c>
      <c r="E231" s="1" t="s">
        <v>244</v>
      </c>
      <c r="F231" s="1" t="s">
        <v>439</v>
      </c>
      <c r="G231" s="1">
        <v>1</v>
      </c>
      <c r="H231" s="1" t="s">
        <v>243</v>
      </c>
      <c r="I231" s="1" t="s">
        <v>439</v>
      </c>
      <c r="K231" s="8" t="s">
        <v>191</v>
      </c>
      <c r="L231" s="8" t="s">
        <v>491</v>
      </c>
      <c r="M231" s="8">
        <v>0</v>
      </c>
      <c r="N231" s="8"/>
    </row>
    <row r="232" spans="1:14" x14ac:dyDescent="0.35">
      <c r="A232" s="1" t="s">
        <v>2117</v>
      </c>
      <c r="C232" s="1" t="s">
        <v>164</v>
      </c>
      <c r="E232" s="1" t="s">
        <v>244</v>
      </c>
      <c r="F232" s="1" t="s">
        <v>373</v>
      </c>
      <c r="G232" s="1">
        <v>1</v>
      </c>
      <c r="H232" s="1" t="s">
        <v>270</v>
      </c>
      <c r="I232" s="1" t="s">
        <v>373</v>
      </c>
      <c r="K232" s="8" t="s">
        <v>191</v>
      </c>
      <c r="L232" s="8" t="s">
        <v>492</v>
      </c>
      <c r="M232" s="8">
        <v>0</v>
      </c>
      <c r="N232" s="8"/>
    </row>
    <row r="233" spans="1:14" x14ac:dyDescent="0.35">
      <c r="A233" s="1" t="s">
        <v>2118</v>
      </c>
      <c r="C233" s="1" t="s">
        <v>165</v>
      </c>
      <c r="E233" s="1" t="s">
        <v>245</v>
      </c>
      <c r="F233" s="1" t="s">
        <v>440</v>
      </c>
      <c r="G233" s="1">
        <v>1</v>
      </c>
      <c r="K233" s="8" t="s">
        <v>191</v>
      </c>
      <c r="L233" s="8" t="s">
        <v>493</v>
      </c>
      <c r="M233" s="8">
        <v>0</v>
      </c>
      <c r="N233" s="8"/>
    </row>
    <row r="234" spans="1:14" x14ac:dyDescent="0.35">
      <c r="A234" s="1" t="s">
        <v>2119</v>
      </c>
      <c r="C234" s="1" t="s">
        <v>166</v>
      </c>
      <c r="E234" s="1" t="s">
        <v>245</v>
      </c>
      <c r="F234" s="1" t="s">
        <v>380</v>
      </c>
      <c r="G234" s="1">
        <v>0</v>
      </c>
      <c r="H234" s="1" t="s">
        <v>284</v>
      </c>
      <c r="I234" s="1" t="s">
        <v>380</v>
      </c>
      <c r="K234" s="8" t="s">
        <v>191</v>
      </c>
      <c r="L234" s="8" t="s">
        <v>494</v>
      </c>
      <c r="M234" s="8">
        <v>0</v>
      </c>
      <c r="N234" s="8"/>
    </row>
    <row r="235" spans="1:14" x14ac:dyDescent="0.35">
      <c r="A235" s="1" t="s">
        <v>2120</v>
      </c>
      <c r="C235" s="1" t="s">
        <v>167</v>
      </c>
      <c r="E235" s="1" t="s">
        <v>246</v>
      </c>
      <c r="F235" s="1" t="s">
        <v>393</v>
      </c>
      <c r="G235" s="1">
        <v>0</v>
      </c>
      <c r="H235" s="1" t="s">
        <v>226</v>
      </c>
      <c r="I235" s="1" t="s">
        <v>375</v>
      </c>
      <c r="K235" s="8" t="s">
        <v>191</v>
      </c>
      <c r="L235" s="8" t="s">
        <v>495</v>
      </c>
      <c r="M235" s="8">
        <v>0</v>
      </c>
      <c r="N235" s="8"/>
    </row>
    <row r="236" spans="1:14" x14ac:dyDescent="0.35">
      <c r="A236" s="1" t="s">
        <v>2121</v>
      </c>
      <c r="C236" s="1" t="s">
        <v>168</v>
      </c>
      <c r="E236" s="1" t="s">
        <v>246</v>
      </c>
      <c r="F236" s="1" t="s">
        <v>386</v>
      </c>
      <c r="G236" s="1">
        <v>0</v>
      </c>
      <c r="H236" s="1" t="s">
        <v>218</v>
      </c>
      <c r="I236" s="1" t="s">
        <v>386</v>
      </c>
      <c r="K236" s="8" t="s">
        <v>191</v>
      </c>
      <c r="L236" s="8" t="s">
        <v>380</v>
      </c>
      <c r="M236" s="8">
        <v>1</v>
      </c>
      <c r="N236" s="8"/>
    </row>
    <row r="237" spans="1:14" x14ac:dyDescent="0.35">
      <c r="A237" s="1" t="s">
        <v>2122</v>
      </c>
      <c r="C237" s="1" t="s">
        <v>169</v>
      </c>
      <c r="E237" s="1" t="s">
        <v>246</v>
      </c>
      <c r="F237" s="1" t="s">
        <v>388</v>
      </c>
      <c r="G237" s="1">
        <v>0</v>
      </c>
      <c r="H237" s="1" t="s">
        <v>250</v>
      </c>
      <c r="I237" s="1" t="s">
        <v>388</v>
      </c>
      <c r="K237" s="8" t="s">
        <v>192</v>
      </c>
      <c r="L237" s="8" t="s">
        <v>1194</v>
      </c>
      <c r="M237" s="8">
        <v>0</v>
      </c>
      <c r="N237" s="8"/>
    </row>
    <row r="238" spans="1:14" x14ac:dyDescent="0.35">
      <c r="A238" s="1" t="s">
        <v>2123</v>
      </c>
      <c r="C238" s="1" t="s">
        <v>170</v>
      </c>
      <c r="E238" s="1" t="s">
        <v>246</v>
      </c>
      <c r="F238" s="1" t="s">
        <v>375</v>
      </c>
      <c r="G238" s="1">
        <v>0</v>
      </c>
      <c r="H238" s="1" t="s">
        <v>222</v>
      </c>
      <c r="I238" s="1" t="s">
        <v>375</v>
      </c>
      <c r="K238" s="8" t="s">
        <v>192</v>
      </c>
      <c r="L238" s="8" t="s">
        <v>1195</v>
      </c>
      <c r="M238" s="8">
        <v>0</v>
      </c>
      <c r="N238" s="8"/>
    </row>
    <row r="239" spans="1:14" x14ac:dyDescent="0.35">
      <c r="A239" s="1" t="s">
        <v>2124</v>
      </c>
      <c r="C239" s="1" t="s">
        <v>171</v>
      </c>
      <c r="E239" s="1" t="s">
        <v>246</v>
      </c>
      <c r="F239" s="1" t="s">
        <v>376</v>
      </c>
      <c r="G239" s="1">
        <v>0</v>
      </c>
      <c r="H239" s="1" t="s">
        <v>226</v>
      </c>
      <c r="I239" s="1" t="s">
        <v>376</v>
      </c>
      <c r="K239" s="8" t="s">
        <v>192</v>
      </c>
      <c r="L239" s="8" t="s">
        <v>1196</v>
      </c>
      <c r="M239" s="8">
        <v>1</v>
      </c>
      <c r="N239" s="8" t="s">
        <v>476</v>
      </c>
    </row>
    <row r="240" spans="1:14" x14ac:dyDescent="0.35">
      <c r="A240" s="1" t="s">
        <v>2125</v>
      </c>
      <c r="C240" s="1" t="s">
        <v>172</v>
      </c>
      <c r="E240" s="1" t="s">
        <v>246</v>
      </c>
      <c r="F240" s="1" t="s">
        <v>374</v>
      </c>
      <c r="G240" s="1">
        <v>1</v>
      </c>
      <c r="K240" s="8" t="s">
        <v>192</v>
      </c>
      <c r="L240" s="8" t="s">
        <v>1197</v>
      </c>
      <c r="M240" s="8">
        <v>0</v>
      </c>
      <c r="N240" s="8"/>
    </row>
    <row r="241" spans="1:14" x14ac:dyDescent="0.35">
      <c r="A241" s="1" t="s">
        <v>2126</v>
      </c>
      <c r="C241" s="1" t="s">
        <v>173</v>
      </c>
      <c r="E241" s="1" t="s">
        <v>246</v>
      </c>
      <c r="F241" s="1" t="s">
        <v>387</v>
      </c>
      <c r="G241" s="1">
        <v>0</v>
      </c>
      <c r="H241" s="1" t="s">
        <v>280</v>
      </c>
      <c r="I241" s="1" t="s">
        <v>387</v>
      </c>
      <c r="K241" s="8" t="s">
        <v>192</v>
      </c>
      <c r="L241" s="8" t="s">
        <v>1198</v>
      </c>
      <c r="M241" s="8">
        <v>1</v>
      </c>
      <c r="N241" s="8" t="s">
        <v>476</v>
      </c>
    </row>
    <row r="242" spans="1:14" x14ac:dyDescent="0.35">
      <c r="A242" s="1" t="s">
        <v>2127</v>
      </c>
      <c r="C242" s="1" t="s">
        <v>174</v>
      </c>
      <c r="E242" s="1" t="s">
        <v>246</v>
      </c>
      <c r="F242" s="1" t="s">
        <v>380</v>
      </c>
      <c r="G242" s="1">
        <v>0</v>
      </c>
      <c r="H242" s="1" t="s">
        <v>284</v>
      </c>
      <c r="I242" s="1" t="s">
        <v>380</v>
      </c>
      <c r="K242" s="8" t="s">
        <v>192</v>
      </c>
      <c r="L242" s="8" t="s">
        <v>1199</v>
      </c>
      <c r="M242" s="8">
        <v>0</v>
      </c>
      <c r="N242" s="8"/>
    </row>
    <row r="243" spans="1:14" x14ac:dyDescent="0.35">
      <c r="A243" s="1" t="s">
        <v>2128</v>
      </c>
      <c r="C243" s="1" t="s">
        <v>175</v>
      </c>
      <c r="E243" s="1" t="s">
        <v>247</v>
      </c>
      <c r="F243" s="1" t="s">
        <v>374</v>
      </c>
      <c r="G243" s="1">
        <v>1</v>
      </c>
      <c r="H243" s="1" t="s">
        <v>246</v>
      </c>
      <c r="I243" s="1" t="s">
        <v>374</v>
      </c>
      <c r="K243" s="8" t="s">
        <v>192</v>
      </c>
      <c r="L243" s="8" t="s">
        <v>1193</v>
      </c>
      <c r="M243" s="8">
        <v>1</v>
      </c>
      <c r="N243" s="8"/>
    </row>
    <row r="244" spans="1:14" x14ac:dyDescent="0.35">
      <c r="A244" s="1" t="s">
        <v>2129</v>
      </c>
      <c r="C244" s="1" t="s">
        <v>176</v>
      </c>
      <c r="E244" s="1" t="s">
        <v>247</v>
      </c>
      <c r="F244" s="1" t="s">
        <v>373</v>
      </c>
      <c r="G244" s="1">
        <v>1</v>
      </c>
      <c r="H244" s="1" t="s">
        <v>270</v>
      </c>
      <c r="I244" s="1" t="s">
        <v>373</v>
      </c>
      <c r="K244" s="8" t="s">
        <v>192</v>
      </c>
      <c r="L244" s="8" t="s">
        <v>1200</v>
      </c>
      <c r="M244" s="8">
        <v>1</v>
      </c>
      <c r="N244" s="8" t="s">
        <v>517</v>
      </c>
    </row>
    <row r="245" spans="1:14" x14ac:dyDescent="0.35">
      <c r="A245" s="1" t="s">
        <v>2130</v>
      </c>
      <c r="C245" s="1" t="s">
        <v>177</v>
      </c>
      <c r="E245" s="1" t="s">
        <v>248</v>
      </c>
      <c r="F245" s="1" t="s">
        <v>369</v>
      </c>
      <c r="G245" s="1">
        <v>1</v>
      </c>
      <c r="H245" s="1" t="s">
        <v>225</v>
      </c>
      <c r="I245" s="1" t="s">
        <v>369</v>
      </c>
      <c r="K245" s="1" t="s">
        <v>192</v>
      </c>
      <c r="L245" s="1" t="s">
        <v>1201</v>
      </c>
      <c r="M245" s="1">
        <v>1</v>
      </c>
      <c r="N245" s="1" t="s">
        <v>476</v>
      </c>
    </row>
    <row r="246" spans="1:14" x14ac:dyDescent="0.35">
      <c r="A246" s="1" t="s">
        <v>2131</v>
      </c>
      <c r="C246" s="1" t="s">
        <v>178</v>
      </c>
      <c r="E246" s="1" t="s">
        <v>248</v>
      </c>
      <c r="F246" s="1" t="s">
        <v>374</v>
      </c>
      <c r="G246" s="1">
        <v>1</v>
      </c>
      <c r="H246" s="1" t="s">
        <v>246</v>
      </c>
      <c r="I246" s="1" t="s">
        <v>374</v>
      </c>
      <c r="K246" s="1" t="s">
        <v>192</v>
      </c>
      <c r="L246" s="1" t="s">
        <v>1202</v>
      </c>
      <c r="M246" s="1">
        <v>1</v>
      </c>
      <c r="N246" s="1" t="s">
        <v>517</v>
      </c>
    </row>
    <row r="247" spans="1:14" x14ac:dyDescent="0.35">
      <c r="A247" s="1" t="s">
        <v>2132</v>
      </c>
      <c r="C247" s="1" t="s">
        <v>179</v>
      </c>
      <c r="E247" s="1" t="s">
        <v>249</v>
      </c>
      <c r="F247" s="1" t="s">
        <v>414</v>
      </c>
      <c r="G247" s="1">
        <v>0</v>
      </c>
      <c r="H247" s="1" t="s">
        <v>269</v>
      </c>
      <c r="I247" s="1" t="s">
        <v>414</v>
      </c>
      <c r="K247" s="1" t="s">
        <v>192</v>
      </c>
      <c r="L247" s="1" t="s">
        <v>1203</v>
      </c>
      <c r="M247" s="1">
        <v>0</v>
      </c>
    </row>
    <row r="248" spans="1:14" x14ac:dyDescent="0.35">
      <c r="A248" s="1" t="s">
        <v>2133</v>
      </c>
      <c r="C248" s="1" t="s">
        <v>180</v>
      </c>
      <c r="E248" s="1" t="s">
        <v>249</v>
      </c>
      <c r="F248" s="1" t="s">
        <v>377</v>
      </c>
      <c r="G248" s="1">
        <v>1</v>
      </c>
      <c r="K248" s="1" t="s">
        <v>192</v>
      </c>
      <c r="L248" s="1" t="s">
        <v>1204</v>
      </c>
      <c r="M248" s="1">
        <v>0</v>
      </c>
    </row>
    <row r="249" spans="1:14" x14ac:dyDescent="0.35">
      <c r="A249" s="1" t="s">
        <v>2134</v>
      </c>
      <c r="E249" s="1" t="s">
        <v>249</v>
      </c>
      <c r="F249" s="1" t="s">
        <v>395</v>
      </c>
      <c r="G249" s="1">
        <v>0</v>
      </c>
      <c r="H249" s="1" t="s">
        <v>183</v>
      </c>
      <c r="I249" s="1" t="s">
        <v>395</v>
      </c>
      <c r="K249" s="1" t="s">
        <v>192</v>
      </c>
      <c r="L249" s="1" t="s">
        <v>382</v>
      </c>
      <c r="M249" s="1">
        <v>1</v>
      </c>
      <c r="N249" s="1" t="s">
        <v>1004</v>
      </c>
    </row>
    <row r="250" spans="1:14" x14ac:dyDescent="0.35">
      <c r="A250" s="1" t="s">
        <v>293</v>
      </c>
      <c r="E250" s="1" t="s">
        <v>249</v>
      </c>
      <c r="F250" s="1" t="s">
        <v>372</v>
      </c>
      <c r="G250" s="1">
        <v>0</v>
      </c>
      <c r="H250" s="1" t="s">
        <v>264</v>
      </c>
      <c r="I250" s="1" t="s">
        <v>372</v>
      </c>
      <c r="K250" s="1" t="s">
        <v>192</v>
      </c>
      <c r="L250" s="1" t="s">
        <v>381</v>
      </c>
      <c r="M250" s="1">
        <v>1</v>
      </c>
    </row>
    <row r="251" spans="1:14" x14ac:dyDescent="0.35">
      <c r="E251" s="1" t="s">
        <v>250</v>
      </c>
      <c r="F251" s="1" t="s">
        <v>388</v>
      </c>
      <c r="G251" s="1">
        <v>1</v>
      </c>
      <c r="K251" s="1" t="s">
        <v>192</v>
      </c>
      <c r="L251" s="1" t="s">
        <v>350</v>
      </c>
      <c r="M251" s="1">
        <v>1</v>
      </c>
    </row>
    <row r="252" spans="1:14" x14ac:dyDescent="0.35">
      <c r="E252" s="1" t="s">
        <v>251</v>
      </c>
      <c r="F252" s="1" t="s">
        <v>371</v>
      </c>
      <c r="G252" s="1">
        <v>1</v>
      </c>
      <c r="K252" s="8" t="s">
        <v>192</v>
      </c>
      <c r="L252" s="8" t="s">
        <v>1099</v>
      </c>
      <c r="M252" s="8">
        <v>0</v>
      </c>
      <c r="N252" s="8"/>
    </row>
    <row r="253" spans="1:14" x14ac:dyDescent="0.35">
      <c r="E253" s="1" t="s">
        <v>251</v>
      </c>
      <c r="F253" s="1" t="s">
        <v>370</v>
      </c>
      <c r="G253" s="1">
        <v>1</v>
      </c>
      <c r="H253" s="1" t="s">
        <v>281</v>
      </c>
      <c r="I253" s="1" t="s">
        <v>370</v>
      </c>
      <c r="K253" s="8" t="s">
        <v>192</v>
      </c>
      <c r="L253" s="8" t="s">
        <v>1205</v>
      </c>
      <c r="M253" s="8">
        <v>0</v>
      </c>
      <c r="N253" s="8"/>
    </row>
    <row r="254" spans="1:14" x14ac:dyDescent="0.35">
      <c r="E254" s="1" t="s">
        <v>252</v>
      </c>
      <c r="F254" s="1" t="s">
        <v>419</v>
      </c>
      <c r="G254" s="1">
        <v>0</v>
      </c>
      <c r="H254" s="1" t="s">
        <v>251</v>
      </c>
      <c r="I254" s="1" t="s">
        <v>370</v>
      </c>
      <c r="K254" s="8" t="s">
        <v>192</v>
      </c>
      <c r="L254" s="8" t="s">
        <v>480</v>
      </c>
      <c r="M254" s="8">
        <v>0</v>
      </c>
      <c r="N254" s="8"/>
    </row>
    <row r="255" spans="1:14" x14ac:dyDescent="0.35">
      <c r="E255" s="1" t="s">
        <v>252</v>
      </c>
      <c r="F255" s="1" t="s">
        <v>350</v>
      </c>
      <c r="G255" s="1">
        <v>1</v>
      </c>
      <c r="H255" s="1" t="s">
        <v>286</v>
      </c>
      <c r="I255" s="1" t="s">
        <v>350</v>
      </c>
      <c r="K255" s="8" t="s">
        <v>192</v>
      </c>
      <c r="L255" s="8" t="s">
        <v>481</v>
      </c>
      <c r="M255" s="8">
        <v>0</v>
      </c>
      <c r="N255" s="8"/>
    </row>
    <row r="256" spans="1:14" x14ac:dyDescent="0.35">
      <c r="E256" s="1" t="s">
        <v>252</v>
      </c>
      <c r="F256" s="1" t="s">
        <v>412</v>
      </c>
      <c r="G256" s="1">
        <v>1</v>
      </c>
      <c r="H256" s="1" t="s">
        <v>254</v>
      </c>
      <c r="I256" s="1" t="s">
        <v>412</v>
      </c>
      <c r="K256" s="8" t="s">
        <v>192</v>
      </c>
      <c r="L256" s="8" t="s">
        <v>482</v>
      </c>
      <c r="M256" s="8">
        <v>0</v>
      </c>
      <c r="N256" s="8"/>
    </row>
    <row r="257" spans="5:14" x14ac:dyDescent="0.35">
      <c r="E257" s="1" t="s">
        <v>252</v>
      </c>
      <c r="F257" s="1" t="s">
        <v>435</v>
      </c>
      <c r="G257" s="1">
        <v>1</v>
      </c>
      <c r="H257" s="1" t="s">
        <v>254</v>
      </c>
      <c r="I257" s="1" t="s">
        <v>435</v>
      </c>
      <c r="K257" s="8" t="s">
        <v>192</v>
      </c>
      <c r="L257" s="8" t="s">
        <v>483</v>
      </c>
      <c r="M257" s="8">
        <v>0</v>
      </c>
      <c r="N257" s="8"/>
    </row>
    <row r="258" spans="5:14" x14ac:dyDescent="0.35">
      <c r="E258" s="1" t="s">
        <v>252</v>
      </c>
      <c r="F258" s="1" t="s">
        <v>371</v>
      </c>
      <c r="G258" s="1">
        <v>0</v>
      </c>
      <c r="H258" s="1" t="s">
        <v>251</v>
      </c>
      <c r="I258" s="1" t="s">
        <v>371</v>
      </c>
      <c r="K258" s="8" t="s">
        <v>192</v>
      </c>
      <c r="L258" s="8" t="s">
        <v>484</v>
      </c>
      <c r="M258" s="8">
        <v>0</v>
      </c>
      <c r="N258" s="8"/>
    </row>
    <row r="259" spans="5:14" x14ac:dyDescent="0.35">
      <c r="E259" s="1" t="s">
        <v>252</v>
      </c>
      <c r="F259" s="1" t="s">
        <v>370</v>
      </c>
      <c r="G259" s="1">
        <v>1</v>
      </c>
      <c r="H259" s="1" t="s">
        <v>281</v>
      </c>
      <c r="I259" s="1" t="s">
        <v>370</v>
      </c>
      <c r="K259" s="8" t="s">
        <v>192</v>
      </c>
      <c r="L259" s="8" t="s">
        <v>1206</v>
      </c>
      <c r="M259" s="8">
        <v>0</v>
      </c>
      <c r="N259" s="8"/>
    </row>
    <row r="260" spans="5:14" x14ac:dyDescent="0.35">
      <c r="E260" s="1" t="s">
        <v>252</v>
      </c>
      <c r="F260" s="1" t="s">
        <v>432</v>
      </c>
      <c r="G260" s="1">
        <v>1</v>
      </c>
      <c r="H260" s="1" t="s">
        <v>286</v>
      </c>
      <c r="I260" s="1" t="s">
        <v>432</v>
      </c>
      <c r="K260" s="8" t="s">
        <v>192</v>
      </c>
      <c r="L260" s="8" t="s">
        <v>1207</v>
      </c>
      <c r="M260" s="8">
        <v>1</v>
      </c>
      <c r="N260" s="8" t="s">
        <v>476</v>
      </c>
    </row>
    <row r="261" spans="5:14" x14ac:dyDescent="0.35">
      <c r="E261" s="1" t="s">
        <v>252</v>
      </c>
      <c r="F261" s="1" t="s">
        <v>433</v>
      </c>
      <c r="G261" s="1">
        <v>1</v>
      </c>
      <c r="H261" s="1" t="s">
        <v>286</v>
      </c>
      <c r="I261" s="1" t="s">
        <v>433</v>
      </c>
      <c r="K261" s="8" t="s">
        <v>192</v>
      </c>
      <c r="L261" s="8" t="s">
        <v>1208</v>
      </c>
      <c r="M261" s="8">
        <v>1</v>
      </c>
      <c r="N261" s="8" t="s">
        <v>476</v>
      </c>
    </row>
    <row r="262" spans="5:14" x14ac:dyDescent="0.35">
      <c r="E262" s="1" t="s">
        <v>252</v>
      </c>
      <c r="F262" s="1" t="s">
        <v>434</v>
      </c>
      <c r="G262" s="1">
        <v>1</v>
      </c>
      <c r="H262" s="1" t="s">
        <v>286</v>
      </c>
      <c r="I262" s="1" t="s">
        <v>434</v>
      </c>
      <c r="K262" s="8" t="s">
        <v>192</v>
      </c>
      <c r="L262" s="8" t="s">
        <v>1209</v>
      </c>
      <c r="M262" s="8">
        <v>1</v>
      </c>
      <c r="N262" s="8" t="s">
        <v>476</v>
      </c>
    </row>
    <row r="263" spans="5:14" x14ac:dyDescent="0.35">
      <c r="E263" s="1" t="s">
        <v>253</v>
      </c>
      <c r="F263" s="1" t="s">
        <v>350</v>
      </c>
      <c r="G263" s="1">
        <v>1</v>
      </c>
      <c r="H263" s="1" t="s">
        <v>286</v>
      </c>
      <c r="I263" s="1" t="s">
        <v>350</v>
      </c>
      <c r="K263" s="8" t="s">
        <v>192</v>
      </c>
      <c r="L263" s="8" t="s">
        <v>1210</v>
      </c>
      <c r="M263" s="8">
        <v>1</v>
      </c>
      <c r="N263" s="8" t="s">
        <v>476</v>
      </c>
    </row>
    <row r="264" spans="5:14" x14ac:dyDescent="0.35">
      <c r="E264" s="1" t="s">
        <v>253</v>
      </c>
      <c r="F264" s="1" t="s">
        <v>412</v>
      </c>
      <c r="G264" s="1">
        <v>1</v>
      </c>
      <c r="H264" s="1" t="s">
        <v>254</v>
      </c>
      <c r="I264" s="1" t="s">
        <v>412</v>
      </c>
      <c r="K264" s="8" t="s">
        <v>192</v>
      </c>
      <c r="L264" s="8" t="s">
        <v>1211</v>
      </c>
      <c r="M264" s="8">
        <v>1</v>
      </c>
      <c r="N264" s="8" t="s">
        <v>476</v>
      </c>
    </row>
    <row r="265" spans="5:14" x14ac:dyDescent="0.35">
      <c r="E265" s="1" t="s">
        <v>253</v>
      </c>
      <c r="F265" s="1" t="s">
        <v>435</v>
      </c>
      <c r="G265" s="1">
        <v>1</v>
      </c>
      <c r="H265" s="1" t="s">
        <v>254</v>
      </c>
      <c r="I265" s="1" t="s">
        <v>435</v>
      </c>
      <c r="K265" s="8" t="s">
        <v>192</v>
      </c>
      <c r="L265" s="8" t="s">
        <v>1212</v>
      </c>
      <c r="M265" s="8">
        <v>1</v>
      </c>
      <c r="N265" s="8" t="s">
        <v>476</v>
      </c>
    </row>
    <row r="266" spans="5:14" x14ac:dyDescent="0.35">
      <c r="E266" s="1" t="s">
        <v>253</v>
      </c>
      <c r="F266" s="1" t="s">
        <v>370</v>
      </c>
      <c r="G266" s="1">
        <v>1</v>
      </c>
      <c r="H266" s="1" t="s">
        <v>281</v>
      </c>
      <c r="I266" s="1" t="s">
        <v>370</v>
      </c>
      <c r="K266" s="8" t="s">
        <v>192</v>
      </c>
      <c r="L266" s="8" t="s">
        <v>1213</v>
      </c>
      <c r="M266" s="8">
        <v>0</v>
      </c>
      <c r="N266" s="8"/>
    </row>
    <row r="267" spans="5:14" x14ac:dyDescent="0.35">
      <c r="E267" s="1" t="s">
        <v>253</v>
      </c>
      <c r="F267" s="1" t="s">
        <v>432</v>
      </c>
      <c r="G267" s="1">
        <v>1</v>
      </c>
      <c r="H267" s="1" t="s">
        <v>286</v>
      </c>
      <c r="I267" s="1" t="s">
        <v>432</v>
      </c>
      <c r="K267" s="8" t="s">
        <v>192</v>
      </c>
      <c r="L267" s="8" t="s">
        <v>486</v>
      </c>
      <c r="M267" s="8">
        <v>0</v>
      </c>
      <c r="N267" s="8"/>
    </row>
    <row r="268" spans="5:14" x14ac:dyDescent="0.35">
      <c r="E268" s="1" t="s">
        <v>253</v>
      </c>
      <c r="F268" s="1" t="s">
        <v>433</v>
      </c>
      <c r="G268" s="1">
        <v>1</v>
      </c>
      <c r="H268" s="1" t="s">
        <v>286</v>
      </c>
      <c r="I268" s="1" t="s">
        <v>433</v>
      </c>
      <c r="K268" s="8" t="s">
        <v>192</v>
      </c>
      <c r="L268" s="8" t="s">
        <v>487</v>
      </c>
      <c r="M268" s="8">
        <v>0</v>
      </c>
      <c r="N268" s="8"/>
    </row>
    <row r="269" spans="5:14" x14ac:dyDescent="0.35">
      <c r="E269" s="1" t="s">
        <v>253</v>
      </c>
      <c r="F269" s="1" t="s">
        <v>434</v>
      </c>
      <c r="G269" s="1">
        <v>1</v>
      </c>
      <c r="H269" s="1" t="s">
        <v>286</v>
      </c>
      <c r="I269" s="1" t="s">
        <v>434</v>
      </c>
      <c r="K269" s="8" t="s">
        <v>192</v>
      </c>
      <c r="L269" s="8" t="s">
        <v>488</v>
      </c>
      <c r="M269" s="8">
        <v>0</v>
      </c>
      <c r="N269" s="8"/>
    </row>
    <row r="270" spans="5:14" x14ac:dyDescent="0.35">
      <c r="E270" s="1" t="s">
        <v>182</v>
      </c>
      <c r="F270" s="1" t="s">
        <v>442</v>
      </c>
      <c r="G270" s="1">
        <v>1</v>
      </c>
      <c r="K270" s="8" t="s">
        <v>192</v>
      </c>
      <c r="L270" s="8" t="s">
        <v>489</v>
      </c>
      <c r="M270" s="8">
        <v>0</v>
      </c>
      <c r="N270" s="8"/>
    </row>
    <row r="271" spans="5:14" x14ac:dyDescent="0.35">
      <c r="E271" s="1" t="s">
        <v>182</v>
      </c>
      <c r="F271" s="1" t="s">
        <v>444</v>
      </c>
      <c r="G271" s="1">
        <v>1</v>
      </c>
      <c r="K271" s="8" t="s">
        <v>192</v>
      </c>
      <c r="L271" s="8" t="s">
        <v>490</v>
      </c>
      <c r="M271" s="8">
        <v>0</v>
      </c>
      <c r="N271" s="8"/>
    </row>
    <row r="272" spans="5:14" x14ac:dyDescent="0.35">
      <c r="E272" s="1" t="s">
        <v>182</v>
      </c>
      <c r="F272" s="1" t="s">
        <v>395</v>
      </c>
      <c r="G272" s="1">
        <v>1</v>
      </c>
      <c r="H272" s="1" t="s">
        <v>183</v>
      </c>
      <c r="I272" s="1" t="s">
        <v>395</v>
      </c>
      <c r="K272" s="8" t="s">
        <v>192</v>
      </c>
      <c r="L272" s="8" t="s">
        <v>1214</v>
      </c>
      <c r="M272" s="8">
        <v>0</v>
      </c>
      <c r="N272" s="8"/>
    </row>
    <row r="273" spans="5:14" x14ac:dyDescent="0.35">
      <c r="E273" s="1" t="s">
        <v>182</v>
      </c>
      <c r="F273" s="1" t="s">
        <v>441</v>
      </c>
      <c r="G273" s="1">
        <v>1</v>
      </c>
      <c r="K273" s="8" t="s">
        <v>192</v>
      </c>
      <c r="L273" s="8" t="s">
        <v>1215</v>
      </c>
      <c r="M273" s="8">
        <v>0</v>
      </c>
      <c r="N273" s="8"/>
    </row>
    <row r="274" spans="5:14" x14ac:dyDescent="0.35">
      <c r="E274" s="1" t="s">
        <v>182</v>
      </c>
      <c r="F274" s="1" t="s">
        <v>443</v>
      </c>
      <c r="G274" s="1">
        <v>1</v>
      </c>
      <c r="K274" s="8" t="s">
        <v>192</v>
      </c>
      <c r="L274" s="8" t="s">
        <v>491</v>
      </c>
      <c r="M274" s="8">
        <v>0</v>
      </c>
      <c r="N274" s="8"/>
    </row>
    <row r="275" spans="5:14" x14ac:dyDescent="0.35">
      <c r="E275" s="1" t="s">
        <v>254</v>
      </c>
      <c r="F275" s="1" t="s">
        <v>412</v>
      </c>
      <c r="G275" s="1">
        <v>1</v>
      </c>
      <c r="H275" s="1" t="s">
        <v>217</v>
      </c>
      <c r="I275" s="1" t="s">
        <v>412</v>
      </c>
      <c r="K275" s="8" t="s">
        <v>192</v>
      </c>
      <c r="L275" s="8" t="s">
        <v>492</v>
      </c>
      <c r="M275" s="8">
        <v>0</v>
      </c>
      <c r="N275" s="8"/>
    </row>
    <row r="276" spans="5:14" x14ac:dyDescent="0.35">
      <c r="E276" s="1" t="s">
        <v>254</v>
      </c>
      <c r="F276" s="1" t="s">
        <v>435</v>
      </c>
      <c r="G276" s="1">
        <v>1</v>
      </c>
      <c r="K276" s="8" t="s">
        <v>192</v>
      </c>
      <c r="L276" s="8" t="s">
        <v>493</v>
      </c>
      <c r="M276" s="8">
        <v>0</v>
      </c>
      <c r="N276" s="8"/>
    </row>
    <row r="277" spans="5:14" x14ac:dyDescent="0.35">
      <c r="E277" s="1" t="s">
        <v>254</v>
      </c>
      <c r="F277" s="1" t="s">
        <v>374</v>
      </c>
      <c r="G277" s="1">
        <v>0</v>
      </c>
      <c r="H277" s="1" t="s">
        <v>246</v>
      </c>
      <c r="I277" s="1" t="s">
        <v>374</v>
      </c>
      <c r="K277" s="8" t="s">
        <v>193</v>
      </c>
      <c r="L277" s="8" t="s">
        <v>1340</v>
      </c>
      <c r="M277" s="8">
        <v>1</v>
      </c>
      <c r="N277" s="8" t="s">
        <v>476</v>
      </c>
    </row>
    <row r="278" spans="5:14" x14ac:dyDescent="0.35">
      <c r="E278" s="1" t="s">
        <v>255</v>
      </c>
      <c r="F278" s="1" t="s">
        <v>354</v>
      </c>
      <c r="G278" s="1">
        <v>0</v>
      </c>
      <c r="H278" s="1" t="s">
        <v>214</v>
      </c>
      <c r="I278" s="1" t="s">
        <v>352</v>
      </c>
      <c r="K278" s="8" t="s">
        <v>193</v>
      </c>
      <c r="L278" s="8" t="s">
        <v>1341</v>
      </c>
      <c r="M278" s="8">
        <v>0</v>
      </c>
      <c r="N278" s="8"/>
    </row>
    <row r="279" spans="5:14" x14ac:dyDescent="0.35">
      <c r="E279" s="1" t="s">
        <v>255</v>
      </c>
      <c r="F279" s="1" t="s">
        <v>351</v>
      </c>
      <c r="G279" s="1">
        <v>0</v>
      </c>
      <c r="H279" s="1" t="s">
        <v>214</v>
      </c>
      <c r="I279" s="1" t="s">
        <v>349</v>
      </c>
      <c r="K279" s="8" t="s">
        <v>193</v>
      </c>
      <c r="L279" s="8" t="s">
        <v>1342</v>
      </c>
      <c r="M279" s="8">
        <v>1</v>
      </c>
      <c r="N279" s="8" t="s">
        <v>476</v>
      </c>
    </row>
    <row r="280" spans="5:14" x14ac:dyDescent="0.35">
      <c r="E280" s="1" t="s">
        <v>255</v>
      </c>
      <c r="F280" s="1" t="s">
        <v>353</v>
      </c>
      <c r="G280" s="1">
        <v>0</v>
      </c>
      <c r="H280" s="1" t="s">
        <v>214</v>
      </c>
      <c r="I280" s="1" t="s">
        <v>349</v>
      </c>
      <c r="K280" s="8" t="s">
        <v>193</v>
      </c>
      <c r="L280" s="8" t="s">
        <v>1343</v>
      </c>
      <c r="M280" s="8">
        <v>1</v>
      </c>
      <c r="N280" s="8"/>
    </row>
    <row r="281" spans="5:14" x14ac:dyDescent="0.35">
      <c r="E281" s="1" t="s">
        <v>255</v>
      </c>
      <c r="F281" s="1" t="s">
        <v>352</v>
      </c>
      <c r="G281" s="1">
        <v>0</v>
      </c>
      <c r="H281" s="1" t="s">
        <v>214</v>
      </c>
      <c r="I281" s="1" t="s">
        <v>352</v>
      </c>
      <c r="K281" s="8" t="s">
        <v>193</v>
      </c>
      <c r="L281" s="8" t="s">
        <v>1344</v>
      </c>
      <c r="M281" s="8">
        <v>1</v>
      </c>
      <c r="N281" s="8" t="s">
        <v>517</v>
      </c>
    </row>
    <row r="282" spans="5:14" x14ac:dyDescent="0.35">
      <c r="E282" s="1" t="s">
        <v>255</v>
      </c>
      <c r="F282" s="1" t="s">
        <v>349</v>
      </c>
      <c r="G282" s="1">
        <v>1</v>
      </c>
      <c r="H282" s="1" t="s">
        <v>282</v>
      </c>
      <c r="I282" s="1" t="s">
        <v>349</v>
      </c>
      <c r="K282" s="8" t="s">
        <v>193</v>
      </c>
      <c r="L282" s="8" t="s">
        <v>1345</v>
      </c>
      <c r="M282" s="8">
        <v>1</v>
      </c>
      <c r="N282" s="8" t="s">
        <v>476</v>
      </c>
    </row>
    <row r="283" spans="5:14" x14ac:dyDescent="0.35">
      <c r="E283" s="1" t="s">
        <v>255</v>
      </c>
      <c r="F283" s="1" t="s">
        <v>439</v>
      </c>
      <c r="G283" s="1">
        <v>1</v>
      </c>
      <c r="H283" s="1" t="s">
        <v>243</v>
      </c>
      <c r="I283" s="1" t="s">
        <v>439</v>
      </c>
      <c r="K283" s="8" t="s">
        <v>193</v>
      </c>
      <c r="L283" s="8" t="s">
        <v>1346</v>
      </c>
      <c r="M283" s="8">
        <v>1</v>
      </c>
      <c r="N283" s="8" t="s">
        <v>517</v>
      </c>
    </row>
    <row r="284" spans="5:14" x14ac:dyDescent="0.35">
      <c r="E284" s="1" t="s">
        <v>255</v>
      </c>
      <c r="F284" s="1" t="s">
        <v>412</v>
      </c>
      <c r="G284" s="1">
        <v>1</v>
      </c>
      <c r="H284" s="1" t="s">
        <v>254</v>
      </c>
      <c r="I284" s="1" t="s">
        <v>412</v>
      </c>
      <c r="K284" s="8" t="s">
        <v>193</v>
      </c>
      <c r="L284" s="8" t="s">
        <v>383</v>
      </c>
      <c r="M284" s="8">
        <v>1</v>
      </c>
      <c r="N284" s="8" t="s">
        <v>1004</v>
      </c>
    </row>
    <row r="285" spans="5:14" x14ac:dyDescent="0.35">
      <c r="E285" s="1" t="s">
        <v>255</v>
      </c>
      <c r="F285" s="1" t="s">
        <v>435</v>
      </c>
      <c r="G285" s="1">
        <v>1</v>
      </c>
      <c r="H285" s="1" t="s">
        <v>254</v>
      </c>
      <c r="I285" s="1" t="s">
        <v>435</v>
      </c>
      <c r="K285" s="8" t="s">
        <v>193</v>
      </c>
      <c r="L285" s="8" t="s">
        <v>381</v>
      </c>
      <c r="M285" s="8">
        <v>1</v>
      </c>
      <c r="N285" s="8"/>
    </row>
    <row r="286" spans="5:14" x14ac:dyDescent="0.35">
      <c r="E286" s="1" t="s">
        <v>256</v>
      </c>
      <c r="F286" s="1" t="s">
        <v>349</v>
      </c>
      <c r="G286" s="1">
        <v>1</v>
      </c>
      <c r="H286" s="1" t="s">
        <v>282</v>
      </c>
      <c r="I286" s="1" t="s">
        <v>349</v>
      </c>
      <c r="K286" s="8" t="s">
        <v>193</v>
      </c>
      <c r="L286" s="8" t="s">
        <v>350</v>
      </c>
      <c r="M286" s="8">
        <v>1</v>
      </c>
      <c r="N286" s="8"/>
    </row>
    <row r="287" spans="5:14" x14ac:dyDescent="0.35">
      <c r="E287" s="1" t="s">
        <v>256</v>
      </c>
      <c r="F287" s="1" t="s">
        <v>412</v>
      </c>
      <c r="G287" s="1">
        <v>1</v>
      </c>
      <c r="H287" s="1" t="s">
        <v>254</v>
      </c>
      <c r="I287" s="1" t="s">
        <v>412</v>
      </c>
      <c r="K287" s="8" t="s">
        <v>193</v>
      </c>
      <c r="L287" s="8" t="s">
        <v>1347</v>
      </c>
      <c r="M287" s="8">
        <v>0</v>
      </c>
      <c r="N287" s="8"/>
    </row>
    <row r="288" spans="5:14" x14ac:dyDescent="0.35">
      <c r="E288" s="1" t="s">
        <v>256</v>
      </c>
      <c r="F288" s="1" t="s">
        <v>435</v>
      </c>
      <c r="G288" s="1">
        <v>1</v>
      </c>
      <c r="H288" s="1" t="s">
        <v>254</v>
      </c>
      <c r="I288" s="1" t="s">
        <v>435</v>
      </c>
      <c r="K288" s="8" t="s">
        <v>193</v>
      </c>
      <c r="L288" s="8" t="s">
        <v>1348</v>
      </c>
      <c r="M288" s="8">
        <v>0</v>
      </c>
      <c r="N288" s="8"/>
    </row>
    <row r="289" spans="5:14" x14ac:dyDescent="0.35">
      <c r="E289" s="1" t="s">
        <v>257</v>
      </c>
      <c r="F289" s="1" t="s">
        <v>409</v>
      </c>
      <c r="G289" s="1">
        <v>0</v>
      </c>
      <c r="H289" s="1" t="s">
        <v>183</v>
      </c>
      <c r="I289" s="1" t="s">
        <v>395</v>
      </c>
      <c r="K289" s="8" t="s">
        <v>193</v>
      </c>
      <c r="L289" s="8" t="s">
        <v>1349</v>
      </c>
      <c r="M289" s="8">
        <v>0</v>
      </c>
      <c r="N289" s="8"/>
    </row>
    <row r="290" spans="5:14" x14ac:dyDescent="0.35">
      <c r="E290" s="1" t="s">
        <v>257</v>
      </c>
      <c r="F290" s="4" t="s">
        <v>445</v>
      </c>
      <c r="G290" s="1">
        <v>1</v>
      </c>
      <c r="K290" s="8" t="s">
        <v>193</v>
      </c>
      <c r="L290" s="8" t="s">
        <v>1350</v>
      </c>
      <c r="M290" s="8">
        <v>0</v>
      </c>
      <c r="N290" s="8"/>
    </row>
    <row r="291" spans="5:14" x14ac:dyDescent="0.35">
      <c r="E291" s="1" t="s">
        <v>257</v>
      </c>
      <c r="F291" s="4" t="s">
        <v>375</v>
      </c>
      <c r="G291" s="1">
        <v>1</v>
      </c>
      <c r="H291" s="1" t="s">
        <v>226</v>
      </c>
      <c r="I291" s="1" t="s">
        <v>375</v>
      </c>
      <c r="K291" s="8" t="s">
        <v>193</v>
      </c>
      <c r="L291" s="8" t="s">
        <v>1351</v>
      </c>
      <c r="M291" s="8">
        <v>0</v>
      </c>
      <c r="N291" s="8"/>
    </row>
    <row r="292" spans="5:14" x14ac:dyDescent="0.35">
      <c r="E292" s="1" t="s">
        <v>257</v>
      </c>
      <c r="F292" s="4" t="s">
        <v>376</v>
      </c>
      <c r="G292" s="1">
        <v>1</v>
      </c>
      <c r="H292" s="1" t="s">
        <v>226</v>
      </c>
      <c r="I292" s="1" t="s">
        <v>376</v>
      </c>
      <c r="K292" s="8" t="s">
        <v>193</v>
      </c>
      <c r="L292" s="8" t="s">
        <v>1352</v>
      </c>
      <c r="M292" s="8">
        <v>0</v>
      </c>
      <c r="N292" s="8"/>
    </row>
    <row r="293" spans="5:14" x14ac:dyDescent="0.35">
      <c r="E293" s="1" t="s">
        <v>257</v>
      </c>
      <c r="F293" s="4" t="s">
        <v>377</v>
      </c>
      <c r="G293" s="1">
        <v>1</v>
      </c>
      <c r="H293" s="1" t="s">
        <v>249</v>
      </c>
      <c r="I293" s="1" t="s">
        <v>377</v>
      </c>
      <c r="K293" s="8" t="s">
        <v>193</v>
      </c>
      <c r="L293" s="8" t="s">
        <v>1353</v>
      </c>
      <c r="M293" s="8">
        <v>0</v>
      </c>
      <c r="N293" s="8"/>
    </row>
    <row r="294" spans="5:14" x14ac:dyDescent="0.35">
      <c r="E294" s="1" t="s">
        <v>257</v>
      </c>
      <c r="F294" s="4" t="s">
        <v>395</v>
      </c>
      <c r="G294" s="1">
        <v>0</v>
      </c>
      <c r="H294" s="1" t="s">
        <v>183</v>
      </c>
      <c r="I294" s="1" t="s">
        <v>395</v>
      </c>
      <c r="K294" s="8" t="s">
        <v>193</v>
      </c>
      <c r="L294" s="8" t="s">
        <v>1354</v>
      </c>
      <c r="M294" s="8">
        <v>0</v>
      </c>
      <c r="N294" s="8"/>
    </row>
    <row r="295" spans="5:14" x14ac:dyDescent="0.35">
      <c r="E295" s="1" t="s">
        <v>257</v>
      </c>
      <c r="F295" s="4" t="s">
        <v>372</v>
      </c>
      <c r="G295" s="1">
        <v>1</v>
      </c>
      <c r="H295" s="1" t="s">
        <v>264</v>
      </c>
      <c r="I295" s="1" t="s">
        <v>372</v>
      </c>
      <c r="K295" s="8" t="s">
        <v>193</v>
      </c>
      <c r="L295" s="8" t="s">
        <v>355</v>
      </c>
      <c r="M295" s="8">
        <v>1</v>
      </c>
      <c r="N295" s="8"/>
    </row>
    <row r="296" spans="5:14" x14ac:dyDescent="0.35">
      <c r="E296" s="1" t="s">
        <v>258</v>
      </c>
      <c r="F296" s="1" t="s">
        <v>446</v>
      </c>
      <c r="G296" s="1">
        <v>1</v>
      </c>
      <c r="H296" s="1" t="s">
        <v>254</v>
      </c>
      <c r="I296" s="1" t="s">
        <v>412</v>
      </c>
      <c r="K296" s="8" t="s">
        <v>193</v>
      </c>
      <c r="L296" s="8" t="s">
        <v>1355</v>
      </c>
      <c r="M296" s="8">
        <v>0</v>
      </c>
      <c r="N296" s="8"/>
    </row>
    <row r="297" spans="5:14" x14ac:dyDescent="0.35">
      <c r="E297" s="1" t="s">
        <v>258</v>
      </c>
      <c r="F297" s="1" t="s">
        <v>447</v>
      </c>
      <c r="G297" s="1">
        <v>1</v>
      </c>
      <c r="H297" s="1" t="s">
        <v>254</v>
      </c>
      <c r="I297" s="1" t="s">
        <v>435</v>
      </c>
      <c r="K297" s="8" t="s">
        <v>193</v>
      </c>
      <c r="L297" s="8" t="s">
        <v>1357</v>
      </c>
      <c r="M297" s="8">
        <v>1</v>
      </c>
      <c r="N297" s="8" t="s">
        <v>476</v>
      </c>
    </row>
    <row r="298" spans="5:14" x14ac:dyDescent="0.35">
      <c r="E298" s="1" t="s">
        <v>258</v>
      </c>
      <c r="F298" s="1" t="s">
        <v>412</v>
      </c>
      <c r="G298" s="1">
        <v>1</v>
      </c>
      <c r="H298" s="1" t="s">
        <v>254</v>
      </c>
      <c r="I298" s="1" t="s">
        <v>412</v>
      </c>
      <c r="K298" s="8" t="s">
        <v>193</v>
      </c>
      <c r="L298" s="8" t="s">
        <v>1356</v>
      </c>
      <c r="M298" s="8">
        <v>1</v>
      </c>
      <c r="N298" s="8" t="s">
        <v>476</v>
      </c>
    </row>
    <row r="299" spans="5:14" x14ac:dyDescent="0.35">
      <c r="E299" s="1" t="s">
        <v>258</v>
      </c>
      <c r="F299" s="1" t="s">
        <v>435</v>
      </c>
      <c r="G299" s="1">
        <v>1</v>
      </c>
      <c r="H299" s="1" t="s">
        <v>254</v>
      </c>
      <c r="I299" s="1" t="s">
        <v>435</v>
      </c>
      <c r="K299" s="8" t="s">
        <v>193</v>
      </c>
      <c r="L299" s="8" t="s">
        <v>1358</v>
      </c>
      <c r="M299" s="8">
        <v>1</v>
      </c>
      <c r="N299" s="8" t="s">
        <v>476</v>
      </c>
    </row>
    <row r="300" spans="5:14" x14ac:dyDescent="0.35">
      <c r="E300" s="1" t="s">
        <v>259</v>
      </c>
      <c r="F300" s="1" t="s">
        <v>448</v>
      </c>
      <c r="G300" s="1">
        <v>1</v>
      </c>
      <c r="H300" s="1" t="s">
        <v>215</v>
      </c>
      <c r="I300" s="1" t="s">
        <v>410</v>
      </c>
      <c r="K300" s="8" t="s">
        <v>193</v>
      </c>
      <c r="L300" s="8" t="s">
        <v>1359</v>
      </c>
      <c r="M300" s="8">
        <v>1</v>
      </c>
      <c r="N300" s="8" t="s">
        <v>476</v>
      </c>
    </row>
    <row r="301" spans="5:14" x14ac:dyDescent="0.35">
      <c r="E301" s="1" t="s">
        <v>259</v>
      </c>
      <c r="F301" s="1" t="s">
        <v>449</v>
      </c>
      <c r="G301" s="1">
        <v>1</v>
      </c>
      <c r="H301" s="1" t="s">
        <v>215</v>
      </c>
      <c r="I301" s="1" t="s">
        <v>411</v>
      </c>
      <c r="K301" s="8" t="s">
        <v>193</v>
      </c>
      <c r="L301" s="8" t="s">
        <v>1360</v>
      </c>
      <c r="M301" s="8">
        <v>1</v>
      </c>
      <c r="N301" s="8" t="s">
        <v>476</v>
      </c>
    </row>
    <row r="302" spans="5:14" x14ac:dyDescent="0.35">
      <c r="E302" s="1" t="s">
        <v>259</v>
      </c>
      <c r="F302" s="1" t="s">
        <v>410</v>
      </c>
      <c r="G302" s="1">
        <v>1</v>
      </c>
      <c r="H302" s="1" t="s">
        <v>215</v>
      </c>
      <c r="I302" s="1" t="s">
        <v>410</v>
      </c>
      <c r="K302" s="8" t="s">
        <v>193</v>
      </c>
      <c r="L302" s="8" t="s">
        <v>1361</v>
      </c>
      <c r="M302" s="8">
        <v>1</v>
      </c>
      <c r="N302" s="8" t="s">
        <v>476</v>
      </c>
    </row>
    <row r="303" spans="5:14" x14ac:dyDescent="0.35">
      <c r="E303" s="1" t="s">
        <v>259</v>
      </c>
      <c r="F303" s="1" t="s">
        <v>411</v>
      </c>
      <c r="G303" s="1">
        <v>1</v>
      </c>
      <c r="H303" s="1" t="s">
        <v>215</v>
      </c>
      <c r="I303" s="1" t="s">
        <v>411</v>
      </c>
      <c r="K303" s="8" t="s">
        <v>193</v>
      </c>
      <c r="L303" s="8" t="s">
        <v>1362</v>
      </c>
      <c r="M303" s="8">
        <v>0</v>
      </c>
      <c r="N303" s="8"/>
    </row>
    <row r="304" spans="5:14" x14ac:dyDescent="0.35">
      <c r="E304" s="1" t="s">
        <v>260</v>
      </c>
      <c r="F304" s="1" t="s">
        <v>365</v>
      </c>
      <c r="G304" s="1">
        <v>1</v>
      </c>
      <c r="H304" s="1" t="s">
        <v>197</v>
      </c>
      <c r="I304" s="1" t="s">
        <v>358</v>
      </c>
      <c r="K304" s="8" t="s">
        <v>193</v>
      </c>
      <c r="L304" s="8" t="s">
        <v>1363</v>
      </c>
      <c r="M304" s="8">
        <v>0</v>
      </c>
      <c r="N304" s="8"/>
    </row>
    <row r="305" spans="5:14" x14ac:dyDescent="0.35">
      <c r="E305" s="1" t="s">
        <v>260</v>
      </c>
      <c r="F305" s="1" t="s">
        <v>364</v>
      </c>
      <c r="G305" s="1">
        <v>1</v>
      </c>
      <c r="H305" s="1" t="s">
        <v>197</v>
      </c>
      <c r="I305" s="1" t="s">
        <v>357</v>
      </c>
      <c r="K305" s="8" t="s">
        <v>193</v>
      </c>
      <c r="L305" s="8" t="s">
        <v>1364</v>
      </c>
      <c r="M305" s="8">
        <v>0</v>
      </c>
      <c r="N305" s="8"/>
    </row>
    <row r="306" spans="5:14" x14ac:dyDescent="0.35">
      <c r="E306" s="1" t="s">
        <v>260</v>
      </c>
      <c r="F306" s="1" t="s">
        <v>363</v>
      </c>
      <c r="G306" s="1">
        <v>1</v>
      </c>
      <c r="H306" s="1" t="s">
        <v>197</v>
      </c>
      <c r="I306" s="1" t="s">
        <v>356</v>
      </c>
      <c r="K306" s="8" t="s">
        <v>193</v>
      </c>
      <c r="L306" s="8" t="s">
        <v>1365</v>
      </c>
      <c r="M306" s="8">
        <v>0</v>
      </c>
      <c r="N306" s="8"/>
    </row>
    <row r="307" spans="5:14" x14ac:dyDescent="0.35">
      <c r="E307" s="1" t="s">
        <v>260</v>
      </c>
      <c r="F307" s="1" t="s">
        <v>362</v>
      </c>
      <c r="G307" s="1">
        <v>1</v>
      </c>
      <c r="H307" s="1" t="s">
        <v>197</v>
      </c>
      <c r="I307" s="1" t="s">
        <v>355</v>
      </c>
      <c r="K307" s="8" t="s">
        <v>193</v>
      </c>
      <c r="L307" s="8" t="s">
        <v>1366</v>
      </c>
      <c r="M307" s="8">
        <v>0</v>
      </c>
      <c r="N307" s="8"/>
    </row>
    <row r="308" spans="5:14" x14ac:dyDescent="0.35">
      <c r="E308" s="1" t="s">
        <v>260</v>
      </c>
      <c r="F308" s="1" t="s">
        <v>358</v>
      </c>
      <c r="G308" s="1">
        <v>1</v>
      </c>
      <c r="H308" s="1" t="s">
        <v>197</v>
      </c>
      <c r="I308" s="1" t="s">
        <v>358</v>
      </c>
      <c r="K308" s="8" t="s">
        <v>193</v>
      </c>
      <c r="L308" s="8" t="s">
        <v>1367</v>
      </c>
      <c r="M308" s="8">
        <v>0</v>
      </c>
      <c r="N308" s="8"/>
    </row>
    <row r="309" spans="5:14" x14ac:dyDescent="0.35">
      <c r="E309" s="1" t="s">
        <v>260</v>
      </c>
      <c r="F309" s="1" t="s">
        <v>357</v>
      </c>
      <c r="G309" s="1">
        <v>1</v>
      </c>
      <c r="H309" s="1" t="s">
        <v>197</v>
      </c>
      <c r="I309" s="1" t="s">
        <v>357</v>
      </c>
      <c r="K309" s="8" t="s">
        <v>193</v>
      </c>
      <c r="L309" s="8" t="s">
        <v>1368</v>
      </c>
      <c r="M309" s="8">
        <v>0</v>
      </c>
      <c r="N309" s="8"/>
    </row>
    <row r="310" spans="5:14" x14ac:dyDescent="0.35">
      <c r="E310" s="1" t="s">
        <v>260</v>
      </c>
      <c r="F310" s="1" t="s">
        <v>450</v>
      </c>
      <c r="G310" s="1">
        <v>1</v>
      </c>
      <c r="K310" s="8" t="s">
        <v>193</v>
      </c>
      <c r="L310" s="8" t="s">
        <v>1369</v>
      </c>
      <c r="M310" s="8">
        <v>0</v>
      </c>
      <c r="N310" s="8"/>
    </row>
    <row r="311" spans="5:14" x14ac:dyDescent="0.35">
      <c r="E311" s="1" t="s">
        <v>260</v>
      </c>
      <c r="F311" s="1" t="s">
        <v>356</v>
      </c>
      <c r="G311" s="1">
        <v>1</v>
      </c>
      <c r="H311" s="1" t="s">
        <v>197</v>
      </c>
      <c r="I311" s="1" t="s">
        <v>356</v>
      </c>
      <c r="K311" s="8" t="s">
        <v>193</v>
      </c>
      <c r="L311" s="8" t="s">
        <v>1370</v>
      </c>
      <c r="M311" s="8">
        <v>0</v>
      </c>
      <c r="N311" s="8"/>
    </row>
    <row r="312" spans="5:14" x14ac:dyDescent="0.35">
      <c r="E312" s="1" t="s">
        <v>260</v>
      </c>
      <c r="F312" s="1" t="s">
        <v>452</v>
      </c>
      <c r="G312" s="1">
        <v>1</v>
      </c>
      <c r="K312" s="8" t="s">
        <v>193</v>
      </c>
      <c r="L312" s="8" t="s">
        <v>1371</v>
      </c>
      <c r="M312" s="8">
        <v>0</v>
      </c>
      <c r="N312" s="8"/>
    </row>
    <row r="313" spans="5:14" x14ac:dyDescent="0.35">
      <c r="E313" s="1" t="s">
        <v>260</v>
      </c>
      <c r="F313" s="1" t="s">
        <v>355</v>
      </c>
      <c r="G313" s="1">
        <v>1</v>
      </c>
      <c r="H313" s="1" t="s">
        <v>197</v>
      </c>
      <c r="I313" s="1" t="s">
        <v>355</v>
      </c>
      <c r="K313" s="8" t="s">
        <v>194</v>
      </c>
      <c r="L313" s="8" t="s">
        <v>384</v>
      </c>
      <c r="M313" s="8">
        <v>1</v>
      </c>
      <c r="N313" s="8"/>
    </row>
    <row r="314" spans="5:14" x14ac:dyDescent="0.35">
      <c r="E314" s="1" t="s">
        <v>260</v>
      </c>
      <c r="F314" s="1" t="s">
        <v>451</v>
      </c>
      <c r="G314" s="1">
        <v>1</v>
      </c>
      <c r="K314" s="8" t="s">
        <v>194</v>
      </c>
      <c r="L314" s="8" t="s">
        <v>1161</v>
      </c>
      <c r="M314" s="8">
        <v>1</v>
      </c>
      <c r="N314" s="8"/>
    </row>
    <row r="315" spans="5:14" x14ac:dyDescent="0.35">
      <c r="E315" s="1" t="s">
        <v>261</v>
      </c>
      <c r="F315" s="1" t="s">
        <v>368</v>
      </c>
      <c r="G315" s="1">
        <v>1</v>
      </c>
      <c r="H315" s="1" t="s">
        <v>198</v>
      </c>
      <c r="I315" s="1" t="s">
        <v>361</v>
      </c>
      <c r="K315" s="8" t="s">
        <v>194</v>
      </c>
      <c r="L315" s="8" t="s">
        <v>480</v>
      </c>
      <c r="M315" s="8">
        <v>0</v>
      </c>
      <c r="N315" s="8"/>
    </row>
    <row r="316" spans="5:14" x14ac:dyDescent="0.35">
      <c r="E316" s="1" t="s">
        <v>261</v>
      </c>
      <c r="F316" s="1" t="s">
        <v>367</v>
      </c>
      <c r="G316" s="1">
        <v>1</v>
      </c>
      <c r="H316" s="1" t="s">
        <v>198</v>
      </c>
      <c r="I316" s="1" t="s">
        <v>360</v>
      </c>
      <c r="K316" s="8" t="s">
        <v>194</v>
      </c>
      <c r="L316" s="8" t="s">
        <v>481</v>
      </c>
      <c r="M316" s="8">
        <v>0</v>
      </c>
      <c r="N316" s="8"/>
    </row>
    <row r="317" spans="5:14" x14ac:dyDescent="0.35">
      <c r="E317" s="1" t="s">
        <v>261</v>
      </c>
      <c r="F317" s="1" t="s">
        <v>366</v>
      </c>
      <c r="G317" s="1">
        <v>1</v>
      </c>
      <c r="H317" s="1" t="s">
        <v>198</v>
      </c>
      <c r="I317" s="1" t="s">
        <v>359</v>
      </c>
      <c r="K317" s="8" t="s">
        <v>194</v>
      </c>
      <c r="L317" s="8" t="s">
        <v>482</v>
      </c>
      <c r="M317" s="8">
        <v>0</v>
      </c>
      <c r="N317" s="8"/>
    </row>
    <row r="318" spans="5:14" x14ac:dyDescent="0.35">
      <c r="E318" s="1" t="s">
        <v>261</v>
      </c>
      <c r="F318" s="1" t="s">
        <v>362</v>
      </c>
      <c r="G318" s="1">
        <v>1</v>
      </c>
      <c r="H318" s="1" t="s">
        <v>198</v>
      </c>
      <c r="I318" s="1" t="s">
        <v>355</v>
      </c>
      <c r="K318" s="8" t="s">
        <v>194</v>
      </c>
      <c r="L318" s="8" t="s">
        <v>483</v>
      </c>
      <c r="M318" s="8">
        <v>0</v>
      </c>
      <c r="N318" s="8"/>
    </row>
    <row r="319" spans="5:14" x14ac:dyDescent="0.35">
      <c r="E319" s="1" t="s">
        <v>261</v>
      </c>
      <c r="F319" s="1" t="s">
        <v>361</v>
      </c>
      <c r="G319" s="1">
        <v>1</v>
      </c>
      <c r="H319" s="1" t="s">
        <v>198</v>
      </c>
      <c r="I319" s="1" t="s">
        <v>361</v>
      </c>
      <c r="K319" s="8" t="s">
        <v>194</v>
      </c>
      <c r="L319" s="8" t="s">
        <v>484</v>
      </c>
      <c r="M319" s="8">
        <v>0</v>
      </c>
      <c r="N319" s="8"/>
    </row>
    <row r="320" spans="5:14" x14ac:dyDescent="0.35">
      <c r="E320" s="1" t="s">
        <v>261</v>
      </c>
      <c r="F320" s="1" t="s">
        <v>360</v>
      </c>
      <c r="G320" s="1">
        <v>1</v>
      </c>
      <c r="H320" s="1" t="s">
        <v>198</v>
      </c>
      <c r="I320" s="1" t="s">
        <v>360</v>
      </c>
      <c r="K320" s="8" t="s">
        <v>194</v>
      </c>
      <c r="L320" s="8" t="s">
        <v>486</v>
      </c>
      <c r="M320" s="8">
        <v>0</v>
      </c>
      <c r="N320" s="8"/>
    </row>
    <row r="321" spans="5:14" x14ac:dyDescent="0.35">
      <c r="E321" s="1" t="s">
        <v>261</v>
      </c>
      <c r="F321" s="1" t="s">
        <v>453</v>
      </c>
      <c r="G321" s="1">
        <v>1</v>
      </c>
      <c r="K321" s="8" t="s">
        <v>194</v>
      </c>
      <c r="L321" s="8" t="s">
        <v>487</v>
      </c>
      <c r="M321" s="8">
        <v>0</v>
      </c>
      <c r="N321" s="8"/>
    </row>
    <row r="322" spans="5:14" x14ac:dyDescent="0.35">
      <c r="E322" s="1" t="s">
        <v>261</v>
      </c>
      <c r="F322" s="1" t="s">
        <v>359</v>
      </c>
      <c r="G322" s="1">
        <v>1</v>
      </c>
      <c r="H322" s="1" t="s">
        <v>198</v>
      </c>
      <c r="I322" s="1" t="s">
        <v>359</v>
      </c>
      <c r="K322" s="8" t="s">
        <v>194</v>
      </c>
      <c r="L322" s="8" t="s">
        <v>488</v>
      </c>
      <c r="M322" s="8">
        <v>0</v>
      </c>
      <c r="N322" s="8"/>
    </row>
    <row r="323" spans="5:14" x14ac:dyDescent="0.35">
      <c r="E323" s="1" t="s">
        <v>261</v>
      </c>
      <c r="F323" s="1" t="s">
        <v>455</v>
      </c>
      <c r="G323" s="1">
        <v>1</v>
      </c>
      <c r="K323" s="8" t="s">
        <v>194</v>
      </c>
      <c r="L323" s="8" t="s">
        <v>489</v>
      </c>
      <c r="M323" s="8">
        <v>0</v>
      </c>
      <c r="N323" s="8"/>
    </row>
    <row r="324" spans="5:14" x14ac:dyDescent="0.35">
      <c r="E324" s="1" t="s">
        <v>261</v>
      </c>
      <c r="F324" s="1" t="s">
        <v>355</v>
      </c>
      <c r="G324" s="1">
        <v>1</v>
      </c>
      <c r="H324" s="1" t="s">
        <v>198</v>
      </c>
      <c r="I324" s="1" t="s">
        <v>355</v>
      </c>
      <c r="K324" s="8" t="s">
        <v>194</v>
      </c>
      <c r="L324" s="8" t="s">
        <v>490</v>
      </c>
      <c r="M324" s="8">
        <v>0</v>
      </c>
      <c r="N324" s="8"/>
    </row>
    <row r="325" spans="5:14" x14ac:dyDescent="0.35">
      <c r="E325" s="1" t="s">
        <v>261</v>
      </c>
      <c r="F325" s="1" t="s">
        <v>454</v>
      </c>
      <c r="G325" s="1">
        <v>1</v>
      </c>
      <c r="K325" s="8" t="s">
        <v>194</v>
      </c>
      <c r="L325" s="8" t="s">
        <v>491</v>
      </c>
      <c r="M325" s="8">
        <v>0</v>
      </c>
      <c r="N325" s="8"/>
    </row>
    <row r="326" spans="5:14" x14ac:dyDescent="0.35">
      <c r="E326" s="1" t="s">
        <v>262</v>
      </c>
      <c r="F326" s="1" t="s">
        <v>393</v>
      </c>
      <c r="G326" s="1">
        <v>1</v>
      </c>
      <c r="H326" s="1" t="s">
        <v>226</v>
      </c>
      <c r="I326" s="1" t="s">
        <v>375</v>
      </c>
      <c r="K326" s="8" t="s">
        <v>194</v>
      </c>
      <c r="L326" s="8" t="s">
        <v>492</v>
      </c>
      <c r="M326" s="8">
        <v>0</v>
      </c>
      <c r="N326" s="8"/>
    </row>
    <row r="327" spans="5:14" x14ac:dyDescent="0.35">
      <c r="E327" s="1" t="s">
        <v>262</v>
      </c>
      <c r="F327" s="1" t="s">
        <v>394</v>
      </c>
      <c r="G327" s="1">
        <v>1</v>
      </c>
      <c r="H327" s="1" t="s">
        <v>226</v>
      </c>
      <c r="I327" s="1" t="s">
        <v>376</v>
      </c>
      <c r="K327" s="8" t="s">
        <v>194</v>
      </c>
      <c r="L327" s="8" t="s">
        <v>493</v>
      </c>
      <c r="M327" s="8">
        <v>0</v>
      </c>
      <c r="N327" s="8"/>
    </row>
    <row r="328" spans="5:14" x14ac:dyDescent="0.35">
      <c r="E328" s="1" t="s">
        <v>262</v>
      </c>
      <c r="F328" s="1" t="s">
        <v>375</v>
      </c>
      <c r="G328" s="1">
        <v>1</v>
      </c>
      <c r="H328" s="1" t="s">
        <v>226</v>
      </c>
      <c r="I328" s="1" t="s">
        <v>375</v>
      </c>
      <c r="K328" s="8" t="s">
        <v>195</v>
      </c>
      <c r="L328" s="8" t="s">
        <v>354</v>
      </c>
      <c r="M328" s="8">
        <v>0</v>
      </c>
      <c r="N328" s="8"/>
    </row>
    <row r="329" spans="5:14" x14ac:dyDescent="0.35">
      <c r="E329" s="1" t="s">
        <v>262</v>
      </c>
      <c r="F329" s="1" t="s">
        <v>376</v>
      </c>
      <c r="G329" s="1">
        <v>1</v>
      </c>
      <c r="H329" s="1" t="s">
        <v>226</v>
      </c>
      <c r="I329" s="1" t="s">
        <v>376</v>
      </c>
      <c r="K329" s="8" t="s">
        <v>195</v>
      </c>
      <c r="L329" s="8" t="s">
        <v>351</v>
      </c>
      <c r="M329" s="8">
        <v>0</v>
      </c>
      <c r="N329" s="8"/>
    </row>
    <row r="330" spans="5:14" x14ac:dyDescent="0.35">
      <c r="E330" s="1" t="s">
        <v>263</v>
      </c>
      <c r="F330" s="1" t="s">
        <v>456</v>
      </c>
      <c r="G330" s="1">
        <v>1</v>
      </c>
      <c r="H330" s="1" t="s">
        <v>243</v>
      </c>
      <c r="I330" s="1" t="s">
        <v>439</v>
      </c>
      <c r="K330" s="8" t="s">
        <v>195</v>
      </c>
      <c r="L330" s="8" t="s">
        <v>353</v>
      </c>
      <c r="M330" s="8">
        <v>0</v>
      </c>
      <c r="N330" s="8"/>
    </row>
    <row r="331" spans="5:14" x14ac:dyDescent="0.35">
      <c r="E331" s="1" t="s">
        <v>263</v>
      </c>
      <c r="F331" s="1" t="s">
        <v>446</v>
      </c>
      <c r="G331" s="1">
        <v>1</v>
      </c>
      <c r="H331" s="1" t="s">
        <v>254</v>
      </c>
      <c r="I331" s="1" t="s">
        <v>412</v>
      </c>
      <c r="K331" s="8" t="s">
        <v>195</v>
      </c>
      <c r="L331" s="8" t="s">
        <v>1312</v>
      </c>
      <c r="M331" s="8">
        <v>0</v>
      </c>
      <c r="N331" s="8"/>
    </row>
    <row r="332" spans="5:14" x14ac:dyDescent="0.35">
      <c r="E332" s="1" t="s">
        <v>263</v>
      </c>
      <c r="F332" s="1" t="s">
        <v>447</v>
      </c>
      <c r="G332" s="1">
        <v>1</v>
      </c>
      <c r="H332" s="1" t="s">
        <v>254</v>
      </c>
      <c r="I332" s="1" t="s">
        <v>435</v>
      </c>
      <c r="K332" s="8" t="s">
        <v>195</v>
      </c>
      <c r="L332" s="8" t="s">
        <v>358</v>
      </c>
      <c r="M332" s="8">
        <v>1</v>
      </c>
      <c r="N332" s="8"/>
    </row>
    <row r="333" spans="5:14" x14ac:dyDescent="0.35">
      <c r="E333" s="1" t="s">
        <v>263</v>
      </c>
      <c r="F333" s="1" t="s">
        <v>439</v>
      </c>
      <c r="G333" s="1">
        <v>1</v>
      </c>
      <c r="H333" s="1" t="s">
        <v>243</v>
      </c>
      <c r="I333" s="1" t="s">
        <v>439</v>
      </c>
      <c r="K333" s="8" t="s">
        <v>195</v>
      </c>
      <c r="L333" s="8" t="s">
        <v>357</v>
      </c>
      <c r="M333" s="8">
        <v>1</v>
      </c>
      <c r="N333" s="8"/>
    </row>
    <row r="334" spans="5:14" x14ac:dyDescent="0.35">
      <c r="E334" s="1" t="s">
        <v>263</v>
      </c>
      <c r="F334" s="1" t="s">
        <v>412</v>
      </c>
      <c r="G334" s="1">
        <v>1</v>
      </c>
      <c r="H334" s="1" t="s">
        <v>254</v>
      </c>
      <c r="I334" s="1" t="s">
        <v>412</v>
      </c>
      <c r="K334" s="8" t="s">
        <v>195</v>
      </c>
      <c r="L334" s="8" t="s">
        <v>352</v>
      </c>
      <c r="M334" s="8">
        <v>0</v>
      </c>
      <c r="N334" s="8"/>
    </row>
    <row r="335" spans="5:14" x14ac:dyDescent="0.35">
      <c r="E335" s="1" t="s">
        <v>263</v>
      </c>
      <c r="F335" s="1" t="s">
        <v>435</v>
      </c>
      <c r="G335" s="1">
        <v>1</v>
      </c>
      <c r="H335" s="1" t="s">
        <v>254</v>
      </c>
      <c r="I335" s="1" t="s">
        <v>435</v>
      </c>
      <c r="K335" s="8" t="s">
        <v>195</v>
      </c>
      <c r="L335" s="8" t="s">
        <v>1224</v>
      </c>
      <c r="M335" s="8">
        <v>0</v>
      </c>
      <c r="N335" s="8"/>
    </row>
    <row r="336" spans="5:14" x14ac:dyDescent="0.35">
      <c r="E336" s="1" t="s">
        <v>263</v>
      </c>
      <c r="F336" s="1" t="s">
        <v>457</v>
      </c>
      <c r="G336" s="1">
        <v>1</v>
      </c>
      <c r="K336" s="8" t="s">
        <v>195</v>
      </c>
      <c r="L336" s="8" t="s">
        <v>349</v>
      </c>
      <c r="M336" s="8">
        <v>1</v>
      </c>
      <c r="N336" s="8"/>
    </row>
    <row r="337" spans="5:14" x14ac:dyDescent="0.35">
      <c r="E337" s="1" t="s">
        <v>264</v>
      </c>
      <c r="F337" s="1" t="s">
        <v>396</v>
      </c>
      <c r="G337" s="1">
        <v>0</v>
      </c>
      <c r="H337" s="1" t="s">
        <v>200</v>
      </c>
      <c r="I337" s="1" t="s">
        <v>396</v>
      </c>
      <c r="K337" s="8" t="s">
        <v>195</v>
      </c>
      <c r="L337" s="8" t="s">
        <v>356</v>
      </c>
      <c r="M337" s="8">
        <v>1</v>
      </c>
      <c r="N337" s="8"/>
    </row>
    <row r="338" spans="5:14" x14ac:dyDescent="0.35">
      <c r="E338" s="1" t="s">
        <v>264</v>
      </c>
      <c r="F338" s="1" t="s">
        <v>458</v>
      </c>
      <c r="G338" s="1">
        <v>0</v>
      </c>
      <c r="H338" s="1" t="s">
        <v>265</v>
      </c>
      <c r="I338" s="1" t="s">
        <v>458</v>
      </c>
      <c r="K338" s="8" t="s">
        <v>195</v>
      </c>
      <c r="L338" s="8" t="s">
        <v>715</v>
      </c>
      <c r="M338" s="8">
        <v>0</v>
      </c>
      <c r="N338" s="8"/>
    </row>
    <row r="339" spans="5:14" x14ac:dyDescent="0.35">
      <c r="E339" s="1" t="s">
        <v>264</v>
      </c>
      <c r="F339" s="1" t="s">
        <v>372</v>
      </c>
      <c r="G339" s="1">
        <v>1</v>
      </c>
      <c r="K339" s="8" t="s">
        <v>195</v>
      </c>
      <c r="L339" s="8" t="s">
        <v>636</v>
      </c>
      <c r="M339" s="8">
        <v>0</v>
      </c>
      <c r="N339" s="8"/>
    </row>
    <row r="340" spans="5:14" x14ac:dyDescent="0.35">
      <c r="E340" s="1" t="s">
        <v>265</v>
      </c>
      <c r="F340" s="1" t="s">
        <v>458</v>
      </c>
      <c r="G340" s="1">
        <v>1</v>
      </c>
      <c r="K340" s="8" t="s">
        <v>195</v>
      </c>
      <c r="L340" s="8" t="s">
        <v>355</v>
      </c>
      <c r="M340" s="8">
        <v>1</v>
      </c>
      <c r="N340" s="8"/>
    </row>
    <row r="341" spans="5:14" x14ac:dyDescent="0.35">
      <c r="E341" s="1" t="s">
        <v>266</v>
      </c>
      <c r="F341" s="1" t="s">
        <v>396</v>
      </c>
      <c r="G341" s="1">
        <v>0</v>
      </c>
      <c r="H341" s="1" t="s">
        <v>200</v>
      </c>
      <c r="I341" s="1" t="s">
        <v>396</v>
      </c>
      <c r="K341" s="8" t="s">
        <v>195</v>
      </c>
      <c r="L341" s="8" t="s">
        <v>742</v>
      </c>
      <c r="M341" s="8">
        <v>0</v>
      </c>
      <c r="N341" s="8"/>
    </row>
    <row r="342" spans="5:14" x14ac:dyDescent="0.35">
      <c r="E342" s="1" t="s">
        <v>266</v>
      </c>
      <c r="F342" s="1" t="s">
        <v>458</v>
      </c>
      <c r="G342" s="1">
        <v>0</v>
      </c>
      <c r="H342" s="1" t="s">
        <v>265</v>
      </c>
      <c r="I342" s="1" t="s">
        <v>458</v>
      </c>
      <c r="K342" s="8" t="s">
        <v>195</v>
      </c>
      <c r="L342" s="8" t="s">
        <v>1225</v>
      </c>
      <c r="M342" s="8">
        <v>1</v>
      </c>
      <c r="N342" s="8" t="s">
        <v>476</v>
      </c>
    </row>
    <row r="343" spans="5:14" x14ac:dyDescent="0.35">
      <c r="E343" s="1" t="s">
        <v>266</v>
      </c>
      <c r="F343" s="1" t="s">
        <v>372</v>
      </c>
      <c r="G343" s="1">
        <v>1</v>
      </c>
      <c r="H343" s="1" t="s">
        <v>264</v>
      </c>
      <c r="I343" s="1" t="s">
        <v>372</v>
      </c>
      <c r="K343" s="8" t="s">
        <v>195</v>
      </c>
      <c r="L343" s="8" t="s">
        <v>604</v>
      </c>
      <c r="M343" s="8">
        <v>0</v>
      </c>
      <c r="N343" s="8"/>
    </row>
    <row r="344" spans="5:14" x14ac:dyDescent="0.35">
      <c r="E344" s="1" t="s">
        <v>267</v>
      </c>
      <c r="F344" s="1" t="s">
        <v>350</v>
      </c>
      <c r="G344" s="1">
        <v>1</v>
      </c>
      <c r="H344" s="1" t="s">
        <v>190</v>
      </c>
      <c r="I344" s="1" t="s">
        <v>350</v>
      </c>
      <c r="K344" s="8" t="s">
        <v>196</v>
      </c>
      <c r="L344" s="8" t="s">
        <v>354</v>
      </c>
      <c r="M344" s="8">
        <v>0</v>
      </c>
      <c r="N344" s="8"/>
    </row>
    <row r="345" spans="5:14" x14ac:dyDescent="0.35">
      <c r="E345" s="1" t="s">
        <v>267</v>
      </c>
      <c r="F345" s="1" t="s">
        <v>375</v>
      </c>
      <c r="G345" s="1">
        <v>0</v>
      </c>
      <c r="H345" s="1" t="s">
        <v>226</v>
      </c>
      <c r="I345" s="1" t="s">
        <v>375</v>
      </c>
      <c r="K345" s="8" t="s">
        <v>196</v>
      </c>
      <c r="L345" s="8" t="s">
        <v>351</v>
      </c>
      <c r="M345" s="8">
        <v>1</v>
      </c>
      <c r="N345" s="8"/>
    </row>
    <row r="346" spans="5:14" x14ac:dyDescent="0.35">
      <c r="E346" s="1" t="s">
        <v>267</v>
      </c>
      <c r="F346" s="1" t="s">
        <v>376</v>
      </c>
      <c r="G346" s="1">
        <v>0</v>
      </c>
      <c r="H346" s="1" t="s">
        <v>226</v>
      </c>
      <c r="I346" s="1" t="s">
        <v>376</v>
      </c>
      <c r="K346" s="8" t="s">
        <v>196</v>
      </c>
      <c r="L346" s="8" t="s">
        <v>353</v>
      </c>
      <c r="M346" s="8">
        <v>0</v>
      </c>
      <c r="N346" s="8"/>
    </row>
    <row r="347" spans="5:14" x14ac:dyDescent="0.35">
      <c r="E347" s="1" t="s">
        <v>267</v>
      </c>
      <c r="F347" s="1" t="s">
        <v>459</v>
      </c>
      <c r="G347" s="1">
        <v>1</v>
      </c>
      <c r="K347" s="8" t="s">
        <v>196</v>
      </c>
      <c r="L347" s="8" t="s">
        <v>1472</v>
      </c>
      <c r="M347" s="8">
        <v>0</v>
      </c>
      <c r="N347" s="8"/>
    </row>
    <row r="348" spans="5:14" x14ac:dyDescent="0.35">
      <c r="E348" s="1" t="s">
        <v>268</v>
      </c>
      <c r="F348" s="1" t="s">
        <v>469</v>
      </c>
      <c r="G348" s="1">
        <v>1</v>
      </c>
      <c r="H348" s="1" t="s">
        <v>270</v>
      </c>
      <c r="I348" s="1" t="s">
        <v>373</v>
      </c>
      <c r="K348" s="8" t="s">
        <v>196</v>
      </c>
      <c r="L348" s="8" t="s">
        <v>361</v>
      </c>
      <c r="M348" s="8">
        <v>1</v>
      </c>
      <c r="N348" s="8"/>
    </row>
    <row r="349" spans="5:14" x14ac:dyDescent="0.35">
      <c r="E349" s="1" t="s">
        <v>268</v>
      </c>
      <c r="F349" s="1" t="s">
        <v>373</v>
      </c>
      <c r="G349" s="1">
        <v>1</v>
      </c>
      <c r="H349" s="1" t="s">
        <v>270</v>
      </c>
      <c r="I349" s="1" t="s">
        <v>373</v>
      </c>
      <c r="K349" s="8" t="s">
        <v>196</v>
      </c>
      <c r="L349" s="8" t="s">
        <v>360</v>
      </c>
      <c r="M349" s="8">
        <v>1</v>
      </c>
      <c r="N349" s="8"/>
    </row>
    <row r="350" spans="5:14" x14ac:dyDescent="0.35">
      <c r="E350" s="1" t="s">
        <v>269</v>
      </c>
      <c r="F350" s="1" t="s">
        <v>414</v>
      </c>
      <c r="G350" s="1">
        <v>1</v>
      </c>
      <c r="K350" s="8" t="s">
        <v>196</v>
      </c>
      <c r="L350" s="8" t="s">
        <v>352</v>
      </c>
      <c r="M350" s="8">
        <v>1</v>
      </c>
      <c r="N350" s="8"/>
    </row>
    <row r="351" spans="5:14" x14ac:dyDescent="0.35">
      <c r="E351" s="1" t="s">
        <v>270</v>
      </c>
      <c r="F351" s="1" t="s">
        <v>405</v>
      </c>
      <c r="G351" s="1">
        <v>0</v>
      </c>
      <c r="H351" s="1" t="s">
        <v>207</v>
      </c>
      <c r="I351" s="1" t="s">
        <v>405</v>
      </c>
      <c r="K351" s="8" t="s">
        <v>196</v>
      </c>
      <c r="L351" s="8" t="s">
        <v>1383</v>
      </c>
      <c r="M351" s="8">
        <v>0</v>
      </c>
      <c r="N351" s="8"/>
    </row>
    <row r="352" spans="5:14" x14ac:dyDescent="0.35">
      <c r="E352" s="1" t="s">
        <v>270</v>
      </c>
      <c r="F352" s="1" t="s">
        <v>350</v>
      </c>
      <c r="G352" s="1">
        <v>0</v>
      </c>
      <c r="H352" s="1" t="s">
        <v>286</v>
      </c>
      <c r="I352" s="1" t="s">
        <v>350</v>
      </c>
      <c r="K352" s="8" t="s">
        <v>196</v>
      </c>
      <c r="L352" s="8" t="s">
        <v>349</v>
      </c>
      <c r="M352" s="8">
        <v>1</v>
      </c>
      <c r="N352" s="8"/>
    </row>
    <row r="353" spans="5:14" x14ac:dyDescent="0.35">
      <c r="E353" s="1" t="s">
        <v>270</v>
      </c>
      <c r="F353" s="1" t="s">
        <v>412</v>
      </c>
      <c r="G353" s="1">
        <v>0</v>
      </c>
      <c r="H353" s="1" t="s">
        <v>217</v>
      </c>
      <c r="I353" s="1" t="s">
        <v>412</v>
      </c>
      <c r="K353" s="8" t="s">
        <v>196</v>
      </c>
      <c r="L353" s="8" t="s">
        <v>359</v>
      </c>
      <c r="M353" s="8">
        <v>1</v>
      </c>
      <c r="N353" s="8"/>
    </row>
    <row r="354" spans="5:14" x14ac:dyDescent="0.35">
      <c r="E354" s="1" t="s">
        <v>270</v>
      </c>
      <c r="F354" s="1" t="s">
        <v>373</v>
      </c>
      <c r="G354" s="1">
        <v>1</v>
      </c>
      <c r="K354" s="8" t="s">
        <v>196</v>
      </c>
      <c r="L354" s="8" t="s">
        <v>355</v>
      </c>
      <c r="M354" s="8">
        <v>1</v>
      </c>
      <c r="N354" s="8"/>
    </row>
    <row r="355" spans="5:14" x14ac:dyDescent="0.35">
      <c r="E355" s="1" t="s">
        <v>270</v>
      </c>
      <c r="F355" s="1" t="s">
        <v>432</v>
      </c>
      <c r="G355" s="1">
        <v>0</v>
      </c>
      <c r="H355" s="1" t="s">
        <v>286</v>
      </c>
      <c r="I355" s="1" t="s">
        <v>432</v>
      </c>
      <c r="K355" s="8" t="s">
        <v>196</v>
      </c>
      <c r="L355" s="8" t="s">
        <v>1382</v>
      </c>
      <c r="M355" s="8">
        <v>0</v>
      </c>
      <c r="N355" s="8"/>
    </row>
    <row r="356" spans="5:14" x14ac:dyDescent="0.35">
      <c r="E356" s="1" t="s">
        <v>270</v>
      </c>
      <c r="F356" s="1" t="s">
        <v>433</v>
      </c>
      <c r="G356" s="1">
        <v>0</v>
      </c>
      <c r="H356" s="1" t="s">
        <v>286</v>
      </c>
      <c r="I356" s="1" t="s">
        <v>433</v>
      </c>
      <c r="K356" s="8" t="s">
        <v>197</v>
      </c>
      <c r="L356" s="8" t="s">
        <v>385</v>
      </c>
      <c r="M356" s="8">
        <v>1</v>
      </c>
      <c r="N356" s="8"/>
    </row>
    <row r="357" spans="5:14" x14ac:dyDescent="0.35">
      <c r="E357" s="1" t="s">
        <v>270</v>
      </c>
      <c r="F357" s="1" t="s">
        <v>434</v>
      </c>
      <c r="G357" s="1">
        <v>0</v>
      </c>
      <c r="H357" s="1" t="s">
        <v>286</v>
      </c>
      <c r="I357" s="1" t="s">
        <v>434</v>
      </c>
      <c r="K357" s="8" t="s">
        <v>197</v>
      </c>
      <c r="L357" s="8" t="s">
        <v>392</v>
      </c>
      <c r="M357" s="8">
        <v>0</v>
      </c>
      <c r="N357" s="8"/>
    </row>
    <row r="358" spans="5:14" x14ac:dyDescent="0.35">
      <c r="E358" s="1" t="s">
        <v>271</v>
      </c>
      <c r="F358" s="1" t="s">
        <v>377</v>
      </c>
      <c r="G358" s="1">
        <v>0</v>
      </c>
      <c r="H358" s="1" t="s">
        <v>249</v>
      </c>
      <c r="I358" s="1" t="s">
        <v>377</v>
      </c>
      <c r="K358" s="8" t="s">
        <v>197</v>
      </c>
      <c r="L358" s="8" t="s">
        <v>391</v>
      </c>
      <c r="M358" s="8">
        <v>0</v>
      </c>
      <c r="N358" s="8"/>
    </row>
    <row r="359" spans="5:14" x14ac:dyDescent="0.35">
      <c r="E359" s="1" t="s">
        <v>271</v>
      </c>
      <c r="F359" s="1" t="s">
        <v>462</v>
      </c>
      <c r="G359" s="1">
        <v>1</v>
      </c>
      <c r="K359" s="8" t="s">
        <v>197</v>
      </c>
      <c r="L359" s="8" t="s">
        <v>393</v>
      </c>
      <c r="M359" s="8">
        <v>0</v>
      </c>
      <c r="N359" s="8"/>
    </row>
    <row r="360" spans="5:14" x14ac:dyDescent="0.35">
      <c r="E360" s="1" t="s">
        <v>272</v>
      </c>
      <c r="F360" s="1" t="s">
        <v>463</v>
      </c>
      <c r="G360" s="1">
        <v>1</v>
      </c>
      <c r="K360" s="8" t="s">
        <v>197</v>
      </c>
      <c r="L360" s="8" t="s">
        <v>394</v>
      </c>
      <c r="M360" s="8">
        <v>0</v>
      </c>
      <c r="N360" s="8"/>
    </row>
    <row r="361" spans="5:14" x14ac:dyDescent="0.35">
      <c r="E361" s="1" t="s">
        <v>272</v>
      </c>
      <c r="F361" s="1" t="s">
        <v>462</v>
      </c>
      <c r="G361" s="1">
        <v>1</v>
      </c>
      <c r="H361" s="1" t="s">
        <v>271</v>
      </c>
      <c r="I361" s="1" t="s">
        <v>462</v>
      </c>
      <c r="K361" s="8" t="s">
        <v>197</v>
      </c>
      <c r="L361" s="8" t="s">
        <v>1226</v>
      </c>
      <c r="M361" s="8">
        <v>0</v>
      </c>
      <c r="N361" s="8"/>
    </row>
    <row r="362" spans="5:14" x14ac:dyDescent="0.35">
      <c r="E362" s="1" t="s">
        <v>272</v>
      </c>
      <c r="F362" s="1" t="s">
        <v>380</v>
      </c>
      <c r="G362" s="1">
        <v>0</v>
      </c>
      <c r="H362" s="1" t="s">
        <v>284</v>
      </c>
      <c r="I362" s="1" t="s">
        <v>380</v>
      </c>
      <c r="K362" s="8" t="s">
        <v>197</v>
      </c>
      <c r="L362" s="8" t="s">
        <v>1227</v>
      </c>
      <c r="M362" s="8">
        <v>0</v>
      </c>
      <c r="N362" s="8" t="s">
        <v>476</v>
      </c>
    </row>
    <row r="363" spans="5:14" x14ac:dyDescent="0.35">
      <c r="E363" s="1" t="s">
        <v>273</v>
      </c>
      <c r="F363" s="1" t="s">
        <v>375</v>
      </c>
      <c r="G363" s="1">
        <v>1</v>
      </c>
      <c r="H363" s="1" t="s">
        <v>226</v>
      </c>
      <c r="I363" s="1" t="s">
        <v>375</v>
      </c>
      <c r="K363" s="8" t="s">
        <v>197</v>
      </c>
      <c r="L363" s="8" t="s">
        <v>1228</v>
      </c>
      <c r="M363" s="8">
        <v>0</v>
      </c>
      <c r="N363" s="8"/>
    </row>
    <row r="364" spans="5:14" x14ac:dyDescent="0.35">
      <c r="E364" s="1" t="s">
        <v>273</v>
      </c>
      <c r="F364" s="1" t="s">
        <v>376</v>
      </c>
      <c r="G364" s="1">
        <v>1</v>
      </c>
      <c r="H364" s="1" t="s">
        <v>226</v>
      </c>
      <c r="I364" s="1" t="s">
        <v>376</v>
      </c>
      <c r="K364" s="8" t="s">
        <v>197</v>
      </c>
      <c r="L364" s="8" t="s">
        <v>1229</v>
      </c>
      <c r="M364" s="8">
        <v>0</v>
      </c>
      <c r="N364" s="8"/>
    </row>
    <row r="365" spans="5:14" x14ac:dyDescent="0.35">
      <c r="E365" s="1" t="s">
        <v>273</v>
      </c>
      <c r="F365" s="1" t="s">
        <v>462</v>
      </c>
      <c r="G365" s="1">
        <v>1</v>
      </c>
      <c r="H365" s="1" t="s">
        <v>271</v>
      </c>
      <c r="I365" s="1" t="s">
        <v>462</v>
      </c>
      <c r="K365" s="8" t="s">
        <v>197</v>
      </c>
      <c r="L365" s="8" t="s">
        <v>1230</v>
      </c>
      <c r="M365" s="8">
        <v>1</v>
      </c>
      <c r="N365" s="8"/>
    </row>
    <row r="366" spans="5:14" x14ac:dyDescent="0.35">
      <c r="E366" s="1" t="s">
        <v>274</v>
      </c>
      <c r="F366" s="1" t="s">
        <v>446</v>
      </c>
      <c r="G366" s="1">
        <v>1</v>
      </c>
      <c r="H366" s="1" t="s">
        <v>254</v>
      </c>
      <c r="I366" s="1" t="s">
        <v>412</v>
      </c>
      <c r="K366" s="8" t="s">
        <v>197</v>
      </c>
      <c r="L366" s="8" t="s">
        <v>1231</v>
      </c>
      <c r="M366" s="8">
        <v>1</v>
      </c>
      <c r="N366" s="8" t="s">
        <v>517</v>
      </c>
    </row>
    <row r="367" spans="5:14" x14ac:dyDescent="0.35">
      <c r="E367" s="1" t="s">
        <v>274</v>
      </c>
      <c r="F367" s="1" t="s">
        <v>447</v>
      </c>
      <c r="G367" s="1">
        <v>1</v>
      </c>
      <c r="H367" s="1" t="s">
        <v>254</v>
      </c>
      <c r="I367" s="1" t="s">
        <v>435</v>
      </c>
      <c r="K367" s="8" t="s">
        <v>197</v>
      </c>
      <c r="L367" s="8" t="s">
        <v>1232</v>
      </c>
      <c r="M367" s="8">
        <v>0</v>
      </c>
      <c r="N367" s="8"/>
    </row>
    <row r="368" spans="5:14" x14ac:dyDescent="0.35">
      <c r="E368" s="1" t="s">
        <v>274</v>
      </c>
      <c r="F368" s="1" t="s">
        <v>412</v>
      </c>
      <c r="G368" s="1">
        <v>1</v>
      </c>
      <c r="H368" s="1" t="s">
        <v>254</v>
      </c>
      <c r="I368" s="1" t="s">
        <v>412</v>
      </c>
      <c r="K368" s="8" t="s">
        <v>197</v>
      </c>
      <c r="L368" s="8" t="s">
        <v>1233</v>
      </c>
      <c r="M368" s="8">
        <v>0</v>
      </c>
      <c r="N368" s="8"/>
    </row>
    <row r="369" spans="5:14" x14ac:dyDescent="0.35">
      <c r="E369" s="1" t="s">
        <v>274</v>
      </c>
      <c r="F369" s="1" t="s">
        <v>435</v>
      </c>
      <c r="G369" s="1">
        <v>1</v>
      </c>
      <c r="H369" s="1" t="s">
        <v>254</v>
      </c>
      <c r="I369" s="1" t="s">
        <v>435</v>
      </c>
      <c r="K369" s="8" t="s">
        <v>197</v>
      </c>
      <c r="L369" s="8" t="s">
        <v>1234</v>
      </c>
      <c r="M369" s="8">
        <v>0</v>
      </c>
      <c r="N369" s="8"/>
    </row>
    <row r="370" spans="5:14" x14ac:dyDescent="0.35">
      <c r="E370" s="1" t="s">
        <v>275</v>
      </c>
      <c r="F370" s="1" t="s">
        <v>350</v>
      </c>
      <c r="G370" s="1">
        <v>1</v>
      </c>
      <c r="H370" s="1" t="s">
        <v>190</v>
      </c>
      <c r="I370" s="1" t="s">
        <v>350</v>
      </c>
      <c r="K370" s="8" t="s">
        <v>197</v>
      </c>
      <c r="L370" s="8" t="s">
        <v>1235</v>
      </c>
      <c r="M370" s="8">
        <v>1</v>
      </c>
      <c r="N370" s="8" t="s">
        <v>476</v>
      </c>
    </row>
    <row r="371" spans="5:14" x14ac:dyDescent="0.35">
      <c r="E371" s="1" t="s">
        <v>275</v>
      </c>
      <c r="F371" s="1" t="s">
        <v>464</v>
      </c>
      <c r="G371" s="1">
        <v>1</v>
      </c>
      <c r="K371" s="8" t="s">
        <v>197</v>
      </c>
      <c r="L371" s="8" t="s">
        <v>1236</v>
      </c>
      <c r="M371" s="8">
        <v>0</v>
      </c>
      <c r="N371" s="8" t="s">
        <v>476</v>
      </c>
    </row>
    <row r="372" spans="5:14" x14ac:dyDescent="0.35">
      <c r="E372" s="1" t="s">
        <v>275</v>
      </c>
      <c r="F372" s="1" t="s">
        <v>465</v>
      </c>
      <c r="G372" s="1">
        <v>1</v>
      </c>
      <c r="K372" s="8" t="s">
        <v>197</v>
      </c>
      <c r="L372" s="8" t="s">
        <v>1237</v>
      </c>
      <c r="M372" s="8">
        <v>1</v>
      </c>
      <c r="N372" s="8" t="s">
        <v>746</v>
      </c>
    </row>
    <row r="373" spans="5:14" x14ac:dyDescent="0.35">
      <c r="E373" s="1" t="s">
        <v>275</v>
      </c>
      <c r="F373" s="1" t="s">
        <v>466</v>
      </c>
      <c r="G373" s="1">
        <v>1</v>
      </c>
      <c r="K373" s="8" t="s">
        <v>197</v>
      </c>
      <c r="L373" s="8" t="s">
        <v>1238</v>
      </c>
      <c r="M373" s="8">
        <v>0</v>
      </c>
      <c r="N373" s="8" t="s">
        <v>476</v>
      </c>
    </row>
    <row r="374" spans="5:14" x14ac:dyDescent="0.35">
      <c r="E374" s="1" t="s">
        <v>276</v>
      </c>
      <c r="F374" s="1" t="s">
        <v>468</v>
      </c>
      <c r="G374" s="1">
        <v>1</v>
      </c>
      <c r="K374" s="8" t="s">
        <v>197</v>
      </c>
      <c r="L374" s="8" t="s">
        <v>1239</v>
      </c>
      <c r="M374" s="8">
        <v>1</v>
      </c>
      <c r="N374" s="8"/>
    </row>
    <row r="375" spans="5:14" x14ac:dyDescent="0.35">
      <c r="E375" s="1" t="s">
        <v>276</v>
      </c>
      <c r="F375" s="1" t="s">
        <v>438</v>
      </c>
      <c r="G375" s="1">
        <v>1</v>
      </c>
      <c r="H375" s="1" t="s">
        <v>240</v>
      </c>
      <c r="I375" s="1" t="s">
        <v>438</v>
      </c>
      <c r="K375" s="8" t="s">
        <v>197</v>
      </c>
      <c r="L375" s="8" t="s">
        <v>1240</v>
      </c>
      <c r="M375" s="8">
        <v>1</v>
      </c>
      <c r="N375" s="8" t="s">
        <v>751</v>
      </c>
    </row>
    <row r="376" spans="5:14" x14ac:dyDescent="0.35">
      <c r="E376" s="1" t="s">
        <v>278</v>
      </c>
      <c r="F376" s="1" t="s">
        <v>470</v>
      </c>
      <c r="G376" s="1">
        <v>1</v>
      </c>
      <c r="H376" s="1" t="s">
        <v>288</v>
      </c>
      <c r="I376" s="1" t="s">
        <v>415</v>
      </c>
      <c r="K376" s="8" t="s">
        <v>197</v>
      </c>
      <c r="L376" s="8" t="s">
        <v>1243</v>
      </c>
      <c r="M376" s="8">
        <v>0</v>
      </c>
      <c r="N376" s="8"/>
    </row>
    <row r="377" spans="5:14" x14ac:dyDescent="0.35">
      <c r="E377" s="1" t="s">
        <v>278</v>
      </c>
      <c r="F377" s="1" t="s">
        <v>415</v>
      </c>
      <c r="G377" s="1">
        <v>1</v>
      </c>
      <c r="H377" s="1" t="s">
        <v>288</v>
      </c>
      <c r="I377" s="1" t="s">
        <v>415</v>
      </c>
      <c r="K377" s="8" t="s">
        <v>197</v>
      </c>
      <c r="L377" s="8" t="s">
        <v>1244</v>
      </c>
      <c r="M377" s="8">
        <v>0</v>
      </c>
      <c r="N377" s="8"/>
    </row>
    <row r="378" spans="5:14" x14ac:dyDescent="0.35">
      <c r="E378" s="1" t="s">
        <v>279</v>
      </c>
      <c r="F378" s="1" t="s">
        <v>375</v>
      </c>
      <c r="G378" s="1">
        <v>1</v>
      </c>
      <c r="H378" s="1" t="s">
        <v>226</v>
      </c>
      <c r="I378" s="1" t="s">
        <v>375</v>
      </c>
      <c r="K378" s="8" t="s">
        <v>197</v>
      </c>
      <c r="L378" s="8" t="s">
        <v>1245</v>
      </c>
      <c r="M378" s="8">
        <v>1</v>
      </c>
      <c r="N378" s="8" t="s">
        <v>1007</v>
      </c>
    </row>
    <row r="379" spans="5:14" x14ac:dyDescent="0.35">
      <c r="E379" s="1" t="s">
        <v>279</v>
      </c>
      <c r="F379" s="1" t="s">
        <v>376</v>
      </c>
      <c r="G379" s="1">
        <v>1</v>
      </c>
      <c r="H379" s="1" t="s">
        <v>226</v>
      </c>
      <c r="I379" s="1" t="s">
        <v>376</v>
      </c>
      <c r="K379" s="8" t="s">
        <v>197</v>
      </c>
      <c r="L379" s="8" t="s">
        <v>1246</v>
      </c>
      <c r="M379" s="8">
        <v>0</v>
      </c>
      <c r="N379" s="8"/>
    </row>
    <row r="380" spans="5:14" x14ac:dyDescent="0.35">
      <c r="E380" s="1" t="s">
        <v>279</v>
      </c>
      <c r="F380" s="1" t="s">
        <v>387</v>
      </c>
      <c r="G380" s="1">
        <v>1</v>
      </c>
      <c r="H380" s="1" t="s">
        <v>280</v>
      </c>
      <c r="I380" s="1" t="s">
        <v>387</v>
      </c>
      <c r="K380" s="8" t="s">
        <v>197</v>
      </c>
      <c r="L380" s="8" t="s">
        <v>1247</v>
      </c>
      <c r="M380" s="8">
        <v>0</v>
      </c>
      <c r="N380" s="8"/>
    </row>
    <row r="381" spans="5:14" x14ac:dyDescent="0.35">
      <c r="E381" s="1" t="s">
        <v>280</v>
      </c>
      <c r="F381" s="1" t="s">
        <v>387</v>
      </c>
      <c r="G381" s="1">
        <v>1</v>
      </c>
      <c r="K381" s="8" t="s">
        <v>197</v>
      </c>
      <c r="L381" s="8" t="s">
        <v>1248</v>
      </c>
      <c r="M381" s="8">
        <v>0</v>
      </c>
      <c r="N381" s="8"/>
    </row>
    <row r="382" spans="5:14" x14ac:dyDescent="0.35">
      <c r="E382" s="1" t="s">
        <v>281</v>
      </c>
      <c r="F382" s="1" t="s">
        <v>370</v>
      </c>
      <c r="G382" s="1">
        <v>1</v>
      </c>
      <c r="K382" s="8" t="s">
        <v>197</v>
      </c>
      <c r="L382" s="8" t="s">
        <v>1249</v>
      </c>
      <c r="M382" s="8">
        <v>0</v>
      </c>
      <c r="N382" s="8"/>
    </row>
    <row r="383" spans="5:14" x14ac:dyDescent="0.35">
      <c r="E383" s="1" t="s">
        <v>282</v>
      </c>
      <c r="F383" s="1" t="s">
        <v>349</v>
      </c>
      <c r="G383" s="1">
        <v>1</v>
      </c>
      <c r="K383" s="8" t="s">
        <v>197</v>
      </c>
      <c r="L383" s="8" t="s">
        <v>1250</v>
      </c>
      <c r="M383" s="8">
        <v>0</v>
      </c>
      <c r="N383" s="8"/>
    </row>
    <row r="384" spans="5:14" x14ac:dyDescent="0.35">
      <c r="E384" s="1" t="s">
        <v>283</v>
      </c>
      <c r="F384" s="1" t="s">
        <v>471</v>
      </c>
      <c r="G384" s="1">
        <v>1</v>
      </c>
      <c r="K384" s="8" t="s">
        <v>197</v>
      </c>
      <c r="L384" s="8" t="s">
        <v>1251</v>
      </c>
      <c r="M384" s="8">
        <v>0</v>
      </c>
      <c r="N384" s="8"/>
    </row>
    <row r="385" spans="5:14" x14ac:dyDescent="0.35">
      <c r="E385" s="1" t="s">
        <v>284</v>
      </c>
      <c r="F385" s="1" t="s">
        <v>380</v>
      </c>
      <c r="G385" s="1">
        <v>1</v>
      </c>
      <c r="K385" s="8" t="s">
        <v>197</v>
      </c>
      <c r="L385" s="8" t="s">
        <v>1252</v>
      </c>
      <c r="M385" s="8">
        <v>0</v>
      </c>
      <c r="N385" s="8"/>
    </row>
    <row r="386" spans="5:14" x14ac:dyDescent="0.35">
      <c r="E386" s="1" t="s">
        <v>285</v>
      </c>
      <c r="F386" s="1" t="s">
        <v>472</v>
      </c>
      <c r="G386" s="1">
        <v>1</v>
      </c>
      <c r="K386" s="8" t="s">
        <v>197</v>
      </c>
      <c r="L386" s="8" t="s">
        <v>1253</v>
      </c>
      <c r="M386" s="8">
        <v>0</v>
      </c>
      <c r="N386" s="8"/>
    </row>
    <row r="387" spans="5:14" x14ac:dyDescent="0.35">
      <c r="E387" s="1" t="s">
        <v>285</v>
      </c>
      <c r="F387" s="1" t="s">
        <v>473</v>
      </c>
      <c r="G387" s="1">
        <v>1</v>
      </c>
      <c r="K387" s="8" t="s">
        <v>197</v>
      </c>
      <c r="L387" s="8" t="s">
        <v>1254</v>
      </c>
      <c r="M387" s="8">
        <v>0</v>
      </c>
      <c r="N387" s="8"/>
    </row>
    <row r="388" spans="5:14" x14ac:dyDescent="0.35">
      <c r="E388" s="1" t="s">
        <v>286</v>
      </c>
      <c r="F388" s="1" t="s">
        <v>350</v>
      </c>
      <c r="G388" s="1">
        <v>1</v>
      </c>
      <c r="H388" s="1" t="s">
        <v>190</v>
      </c>
      <c r="I388" s="1" t="s">
        <v>350</v>
      </c>
      <c r="K388" s="8" t="s">
        <v>197</v>
      </c>
      <c r="L388" s="8" t="s">
        <v>1241</v>
      </c>
      <c r="M388" s="8">
        <v>0</v>
      </c>
      <c r="N388" s="8"/>
    </row>
    <row r="389" spans="5:14" x14ac:dyDescent="0.35">
      <c r="E389" s="1" t="s">
        <v>286</v>
      </c>
      <c r="F389" s="1" t="s">
        <v>412</v>
      </c>
      <c r="G389" s="1">
        <v>0</v>
      </c>
      <c r="H389" s="1" t="s">
        <v>217</v>
      </c>
      <c r="I389" s="1" t="s">
        <v>412</v>
      </c>
      <c r="K389" s="8" t="s">
        <v>197</v>
      </c>
      <c r="L389" s="8" t="s">
        <v>1242</v>
      </c>
      <c r="M389" s="8">
        <v>0</v>
      </c>
      <c r="N389" s="8"/>
    </row>
    <row r="390" spans="5:14" x14ac:dyDescent="0.35">
      <c r="E390" s="1" t="s">
        <v>286</v>
      </c>
      <c r="F390" s="1" t="s">
        <v>432</v>
      </c>
      <c r="G390" s="1">
        <v>1</v>
      </c>
      <c r="K390" s="8" t="s">
        <v>197</v>
      </c>
      <c r="L390" s="8" t="s">
        <v>1255</v>
      </c>
      <c r="M390" s="8">
        <v>0</v>
      </c>
      <c r="N390" s="8"/>
    </row>
    <row r="391" spans="5:14" x14ac:dyDescent="0.35">
      <c r="E391" s="1" t="s">
        <v>286</v>
      </c>
      <c r="F391" s="1" t="s">
        <v>433</v>
      </c>
      <c r="G391" s="1">
        <v>1</v>
      </c>
      <c r="K391" s="8" t="s">
        <v>197</v>
      </c>
      <c r="L391" s="8" t="s">
        <v>1256</v>
      </c>
      <c r="M391" s="8">
        <v>0</v>
      </c>
      <c r="N391" s="8"/>
    </row>
    <row r="392" spans="5:14" x14ac:dyDescent="0.35">
      <c r="E392" s="1" t="s">
        <v>286</v>
      </c>
      <c r="F392" s="1" t="s">
        <v>434</v>
      </c>
      <c r="G392" s="1">
        <v>1</v>
      </c>
      <c r="K392" s="8" t="s">
        <v>197</v>
      </c>
      <c r="L392" s="8" t="s">
        <v>1257</v>
      </c>
      <c r="M392" s="8">
        <v>0</v>
      </c>
      <c r="N392" s="8"/>
    </row>
    <row r="393" spans="5:14" x14ac:dyDescent="0.35">
      <c r="E393" s="1" t="s">
        <v>287</v>
      </c>
      <c r="F393" s="1" t="s">
        <v>417</v>
      </c>
      <c r="G393" s="1">
        <v>1</v>
      </c>
      <c r="H393" s="1" t="s">
        <v>228</v>
      </c>
      <c r="I393" s="1" t="s">
        <v>417</v>
      </c>
      <c r="K393" s="8" t="s">
        <v>197</v>
      </c>
      <c r="L393" s="8" t="s">
        <v>1258</v>
      </c>
      <c r="M393" s="8">
        <v>0</v>
      </c>
      <c r="N393" s="8"/>
    </row>
    <row r="394" spans="5:14" x14ac:dyDescent="0.35">
      <c r="E394" s="1" t="s">
        <v>287</v>
      </c>
      <c r="F394" s="1" t="s">
        <v>410</v>
      </c>
      <c r="G394" s="1">
        <v>0</v>
      </c>
      <c r="H394" s="1" t="s">
        <v>229</v>
      </c>
      <c r="I394" s="1" t="s">
        <v>410</v>
      </c>
      <c r="K394" s="8" t="s">
        <v>197</v>
      </c>
      <c r="L394" s="8" t="s">
        <v>1259</v>
      </c>
      <c r="M394" s="8">
        <v>0</v>
      </c>
      <c r="N394" s="8" t="s">
        <v>476</v>
      </c>
    </row>
    <row r="395" spans="5:14" x14ac:dyDescent="0.35">
      <c r="E395" s="1" t="s">
        <v>287</v>
      </c>
      <c r="F395" s="1" t="s">
        <v>460</v>
      </c>
      <c r="G395" s="1">
        <v>1</v>
      </c>
      <c r="K395" s="8" t="s">
        <v>197</v>
      </c>
      <c r="L395" s="8" t="s">
        <v>1260</v>
      </c>
      <c r="M395" s="8">
        <v>1</v>
      </c>
      <c r="N395" s="8" t="s">
        <v>476</v>
      </c>
    </row>
    <row r="396" spans="5:14" x14ac:dyDescent="0.35">
      <c r="E396" s="1" t="s">
        <v>287</v>
      </c>
      <c r="F396" s="1" t="s">
        <v>461</v>
      </c>
      <c r="G396" s="1">
        <v>1</v>
      </c>
      <c r="K396" s="8" t="s">
        <v>197</v>
      </c>
      <c r="L396" s="8" t="s">
        <v>1261</v>
      </c>
      <c r="M396" s="8">
        <v>0</v>
      </c>
      <c r="N396" s="8"/>
    </row>
    <row r="397" spans="5:14" x14ac:dyDescent="0.35">
      <c r="E397" s="1" t="s">
        <v>288</v>
      </c>
      <c r="F397" s="1" t="s">
        <v>415</v>
      </c>
      <c r="G397" s="1">
        <v>1</v>
      </c>
      <c r="K397" s="8" t="s">
        <v>197</v>
      </c>
      <c r="L397" s="8" t="s">
        <v>1262</v>
      </c>
      <c r="M397" s="8">
        <v>0</v>
      </c>
      <c r="N397" s="8"/>
    </row>
    <row r="398" spans="5:14" x14ac:dyDescent="0.35">
      <c r="E398" s="1" t="s">
        <v>1998</v>
      </c>
      <c r="F398" s="1" t="s">
        <v>2138</v>
      </c>
      <c r="G398" s="1">
        <v>1</v>
      </c>
      <c r="K398" s="8" t="s">
        <v>197</v>
      </c>
      <c r="L398" s="8" t="s">
        <v>1263</v>
      </c>
      <c r="M398" s="8">
        <v>0</v>
      </c>
      <c r="N398" s="8"/>
    </row>
    <row r="399" spans="5:14" x14ac:dyDescent="0.35">
      <c r="E399" s="1" t="s">
        <v>1998</v>
      </c>
      <c r="F399" s="1" t="s">
        <v>358</v>
      </c>
      <c r="G399" s="1">
        <v>1</v>
      </c>
      <c r="K399" s="8" t="s">
        <v>197</v>
      </c>
      <c r="L399" s="8" t="s">
        <v>1264</v>
      </c>
      <c r="M399" s="8">
        <v>0</v>
      </c>
      <c r="N399" s="8"/>
    </row>
    <row r="400" spans="5:14" x14ac:dyDescent="0.35">
      <c r="E400" s="1" t="s">
        <v>1998</v>
      </c>
      <c r="F400" s="1" t="s">
        <v>357</v>
      </c>
      <c r="G400" s="1">
        <v>1</v>
      </c>
      <c r="K400" s="8" t="s">
        <v>197</v>
      </c>
      <c r="L400" s="8" t="s">
        <v>1265</v>
      </c>
      <c r="M400" s="8">
        <v>0</v>
      </c>
      <c r="N400" s="8"/>
    </row>
    <row r="401" spans="5:14" x14ac:dyDescent="0.35">
      <c r="E401" s="1" t="s">
        <v>1998</v>
      </c>
      <c r="F401" s="1" t="s">
        <v>350</v>
      </c>
      <c r="G401" s="1">
        <v>1</v>
      </c>
      <c r="K401" s="8" t="s">
        <v>197</v>
      </c>
      <c r="L401" s="8" t="s">
        <v>358</v>
      </c>
      <c r="M401" s="8">
        <v>1</v>
      </c>
      <c r="N401" s="8"/>
    </row>
    <row r="402" spans="5:14" x14ac:dyDescent="0.35">
      <c r="E402" s="1" t="s">
        <v>1998</v>
      </c>
      <c r="F402" s="1" t="s">
        <v>356</v>
      </c>
      <c r="G402" s="1">
        <v>1</v>
      </c>
      <c r="K402" s="8" t="s">
        <v>197</v>
      </c>
      <c r="L402" s="8" t="s">
        <v>358</v>
      </c>
      <c r="M402" s="8">
        <v>1</v>
      </c>
      <c r="N402" s="8"/>
    </row>
    <row r="403" spans="5:14" x14ac:dyDescent="0.35">
      <c r="E403" s="1" t="s">
        <v>1998</v>
      </c>
      <c r="F403" s="1" t="s">
        <v>355</v>
      </c>
      <c r="G403" s="1">
        <v>1</v>
      </c>
      <c r="K403" s="8" t="s">
        <v>197</v>
      </c>
      <c r="L403" s="8" t="s">
        <v>358</v>
      </c>
      <c r="M403" s="8">
        <v>1</v>
      </c>
      <c r="N403" s="8"/>
    </row>
    <row r="404" spans="5:14" x14ac:dyDescent="0.35">
      <c r="E404" s="1" t="s">
        <v>1999</v>
      </c>
      <c r="F404" s="1" t="s">
        <v>2139</v>
      </c>
      <c r="G404" s="1">
        <v>1</v>
      </c>
      <c r="K404" s="8" t="s">
        <v>197</v>
      </c>
      <c r="L404" s="8" t="s">
        <v>358</v>
      </c>
      <c r="M404" s="8">
        <v>1</v>
      </c>
      <c r="N404" s="8"/>
    </row>
    <row r="405" spans="5:14" x14ac:dyDescent="0.35">
      <c r="E405" s="1" t="s">
        <v>1999</v>
      </c>
      <c r="F405" s="1" t="s">
        <v>361</v>
      </c>
      <c r="G405" s="1">
        <v>1</v>
      </c>
      <c r="K405" s="8" t="s">
        <v>197</v>
      </c>
      <c r="L405" s="8" t="s">
        <v>358</v>
      </c>
      <c r="M405" s="8">
        <v>1</v>
      </c>
      <c r="N405" s="8"/>
    </row>
    <row r="406" spans="5:14" x14ac:dyDescent="0.35">
      <c r="E406" s="1" t="s">
        <v>1999</v>
      </c>
      <c r="F406" s="1" t="s">
        <v>360</v>
      </c>
      <c r="G406" s="1">
        <v>1</v>
      </c>
      <c r="K406" s="8" t="s">
        <v>197</v>
      </c>
      <c r="L406" s="8" t="s">
        <v>358</v>
      </c>
      <c r="M406" s="8">
        <v>1</v>
      </c>
      <c r="N406" s="8"/>
    </row>
    <row r="407" spans="5:14" x14ac:dyDescent="0.35">
      <c r="E407" s="1" t="s">
        <v>1999</v>
      </c>
      <c r="F407" s="1" t="s">
        <v>350</v>
      </c>
      <c r="G407" s="1">
        <v>1</v>
      </c>
      <c r="K407" s="8" t="s">
        <v>197</v>
      </c>
      <c r="L407" s="8" t="s">
        <v>1266</v>
      </c>
      <c r="M407" s="8">
        <v>0</v>
      </c>
      <c r="N407" s="8"/>
    </row>
    <row r="408" spans="5:14" x14ac:dyDescent="0.35">
      <c r="E408" s="1" t="s">
        <v>1999</v>
      </c>
      <c r="F408" s="1" t="s">
        <v>359</v>
      </c>
      <c r="G408" s="1">
        <v>1</v>
      </c>
      <c r="K408" s="8" t="s">
        <v>197</v>
      </c>
      <c r="L408" s="8" t="s">
        <v>1267</v>
      </c>
      <c r="M408" s="8">
        <v>1</v>
      </c>
      <c r="N408" s="8" t="s">
        <v>619</v>
      </c>
    </row>
    <row r="409" spans="5:14" x14ac:dyDescent="0.35">
      <c r="E409" s="1" t="s">
        <v>1999</v>
      </c>
      <c r="F409" s="1" t="s">
        <v>355</v>
      </c>
      <c r="G409" s="1">
        <v>1</v>
      </c>
      <c r="K409" s="8" t="s">
        <v>197</v>
      </c>
      <c r="L409" s="8" t="s">
        <v>1268</v>
      </c>
      <c r="M409" s="8">
        <v>0</v>
      </c>
      <c r="N409" s="8" t="s">
        <v>476</v>
      </c>
    </row>
    <row r="410" spans="5:14" x14ac:dyDescent="0.35">
      <c r="E410" s="1" t="s">
        <v>2000</v>
      </c>
      <c r="F410" s="1" t="s">
        <v>365</v>
      </c>
      <c r="G410" s="1">
        <v>1</v>
      </c>
      <c r="H410" s="1" t="s">
        <v>197</v>
      </c>
      <c r="I410" s="1" t="s">
        <v>358</v>
      </c>
      <c r="K410" s="8" t="s">
        <v>197</v>
      </c>
      <c r="L410" s="8" t="s">
        <v>1269</v>
      </c>
      <c r="M410" s="8">
        <v>0</v>
      </c>
      <c r="N410" s="8"/>
    </row>
    <row r="411" spans="5:14" x14ac:dyDescent="0.35">
      <c r="E411" s="1" t="s">
        <v>2000</v>
      </c>
      <c r="F411" s="1" t="s">
        <v>364</v>
      </c>
      <c r="G411" s="1">
        <v>1</v>
      </c>
      <c r="H411" s="1" t="s">
        <v>197</v>
      </c>
      <c r="I411" s="1" t="s">
        <v>357</v>
      </c>
      <c r="K411" s="8" t="s">
        <v>197</v>
      </c>
      <c r="L411" s="8" t="s">
        <v>1270</v>
      </c>
      <c r="M411" s="8">
        <v>0</v>
      </c>
      <c r="N411" s="8" t="s">
        <v>476</v>
      </c>
    </row>
    <row r="412" spans="5:14" x14ac:dyDescent="0.35">
      <c r="E412" s="1" t="s">
        <v>2000</v>
      </c>
      <c r="F412" s="1" t="s">
        <v>363</v>
      </c>
      <c r="G412" s="1">
        <v>1</v>
      </c>
      <c r="H412" s="1" t="s">
        <v>197</v>
      </c>
      <c r="I412" s="1" t="s">
        <v>356</v>
      </c>
      <c r="K412" s="8" t="s">
        <v>197</v>
      </c>
      <c r="L412" s="8" t="s">
        <v>1271</v>
      </c>
      <c r="M412" s="8">
        <v>1</v>
      </c>
      <c r="N412" s="8" t="s">
        <v>517</v>
      </c>
    </row>
    <row r="413" spans="5:14" x14ac:dyDescent="0.35">
      <c r="E413" s="1" t="s">
        <v>2000</v>
      </c>
      <c r="F413" s="1" t="s">
        <v>362</v>
      </c>
      <c r="G413" s="1">
        <v>1</v>
      </c>
      <c r="H413" s="1" t="s">
        <v>197</v>
      </c>
      <c r="I413" s="1" t="s">
        <v>355</v>
      </c>
      <c r="K413" s="8" t="s">
        <v>197</v>
      </c>
      <c r="L413" s="8" t="s">
        <v>1272</v>
      </c>
      <c r="M413" s="8">
        <v>1</v>
      </c>
      <c r="N413" s="8" t="s">
        <v>764</v>
      </c>
    </row>
    <row r="414" spans="5:14" x14ac:dyDescent="0.35">
      <c r="E414" s="1" t="s">
        <v>2000</v>
      </c>
      <c r="F414" s="1" t="s">
        <v>358</v>
      </c>
      <c r="G414" s="1">
        <v>1</v>
      </c>
      <c r="H414" s="1" t="s">
        <v>197</v>
      </c>
      <c r="I414" s="1" t="s">
        <v>358</v>
      </c>
      <c r="K414" s="8" t="s">
        <v>197</v>
      </c>
      <c r="L414" s="8" t="s">
        <v>1273</v>
      </c>
      <c r="M414" s="8">
        <v>0</v>
      </c>
      <c r="N414" s="8"/>
    </row>
    <row r="415" spans="5:14" x14ac:dyDescent="0.35">
      <c r="E415" s="1" t="s">
        <v>2000</v>
      </c>
      <c r="F415" s="1" t="s">
        <v>357</v>
      </c>
      <c r="G415" s="1">
        <v>1</v>
      </c>
      <c r="H415" s="1" t="s">
        <v>197</v>
      </c>
      <c r="I415" s="1" t="s">
        <v>357</v>
      </c>
      <c r="K415" s="8" t="s">
        <v>197</v>
      </c>
      <c r="L415" s="8" t="s">
        <v>357</v>
      </c>
      <c r="M415" s="8">
        <v>1</v>
      </c>
      <c r="N415" s="8"/>
    </row>
    <row r="416" spans="5:14" x14ac:dyDescent="0.35">
      <c r="E416" s="1" t="s">
        <v>2000</v>
      </c>
      <c r="F416" s="1" t="s">
        <v>356</v>
      </c>
      <c r="G416" s="1">
        <v>1</v>
      </c>
      <c r="H416" s="1" t="s">
        <v>197</v>
      </c>
      <c r="I416" s="1" t="s">
        <v>356</v>
      </c>
      <c r="K416" s="8" t="s">
        <v>197</v>
      </c>
      <c r="L416" s="8" t="s">
        <v>357</v>
      </c>
      <c r="M416" s="8">
        <v>1</v>
      </c>
      <c r="N416" s="8"/>
    </row>
    <row r="417" spans="5:14" x14ac:dyDescent="0.35">
      <c r="E417" s="1" t="s">
        <v>2000</v>
      </c>
      <c r="F417" s="1" t="s">
        <v>355</v>
      </c>
      <c r="G417" s="1">
        <v>1</v>
      </c>
      <c r="H417" s="1" t="s">
        <v>197</v>
      </c>
      <c r="I417" s="1" t="s">
        <v>355</v>
      </c>
      <c r="K417" s="8" t="s">
        <v>197</v>
      </c>
      <c r="L417" s="8" t="s">
        <v>357</v>
      </c>
      <c r="M417" s="8">
        <v>1</v>
      </c>
      <c r="N417" s="8"/>
    </row>
    <row r="418" spans="5:14" x14ac:dyDescent="0.35">
      <c r="E418" s="1" t="s">
        <v>2000</v>
      </c>
      <c r="F418" s="1" t="s">
        <v>2140</v>
      </c>
      <c r="G418" s="1">
        <v>1</v>
      </c>
      <c r="K418" s="8" t="s">
        <v>197</v>
      </c>
      <c r="L418" s="8" t="s">
        <v>357</v>
      </c>
      <c r="M418" s="8">
        <v>1</v>
      </c>
      <c r="N418" s="8"/>
    </row>
    <row r="419" spans="5:14" x14ac:dyDescent="0.35">
      <c r="E419" s="1" t="s">
        <v>2001</v>
      </c>
      <c r="F419" s="1" t="s">
        <v>368</v>
      </c>
      <c r="G419" s="1">
        <v>1</v>
      </c>
      <c r="H419" s="1" t="s">
        <v>198</v>
      </c>
      <c r="I419" s="1" t="s">
        <v>361</v>
      </c>
      <c r="K419" s="8" t="s">
        <v>197</v>
      </c>
      <c r="L419" s="8" t="s">
        <v>357</v>
      </c>
      <c r="M419" s="8">
        <v>1</v>
      </c>
      <c r="N419" s="8"/>
    </row>
    <row r="420" spans="5:14" x14ac:dyDescent="0.35">
      <c r="E420" s="1" t="s">
        <v>2001</v>
      </c>
      <c r="F420" s="1" t="s">
        <v>367</v>
      </c>
      <c r="G420" s="1">
        <v>1</v>
      </c>
      <c r="H420" s="1" t="s">
        <v>198</v>
      </c>
      <c r="I420" s="1" t="s">
        <v>360</v>
      </c>
      <c r="K420" s="8" t="s">
        <v>197</v>
      </c>
      <c r="L420" s="8" t="s">
        <v>357</v>
      </c>
      <c r="M420" s="8">
        <v>1</v>
      </c>
      <c r="N420" s="8"/>
    </row>
    <row r="421" spans="5:14" x14ac:dyDescent="0.35">
      <c r="E421" s="1" t="s">
        <v>2001</v>
      </c>
      <c r="F421" s="1" t="s">
        <v>366</v>
      </c>
      <c r="G421" s="1">
        <v>1</v>
      </c>
      <c r="H421" s="1" t="s">
        <v>198</v>
      </c>
      <c r="I421" s="1" t="s">
        <v>359</v>
      </c>
      <c r="K421" s="8" t="s">
        <v>197</v>
      </c>
      <c r="L421" s="8" t="s">
        <v>1274</v>
      </c>
      <c r="M421" s="8">
        <v>1</v>
      </c>
      <c r="N421" s="8" t="s">
        <v>476</v>
      </c>
    </row>
    <row r="422" spans="5:14" x14ac:dyDescent="0.35">
      <c r="E422" s="1" t="s">
        <v>2001</v>
      </c>
      <c r="F422" s="1" t="s">
        <v>362</v>
      </c>
      <c r="G422" s="1">
        <v>1</v>
      </c>
      <c r="H422" s="1" t="s">
        <v>198</v>
      </c>
      <c r="I422" s="1" t="s">
        <v>355</v>
      </c>
      <c r="K422" s="8" t="s">
        <v>197</v>
      </c>
      <c r="L422" s="8" t="s">
        <v>1275</v>
      </c>
      <c r="M422" s="8">
        <v>0</v>
      </c>
      <c r="N422" s="8"/>
    </row>
    <row r="423" spans="5:14" x14ac:dyDescent="0.35">
      <c r="E423" s="1" t="s">
        <v>2001</v>
      </c>
      <c r="F423" s="1" t="s">
        <v>361</v>
      </c>
      <c r="G423" s="1">
        <v>1</v>
      </c>
      <c r="H423" s="1" t="s">
        <v>198</v>
      </c>
      <c r="I423" s="1" t="s">
        <v>361</v>
      </c>
      <c r="K423" s="8" t="s">
        <v>197</v>
      </c>
      <c r="L423" s="8" t="s">
        <v>1276</v>
      </c>
      <c r="M423" s="8">
        <v>0</v>
      </c>
      <c r="N423" s="8"/>
    </row>
    <row r="424" spans="5:14" x14ac:dyDescent="0.35">
      <c r="E424" s="1" t="s">
        <v>2001</v>
      </c>
      <c r="F424" s="1" t="s">
        <v>360</v>
      </c>
      <c r="G424" s="1">
        <v>1</v>
      </c>
      <c r="H424" s="1" t="s">
        <v>198</v>
      </c>
      <c r="I424" s="1" t="s">
        <v>360</v>
      </c>
      <c r="K424" s="8" t="s">
        <v>197</v>
      </c>
      <c r="L424" s="8" t="s">
        <v>1277</v>
      </c>
      <c r="M424" s="8">
        <v>1</v>
      </c>
      <c r="N424" s="8" t="s">
        <v>476</v>
      </c>
    </row>
    <row r="425" spans="5:14" x14ac:dyDescent="0.35">
      <c r="E425" s="1" t="s">
        <v>2001</v>
      </c>
      <c r="F425" s="1" t="s">
        <v>359</v>
      </c>
      <c r="G425" s="1">
        <v>1</v>
      </c>
      <c r="H425" s="1" t="s">
        <v>198</v>
      </c>
      <c r="I425" s="1" t="s">
        <v>359</v>
      </c>
      <c r="K425" s="8" t="s">
        <v>197</v>
      </c>
      <c r="L425" s="8" t="s">
        <v>1278</v>
      </c>
      <c r="M425" s="8">
        <v>0</v>
      </c>
      <c r="N425" s="8" t="s">
        <v>476</v>
      </c>
    </row>
    <row r="426" spans="5:14" x14ac:dyDescent="0.35">
      <c r="E426" s="1" t="s">
        <v>2001</v>
      </c>
      <c r="F426" s="1" t="s">
        <v>355</v>
      </c>
      <c r="G426" s="1">
        <v>1</v>
      </c>
      <c r="H426" s="1" t="s">
        <v>198</v>
      </c>
      <c r="I426" s="1" t="s">
        <v>355</v>
      </c>
      <c r="K426" s="8" t="s">
        <v>197</v>
      </c>
      <c r="L426" s="8" t="s">
        <v>1279</v>
      </c>
      <c r="M426" s="8">
        <v>0</v>
      </c>
      <c r="N426" s="8"/>
    </row>
    <row r="427" spans="5:14" x14ac:dyDescent="0.35">
      <c r="E427" s="1" t="s">
        <v>2001</v>
      </c>
      <c r="F427" s="1" t="s">
        <v>2141</v>
      </c>
      <c r="G427" s="1">
        <v>1</v>
      </c>
      <c r="K427" s="8" t="s">
        <v>197</v>
      </c>
      <c r="L427" s="8" t="s">
        <v>1280</v>
      </c>
      <c r="M427" s="8">
        <v>1</v>
      </c>
      <c r="N427" s="8" t="s">
        <v>476</v>
      </c>
    </row>
    <row r="428" spans="5:14" x14ac:dyDescent="0.35">
      <c r="E428" s="1" t="s">
        <v>2002</v>
      </c>
      <c r="F428" s="1" t="s">
        <v>358</v>
      </c>
      <c r="G428" s="1">
        <v>1</v>
      </c>
      <c r="H428" s="1" t="s">
        <v>197</v>
      </c>
      <c r="I428" s="1" t="s">
        <v>358</v>
      </c>
      <c r="K428" s="8" t="s">
        <v>197</v>
      </c>
      <c r="L428" s="8" t="s">
        <v>1281</v>
      </c>
      <c r="M428" s="8">
        <v>0</v>
      </c>
      <c r="N428" s="8"/>
    </row>
    <row r="429" spans="5:14" x14ac:dyDescent="0.35">
      <c r="E429" s="1" t="s">
        <v>2002</v>
      </c>
      <c r="F429" s="1" t="s">
        <v>357</v>
      </c>
      <c r="G429" s="1">
        <v>1</v>
      </c>
      <c r="H429" s="1" t="s">
        <v>197</v>
      </c>
      <c r="I429" s="1" t="s">
        <v>357</v>
      </c>
      <c r="K429" s="8" t="s">
        <v>197</v>
      </c>
      <c r="L429" s="8" t="s">
        <v>1282</v>
      </c>
      <c r="M429" s="8">
        <v>0</v>
      </c>
      <c r="N429" s="8"/>
    </row>
    <row r="430" spans="5:14" x14ac:dyDescent="0.35">
      <c r="E430" s="1" t="s">
        <v>2002</v>
      </c>
      <c r="F430" s="1" t="s">
        <v>369</v>
      </c>
      <c r="G430" s="1">
        <v>1</v>
      </c>
      <c r="H430" s="1" t="s">
        <v>225</v>
      </c>
      <c r="I430" s="1" t="s">
        <v>369</v>
      </c>
      <c r="K430" s="8" t="s">
        <v>197</v>
      </c>
      <c r="L430" s="8" t="s">
        <v>1283</v>
      </c>
      <c r="M430" s="8">
        <v>0</v>
      </c>
      <c r="N430" s="8"/>
    </row>
    <row r="431" spans="5:14" x14ac:dyDescent="0.35">
      <c r="E431" s="1" t="s">
        <v>2002</v>
      </c>
      <c r="F431" s="1" t="s">
        <v>356</v>
      </c>
      <c r="G431" s="1">
        <v>1</v>
      </c>
      <c r="H431" s="1" t="s">
        <v>197</v>
      </c>
      <c r="I431" s="1" t="s">
        <v>356</v>
      </c>
      <c r="K431" s="8" t="s">
        <v>197</v>
      </c>
      <c r="L431" s="8" t="s">
        <v>1284</v>
      </c>
      <c r="M431" s="8">
        <v>0</v>
      </c>
      <c r="N431" s="8"/>
    </row>
    <row r="432" spans="5:14" x14ac:dyDescent="0.35">
      <c r="E432" s="1" t="s">
        <v>2002</v>
      </c>
      <c r="F432" s="1" t="s">
        <v>355</v>
      </c>
      <c r="G432" s="1">
        <v>1</v>
      </c>
      <c r="H432" s="1" t="s">
        <v>197</v>
      </c>
      <c r="I432" s="1" t="s">
        <v>355</v>
      </c>
      <c r="K432" s="8" t="s">
        <v>197</v>
      </c>
      <c r="L432" s="8" t="s">
        <v>1285</v>
      </c>
      <c r="M432" s="8">
        <v>0</v>
      </c>
      <c r="N432" s="8" t="s">
        <v>476</v>
      </c>
    </row>
    <row r="433" spans="5:14" x14ac:dyDescent="0.35">
      <c r="E433" s="1" t="s">
        <v>2003</v>
      </c>
      <c r="F433" s="1" t="s">
        <v>361</v>
      </c>
      <c r="G433" s="1">
        <v>1</v>
      </c>
      <c r="H433" s="1" t="s">
        <v>198</v>
      </c>
      <c r="I433" s="1" t="s">
        <v>361</v>
      </c>
      <c r="K433" s="8" t="s">
        <v>197</v>
      </c>
      <c r="L433" s="8" t="s">
        <v>1288</v>
      </c>
      <c r="M433" s="8">
        <v>0</v>
      </c>
      <c r="N433" s="8"/>
    </row>
    <row r="434" spans="5:14" x14ac:dyDescent="0.35">
      <c r="E434" s="1" t="s">
        <v>2003</v>
      </c>
      <c r="F434" s="1" t="s">
        <v>360</v>
      </c>
      <c r="G434" s="1">
        <v>1</v>
      </c>
      <c r="H434" s="1" t="s">
        <v>198</v>
      </c>
      <c r="I434" s="1" t="s">
        <v>360</v>
      </c>
      <c r="K434" s="8" t="s">
        <v>197</v>
      </c>
      <c r="L434" s="8" t="s">
        <v>1286</v>
      </c>
      <c r="M434" s="8">
        <v>0</v>
      </c>
      <c r="N434" s="8" t="s">
        <v>476</v>
      </c>
    </row>
    <row r="435" spans="5:14" x14ac:dyDescent="0.35">
      <c r="E435" s="1" t="s">
        <v>2003</v>
      </c>
      <c r="F435" s="1" t="s">
        <v>369</v>
      </c>
      <c r="G435" s="1">
        <v>1</v>
      </c>
      <c r="H435" s="1" t="s">
        <v>225</v>
      </c>
      <c r="I435" s="1" t="s">
        <v>369</v>
      </c>
      <c r="K435" s="8" t="s">
        <v>197</v>
      </c>
      <c r="L435" s="8" t="s">
        <v>1287</v>
      </c>
      <c r="M435" s="8">
        <v>0</v>
      </c>
      <c r="N435" s="8" t="s">
        <v>476</v>
      </c>
    </row>
    <row r="436" spans="5:14" x14ac:dyDescent="0.35">
      <c r="E436" s="1" t="s">
        <v>2003</v>
      </c>
      <c r="F436" s="1" t="s">
        <v>359</v>
      </c>
      <c r="G436" s="1">
        <v>1</v>
      </c>
      <c r="H436" s="1" t="s">
        <v>198</v>
      </c>
      <c r="I436" s="1" t="s">
        <v>359</v>
      </c>
      <c r="K436" s="8" t="s">
        <v>197</v>
      </c>
      <c r="L436" s="8" t="s">
        <v>1289</v>
      </c>
      <c r="M436" s="8">
        <v>1</v>
      </c>
      <c r="N436" s="8" t="s">
        <v>773</v>
      </c>
    </row>
    <row r="437" spans="5:14" x14ac:dyDescent="0.35">
      <c r="E437" s="1" t="s">
        <v>2003</v>
      </c>
      <c r="F437" s="1" t="s">
        <v>355</v>
      </c>
      <c r="G437" s="1">
        <v>1</v>
      </c>
      <c r="H437" s="1" t="s">
        <v>198</v>
      </c>
      <c r="I437" s="1" t="s">
        <v>355</v>
      </c>
      <c r="K437" s="8" t="s">
        <v>197</v>
      </c>
      <c r="L437" s="8" t="s">
        <v>1290</v>
      </c>
      <c r="M437" s="8">
        <v>0</v>
      </c>
      <c r="N437" s="8"/>
    </row>
    <row r="438" spans="5:14" x14ac:dyDescent="0.35">
      <c r="E438" s="1" t="s">
        <v>2004</v>
      </c>
      <c r="F438" s="1" t="s">
        <v>358</v>
      </c>
      <c r="G438" s="1">
        <v>1</v>
      </c>
      <c r="H438" s="1" t="s">
        <v>197</v>
      </c>
      <c r="I438" s="1" t="s">
        <v>358</v>
      </c>
      <c r="K438" s="8" t="s">
        <v>197</v>
      </c>
      <c r="L438" s="8" t="s">
        <v>1291</v>
      </c>
      <c r="M438" s="8">
        <v>0</v>
      </c>
      <c r="N438" s="8"/>
    </row>
    <row r="439" spans="5:14" x14ac:dyDescent="0.35">
      <c r="E439" s="1" t="s">
        <v>2004</v>
      </c>
      <c r="F439" s="1" t="s">
        <v>357</v>
      </c>
      <c r="G439" s="1">
        <v>1</v>
      </c>
      <c r="H439" s="1" t="s">
        <v>197</v>
      </c>
      <c r="I439" s="1" t="s">
        <v>357</v>
      </c>
      <c r="K439" s="8" t="s">
        <v>197</v>
      </c>
      <c r="L439" s="8" t="s">
        <v>1292</v>
      </c>
      <c r="M439" s="8">
        <v>0</v>
      </c>
      <c r="N439" s="8"/>
    </row>
    <row r="440" spans="5:14" x14ac:dyDescent="0.35">
      <c r="E440" s="1" t="s">
        <v>2004</v>
      </c>
      <c r="F440" s="1" t="s">
        <v>356</v>
      </c>
      <c r="G440" s="1">
        <v>1</v>
      </c>
      <c r="H440" s="1" t="s">
        <v>197</v>
      </c>
      <c r="I440" s="1" t="s">
        <v>356</v>
      </c>
      <c r="K440" s="8" t="s">
        <v>197</v>
      </c>
      <c r="L440" s="8" t="s">
        <v>1293</v>
      </c>
      <c r="M440" s="8">
        <v>0</v>
      </c>
      <c r="N440" s="8"/>
    </row>
    <row r="441" spans="5:14" x14ac:dyDescent="0.35">
      <c r="E441" s="1" t="s">
        <v>2004</v>
      </c>
      <c r="F441" s="1" t="s">
        <v>355</v>
      </c>
      <c r="G441" s="1">
        <v>1</v>
      </c>
      <c r="H441" s="1" t="s">
        <v>197</v>
      </c>
      <c r="I441" s="1" t="s">
        <v>355</v>
      </c>
      <c r="K441" s="8" t="s">
        <v>197</v>
      </c>
      <c r="L441" s="8" t="s">
        <v>1294</v>
      </c>
      <c r="M441" s="8">
        <v>0</v>
      </c>
      <c r="N441" s="8"/>
    </row>
    <row r="442" spans="5:14" x14ac:dyDescent="0.35">
      <c r="E442" s="1" t="s">
        <v>2004</v>
      </c>
      <c r="F442" s="1" t="s">
        <v>371</v>
      </c>
      <c r="G442" s="1">
        <v>1</v>
      </c>
      <c r="H442" s="1" t="s">
        <v>251</v>
      </c>
      <c r="I442" s="1" t="s">
        <v>371</v>
      </c>
      <c r="K442" s="8" t="s">
        <v>197</v>
      </c>
      <c r="L442" s="8" t="s">
        <v>1295</v>
      </c>
      <c r="M442" s="8">
        <v>0</v>
      </c>
      <c r="N442" s="8"/>
    </row>
    <row r="443" spans="5:14" x14ac:dyDescent="0.35">
      <c r="E443" s="1" t="s">
        <v>2004</v>
      </c>
      <c r="F443" s="1" t="s">
        <v>370</v>
      </c>
      <c r="G443" s="1">
        <v>1</v>
      </c>
      <c r="H443" s="1" t="s">
        <v>251</v>
      </c>
      <c r="I443" s="1" t="s">
        <v>370</v>
      </c>
      <c r="K443" s="8" t="s">
        <v>197</v>
      </c>
      <c r="L443" s="8" t="s">
        <v>1296</v>
      </c>
      <c r="M443" s="8">
        <v>0</v>
      </c>
      <c r="N443" s="8" t="s">
        <v>476</v>
      </c>
    </row>
    <row r="444" spans="5:14" x14ac:dyDescent="0.35">
      <c r="E444" s="1" t="s">
        <v>2005</v>
      </c>
      <c r="F444" s="1" t="s">
        <v>361</v>
      </c>
      <c r="G444" s="1">
        <v>1</v>
      </c>
      <c r="H444" s="1" t="s">
        <v>198</v>
      </c>
      <c r="I444" s="1" t="s">
        <v>361</v>
      </c>
      <c r="K444" s="8" t="s">
        <v>197</v>
      </c>
      <c r="L444" s="8" t="s">
        <v>1297</v>
      </c>
      <c r="M444" s="8">
        <v>0</v>
      </c>
      <c r="N444" s="8" t="s">
        <v>476</v>
      </c>
    </row>
    <row r="445" spans="5:14" x14ac:dyDescent="0.35">
      <c r="E445" s="1" t="s">
        <v>2005</v>
      </c>
      <c r="F445" s="1" t="s">
        <v>360</v>
      </c>
      <c r="G445" s="1">
        <v>1</v>
      </c>
      <c r="H445" s="1" t="s">
        <v>198</v>
      </c>
      <c r="I445" s="1" t="s">
        <v>360</v>
      </c>
      <c r="K445" s="8" t="s">
        <v>197</v>
      </c>
      <c r="L445" s="8" t="s">
        <v>1298</v>
      </c>
      <c r="M445" s="8">
        <v>0</v>
      </c>
      <c r="N445" s="8" t="s">
        <v>476</v>
      </c>
    </row>
    <row r="446" spans="5:14" x14ac:dyDescent="0.35">
      <c r="E446" s="1" t="s">
        <v>2005</v>
      </c>
      <c r="F446" s="1" t="s">
        <v>359</v>
      </c>
      <c r="G446" s="1">
        <v>1</v>
      </c>
      <c r="H446" s="1" t="s">
        <v>198</v>
      </c>
      <c r="I446" s="1" t="s">
        <v>359</v>
      </c>
      <c r="K446" s="8" t="s">
        <v>197</v>
      </c>
      <c r="L446" s="8" t="s">
        <v>1299</v>
      </c>
      <c r="M446" s="8">
        <v>0</v>
      </c>
      <c r="N446" s="8"/>
    </row>
    <row r="447" spans="5:14" x14ac:dyDescent="0.35">
      <c r="E447" s="1" t="s">
        <v>2005</v>
      </c>
      <c r="F447" s="1" t="s">
        <v>355</v>
      </c>
      <c r="G447" s="1">
        <v>1</v>
      </c>
      <c r="H447" s="1" t="s">
        <v>198</v>
      </c>
      <c r="I447" s="1" t="s">
        <v>355</v>
      </c>
      <c r="K447" s="8" t="s">
        <v>197</v>
      </c>
      <c r="L447" s="8" t="s">
        <v>1300</v>
      </c>
      <c r="M447" s="8">
        <v>0</v>
      </c>
      <c r="N447" s="8"/>
    </row>
    <row r="448" spans="5:14" x14ac:dyDescent="0.35">
      <c r="E448" s="1" t="s">
        <v>2005</v>
      </c>
      <c r="F448" s="1" t="s">
        <v>371</v>
      </c>
      <c r="G448" s="1">
        <v>1</v>
      </c>
      <c r="H448" s="1" t="s">
        <v>251</v>
      </c>
      <c r="I448" s="1" t="s">
        <v>371</v>
      </c>
      <c r="K448" s="8" t="s">
        <v>197</v>
      </c>
      <c r="L448" s="8" t="s">
        <v>1301</v>
      </c>
      <c r="M448" s="8">
        <v>1</v>
      </c>
      <c r="N448" s="8" t="s">
        <v>476</v>
      </c>
    </row>
    <row r="449" spans="5:14" x14ac:dyDescent="0.35">
      <c r="E449" s="1" t="s">
        <v>2005</v>
      </c>
      <c r="F449" s="1" t="s">
        <v>370</v>
      </c>
      <c r="G449" s="1">
        <v>1</v>
      </c>
      <c r="H449" s="1" t="s">
        <v>251</v>
      </c>
      <c r="I449" s="1" t="s">
        <v>370</v>
      </c>
      <c r="K449" s="8" t="s">
        <v>197</v>
      </c>
      <c r="L449" s="8" t="s">
        <v>1302</v>
      </c>
      <c r="M449" s="8">
        <v>0</v>
      </c>
      <c r="N449" s="8"/>
    </row>
    <row r="450" spans="5:14" x14ac:dyDescent="0.35">
      <c r="E450" s="1" t="s">
        <v>2006</v>
      </c>
      <c r="F450" s="1" t="s">
        <v>358</v>
      </c>
      <c r="G450" s="1">
        <v>1</v>
      </c>
      <c r="H450" s="1" t="s">
        <v>197</v>
      </c>
      <c r="I450" s="1" t="s">
        <v>358</v>
      </c>
      <c r="K450" s="8" t="s">
        <v>197</v>
      </c>
      <c r="L450" s="8" t="s">
        <v>386</v>
      </c>
      <c r="M450" s="8">
        <v>0</v>
      </c>
      <c r="N450" s="8"/>
    </row>
    <row r="451" spans="5:14" x14ac:dyDescent="0.35">
      <c r="E451" s="1" t="s">
        <v>2006</v>
      </c>
      <c r="F451" s="1" t="s">
        <v>357</v>
      </c>
      <c r="G451" s="1">
        <v>1</v>
      </c>
      <c r="H451" s="1" t="s">
        <v>197</v>
      </c>
      <c r="I451" s="1" t="s">
        <v>357</v>
      </c>
      <c r="K451" s="8" t="s">
        <v>197</v>
      </c>
      <c r="L451" s="8" t="s">
        <v>388</v>
      </c>
      <c r="M451" s="8">
        <v>0</v>
      </c>
      <c r="N451" s="8"/>
    </row>
    <row r="452" spans="5:14" x14ac:dyDescent="0.35">
      <c r="E452" s="1" t="s">
        <v>2006</v>
      </c>
      <c r="F452" s="1" t="s">
        <v>356</v>
      </c>
      <c r="G452" s="1">
        <v>1</v>
      </c>
      <c r="H452" s="1" t="s">
        <v>197</v>
      </c>
      <c r="I452" s="1" t="s">
        <v>356</v>
      </c>
      <c r="K452" s="8" t="s">
        <v>197</v>
      </c>
      <c r="L452" s="8" t="s">
        <v>1303</v>
      </c>
      <c r="M452" s="8">
        <v>0</v>
      </c>
      <c r="N452" s="8"/>
    </row>
    <row r="453" spans="5:14" x14ac:dyDescent="0.35">
      <c r="E453" s="1" t="s">
        <v>2006</v>
      </c>
      <c r="F453" s="1" t="s">
        <v>355</v>
      </c>
      <c r="G453" s="1">
        <v>1</v>
      </c>
      <c r="H453" s="1" t="s">
        <v>197</v>
      </c>
      <c r="I453" s="1" t="s">
        <v>355</v>
      </c>
      <c r="K453" s="8" t="s">
        <v>197</v>
      </c>
      <c r="L453" s="8" t="s">
        <v>1304</v>
      </c>
      <c r="M453" s="8">
        <v>1</v>
      </c>
      <c r="N453" s="8"/>
    </row>
    <row r="454" spans="5:14" x14ac:dyDescent="0.35">
      <c r="E454" s="1" t="s">
        <v>2006</v>
      </c>
      <c r="F454" s="1" t="s">
        <v>370</v>
      </c>
      <c r="G454" s="1">
        <v>1</v>
      </c>
      <c r="H454" s="1" t="s">
        <v>281</v>
      </c>
      <c r="I454" s="1" t="s">
        <v>370</v>
      </c>
      <c r="K454" s="8" t="s">
        <v>197</v>
      </c>
      <c r="L454" s="8" t="s">
        <v>1305</v>
      </c>
      <c r="M454" s="8">
        <v>0</v>
      </c>
      <c r="N454" s="8"/>
    </row>
    <row r="455" spans="5:14" x14ac:dyDescent="0.35">
      <c r="E455" s="1" t="s">
        <v>2007</v>
      </c>
      <c r="F455" s="1" t="s">
        <v>361</v>
      </c>
      <c r="G455" s="1">
        <v>1</v>
      </c>
      <c r="H455" s="1" t="s">
        <v>198</v>
      </c>
      <c r="I455" s="1" t="s">
        <v>361</v>
      </c>
      <c r="K455" s="8" t="s">
        <v>197</v>
      </c>
      <c r="L455" s="8" t="s">
        <v>1306</v>
      </c>
      <c r="M455" s="8">
        <v>0</v>
      </c>
      <c r="N455" s="8"/>
    </row>
    <row r="456" spans="5:14" x14ac:dyDescent="0.35">
      <c r="E456" s="1" t="s">
        <v>2007</v>
      </c>
      <c r="F456" s="1" t="s">
        <v>360</v>
      </c>
      <c r="G456" s="1">
        <v>1</v>
      </c>
      <c r="H456" s="1" t="s">
        <v>198</v>
      </c>
      <c r="I456" s="1" t="s">
        <v>360</v>
      </c>
      <c r="K456" s="8" t="s">
        <v>197</v>
      </c>
      <c r="L456" s="8" t="s">
        <v>356</v>
      </c>
      <c r="M456" s="8">
        <v>1</v>
      </c>
      <c r="N456" s="8"/>
    </row>
    <row r="457" spans="5:14" x14ac:dyDescent="0.35">
      <c r="E457" s="1" t="s">
        <v>2007</v>
      </c>
      <c r="F457" s="1" t="s">
        <v>359</v>
      </c>
      <c r="G457" s="1">
        <v>1</v>
      </c>
      <c r="H457" s="1" t="s">
        <v>198</v>
      </c>
      <c r="I457" s="1" t="s">
        <v>359</v>
      </c>
      <c r="K457" s="8" t="s">
        <v>197</v>
      </c>
      <c r="L457" s="8" t="s">
        <v>356</v>
      </c>
      <c r="M457" s="8">
        <v>1</v>
      </c>
      <c r="N457" s="8"/>
    </row>
    <row r="458" spans="5:14" x14ac:dyDescent="0.35">
      <c r="E458" s="1" t="s">
        <v>2007</v>
      </c>
      <c r="F458" s="1" t="s">
        <v>355</v>
      </c>
      <c r="G458" s="1">
        <v>1</v>
      </c>
      <c r="H458" s="1" t="s">
        <v>198</v>
      </c>
      <c r="I458" s="1" t="s">
        <v>355</v>
      </c>
      <c r="K458" s="8" t="s">
        <v>197</v>
      </c>
      <c r="L458" s="8" t="s">
        <v>356</v>
      </c>
      <c r="M458" s="8">
        <v>1</v>
      </c>
      <c r="N458" s="8"/>
    </row>
    <row r="459" spans="5:14" x14ac:dyDescent="0.35">
      <c r="E459" s="1" t="s">
        <v>2007</v>
      </c>
      <c r="F459" s="1" t="s">
        <v>370</v>
      </c>
      <c r="G459" s="1">
        <v>1</v>
      </c>
      <c r="H459" s="1" t="s">
        <v>281</v>
      </c>
      <c r="I459" s="1" t="s">
        <v>370</v>
      </c>
      <c r="K459" s="8" t="s">
        <v>197</v>
      </c>
      <c r="L459" s="8" t="s">
        <v>356</v>
      </c>
      <c r="M459" s="8">
        <v>1</v>
      </c>
      <c r="N459" s="8"/>
    </row>
    <row r="460" spans="5:14" x14ac:dyDescent="0.35">
      <c r="E460" s="1" t="s">
        <v>2008</v>
      </c>
      <c r="F460" s="1" t="s">
        <v>358</v>
      </c>
      <c r="G460" s="1">
        <v>1</v>
      </c>
      <c r="H460" s="1" t="s">
        <v>197</v>
      </c>
      <c r="I460" s="1" t="s">
        <v>358</v>
      </c>
      <c r="K460" s="8" t="s">
        <v>197</v>
      </c>
      <c r="L460" s="8" t="s">
        <v>356</v>
      </c>
      <c r="M460" s="8">
        <v>1</v>
      </c>
      <c r="N460" s="8"/>
    </row>
    <row r="461" spans="5:14" x14ac:dyDescent="0.35">
      <c r="E461" s="1" t="s">
        <v>2008</v>
      </c>
      <c r="F461" s="1" t="s">
        <v>357</v>
      </c>
      <c r="G461" s="1">
        <v>1</v>
      </c>
      <c r="H461" s="1" t="s">
        <v>197</v>
      </c>
      <c r="I461" s="1" t="s">
        <v>357</v>
      </c>
      <c r="K461" s="8" t="s">
        <v>197</v>
      </c>
      <c r="L461" s="8" t="s">
        <v>356</v>
      </c>
      <c r="M461" s="8">
        <v>1</v>
      </c>
      <c r="N461" s="8"/>
    </row>
    <row r="462" spans="5:14" x14ac:dyDescent="0.35">
      <c r="E462" s="1" t="s">
        <v>2008</v>
      </c>
      <c r="F462" s="1" t="s">
        <v>356</v>
      </c>
      <c r="G462" s="1">
        <v>1</v>
      </c>
      <c r="H462" s="1" t="s">
        <v>197</v>
      </c>
      <c r="I462" s="1" t="s">
        <v>356</v>
      </c>
      <c r="K462" s="8" t="s">
        <v>197</v>
      </c>
      <c r="L462" s="8" t="s">
        <v>390</v>
      </c>
      <c r="M462" s="8">
        <v>0</v>
      </c>
      <c r="N462" s="8"/>
    </row>
    <row r="463" spans="5:14" x14ac:dyDescent="0.35">
      <c r="E463" s="1" t="s">
        <v>2008</v>
      </c>
      <c r="F463" s="1" t="s">
        <v>355</v>
      </c>
      <c r="G463" s="1">
        <v>1</v>
      </c>
      <c r="H463" s="1" t="s">
        <v>197</v>
      </c>
      <c r="I463" s="1" t="s">
        <v>355</v>
      </c>
      <c r="K463" s="8" t="s">
        <v>197</v>
      </c>
      <c r="L463" s="8" t="s">
        <v>1307</v>
      </c>
      <c r="M463" s="8">
        <v>1</v>
      </c>
      <c r="N463" s="8" t="s">
        <v>476</v>
      </c>
    </row>
    <row r="464" spans="5:14" x14ac:dyDescent="0.35">
      <c r="E464" s="1" t="s">
        <v>2008</v>
      </c>
      <c r="F464" s="1" t="s">
        <v>372</v>
      </c>
      <c r="G464" s="1">
        <v>1</v>
      </c>
      <c r="H464" s="1" t="s">
        <v>264</v>
      </c>
      <c r="I464" s="1" t="s">
        <v>372</v>
      </c>
      <c r="K464" s="8" t="s">
        <v>197</v>
      </c>
      <c r="L464" s="8" t="s">
        <v>480</v>
      </c>
      <c r="M464" s="8">
        <v>0</v>
      </c>
      <c r="N464" s="8"/>
    </row>
    <row r="465" spans="5:14" x14ac:dyDescent="0.35">
      <c r="E465" s="1" t="s">
        <v>2009</v>
      </c>
      <c r="F465" s="1" t="s">
        <v>358</v>
      </c>
      <c r="G465" s="1">
        <v>1</v>
      </c>
      <c r="H465" s="1" t="s">
        <v>197</v>
      </c>
      <c r="I465" s="1" t="s">
        <v>358</v>
      </c>
      <c r="K465" s="8" t="s">
        <v>197</v>
      </c>
      <c r="L465" s="8" t="s">
        <v>481</v>
      </c>
      <c r="M465" s="8">
        <v>0</v>
      </c>
      <c r="N465" s="8"/>
    </row>
    <row r="466" spans="5:14" x14ac:dyDescent="0.35">
      <c r="E466" s="1" t="s">
        <v>2009</v>
      </c>
      <c r="F466" s="1" t="s">
        <v>357</v>
      </c>
      <c r="G466" s="1">
        <v>1</v>
      </c>
      <c r="H466" s="1" t="s">
        <v>197</v>
      </c>
      <c r="I466" s="1" t="s">
        <v>357</v>
      </c>
      <c r="K466" s="8" t="s">
        <v>197</v>
      </c>
      <c r="L466" s="8" t="s">
        <v>482</v>
      </c>
      <c r="M466" s="8">
        <v>0</v>
      </c>
      <c r="N466" s="8"/>
    </row>
    <row r="467" spans="5:14" x14ac:dyDescent="0.35">
      <c r="E467" s="1" t="s">
        <v>2009</v>
      </c>
      <c r="F467" s="1" t="s">
        <v>356</v>
      </c>
      <c r="G467" s="1">
        <v>1</v>
      </c>
      <c r="H467" s="1" t="s">
        <v>197</v>
      </c>
      <c r="I467" s="1" t="s">
        <v>356</v>
      </c>
      <c r="K467" s="8" t="s">
        <v>197</v>
      </c>
      <c r="L467" s="8" t="s">
        <v>483</v>
      </c>
      <c r="M467" s="8">
        <v>0</v>
      </c>
      <c r="N467" s="8"/>
    </row>
    <row r="468" spans="5:14" x14ac:dyDescent="0.35">
      <c r="E468" s="1" t="s">
        <v>2009</v>
      </c>
      <c r="F468" s="1" t="s">
        <v>355</v>
      </c>
      <c r="G468" s="1">
        <v>1</v>
      </c>
      <c r="H468" s="1" t="s">
        <v>197</v>
      </c>
      <c r="I468" s="1" t="s">
        <v>355</v>
      </c>
      <c r="K468" s="8" t="s">
        <v>197</v>
      </c>
      <c r="L468" s="8" t="s">
        <v>484</v>
      </c>
      <c r="M468" s="8">
        <v>0</v>
      </c>
      <c r="N468" s="8"/>
    </row>
    <row r="469" spans="5:14" x14ac:dyDescent="0.35">
      <c r="E469" s="1" t="s">
        <v>2009</v>
      </c>
      <c r="F469" s="1" t="s">
        <v>372</v>
      </c>
      <c r="G469" s="1">
        <v>1</v>
      </c>
      <c r="H469" s="1" t="s">
        <v>266</v>
      </c>
      <c r="I469" s="1" t="s">
        <v>372</v>
      </c>
      <c r="K469" s="8" t="s">
        <v>197</v>
      </c>
      <c r="L469" s="8" t="s">
        <v>375</v>
      </c>
      <c r="M469" s="8">
        <v>1</v>
      </c>
      <c r="N469" s="8"/>
    </row>
    <row r="470" spans="5:14" x14ac:dyDescent="0.35">
      <c r="E470" s="1" t="s">
        <v>2010</v>
      </c>
      <c r="F470" s="1" t="s">
        <v>361</v>
      </c>
      <c r="G470" s="1">
        <v>1</v>
      </c>
      <c r="H470" s="1" t="s">
        <v>198</v>
      </c>
      <c r="I470" s="1" t="s">
        <v>361</v>
      </c>
      <c r="K470" s="8" t="s">
        <v>197</v>
      </c>
      <c r="L470" s="8" t="s">
        <v>861</v>
      </c>
      <c r="M470" s="8">
        <v>1</v>
      </c>
      <c r="N470" s="8" t="s">
        <v>476</v>
      </c>
    </row>
    <row r="471" spans="5:14" x14ac:dyDescent="0.35">
      <c r="E471" s="1" t="s">
        <v>2010</v>
      </c>
      <c r="F471" s="1" t="s">
        <v>360</v>
      </c>
      <c r="G471" s="1">
        <v>1</v>
      </c>
      <c r="H471" s="1" t="s">
        <v>198</v>
      </c>
      <c r="I471" s="1" t="s">
        <v>360</v>
      </c>
      <c r="K471" s="8" t="s">
        <v>197</v>
      </c>
      <c r="L471" s="8" t="s">
        <v>863</v>
      </c>
      <c r="M471" s="8">
        <v>1</v>
      </c>
      <c r="N471" s="8" t="s">
        <v>476</v>
      </c>
    </row>
    <row r="472" spans="5:14" x14ac:dyDescent="0.35">
      <c r="E472" s="1" t="s">
        <v>2010</v>
      </c>
      <c r="F472" s="1" t="s">
        <v>359</v>
      </c>
      <c r="G472" s="1">
        <v>1</v>
      </c>
      <c r="H472" s="1" t="s">
        <v>198</v>
      </c>
      <c r="I472" s="1" t="s">
        <v>359</v>
      </c>
      <c r="K472" s="8" t="s">
        <v>197</v>
      </c>
      <c r="L472" s="8" t="s">
        <v>1308</v>
      </c>
      <c r="M472" s="8">
        <v>1</v>
      </c>
      <c r="N472" s="8" t="s">
        <v>476</v>
      </c>
    </row>
    <row r="473" spans="5:14" x14ac:dyDescent="0.35">
      <c r="E473" s="1" t="s">
        <v>2010</v>
      </c>
      <c r="F473" s="1" t="s">
        <v>355</v>
      </c>
      <c r="G473" s="1">
        <v>1</v>
      </c>
      <c r="H473" s="1" t="s">
        <v>198</v>
      </c>
      <c r="I473" s="1" t="s">
        <v>355</v>
      </c>
      <c r="K473" s="8" t="s">
        <v>197</v>
      </c>
      <c r="L473" s="8" t="s">
        <v>860</v>
      </c>
      <c r="M473" s="8">
        <v>0</v>
      </c>
      <c r="N473" s="8"/>
    </row>
    <row r="474" spans="5:14" x14ac:dyDescent="0.35">
      <c r="E474" s="1" t="s">
        <v>2010</v>
      </c>
      <c r="F474" s="1" t="s">
        <v>372</v>
      </c>
      <c r="G474" s="1">
        <v>1</v>
      </c>
      <c r="H474" s="1" t="s">
        <v>266</v>
      </c>
      <c r="I474" s="1" t="s">
        <v>372</v>
      </c>
      <c r="K474" s="8" t="s">
        <v>197</v>
      </c>
      <c r="L474" s="8" t="s">
        <v>862</v>
      </c>
      <c r="M474" s="8">
        <v>0</v>
      </c>
      <c r="N474" s="8"/>
    </row>
    <row r="475" spans="5:14" x14ac:dyDescent="0.35">
      <c r="E475" s="1" t="s">
        <v>2011</v>
      </c>
      <c r="F475" s="1" t="s">
        <v>361</v>
      </c>
      <c r="G475" s="1">
        <v>1</v>
      </c>
      <c r="H475" s="1" t="s">
        <v>198</v>
      </c>
      <c r="I475" s="1" t="s">
        <v>361</v>
      </c>
      <c r="K475" s="8" t="s">
        <v>197</v>
      </c>
      <c r="L475" s="8" t="s">
        <v>858</v>
      </c>
      <c r="M475" s="8">
        <v>1</v>
      </c>
      <c r="N475" s="8" t="s">
        <v>476</v>
      </c>
    </row>
    <row r="476" spans="5:14" x14ac:dyDescent="0.35">
      <c r="E476" s="1" t="s">
        <v>2011</v>
      </c>
      <c r="F476" s="1" t="s">
        <v>360</v>
      </c>
      <c r="G476" s="1">
        <v>1</v>
      </c>
      <c r="H476" s="1" t="s">
        <v>198</v>
      </c>
      <c r="I476" s="1" t="s">
        <v>360</v>
      </c>
      <c r="K476" s="8" t="s">
        <v>197</v>
      </c>
      <c r="L476" s="8" t="s">
        <v>914</v>
      </c>
      <c r="M476" s="8">
        <v>1</v>
      </c>
      <c r="N476" s="8" t="s">
        <v>476</v>
      </c>
    </row>
    <row r="477" spans="5:14" x14ac:dyDescent="0.35">
      <c r="E477" s="1" t="s">
        <v>2011</v>
      </c>
      <c r="F477" s="1" t="s">
        <v>359</v>
      </c>
      <c r="G477" s="1">
        <v>1</v>
      </c>
      <c r="H477" s="1" t="s">
        <v>198</v>
      </c>
      <c r="I477" s="1" t="s">
        <v>359</v>
      </c>
      <c r="K477" s="8" t="s">
        <v>197</v>
      </c>
      <c r="L477" s="8" t="s">
        <v>915</v>
      </c>
      <c r="M477" s="8">
        <v>1</v>
      </c>
      <c r="N477" s="8" t="s">
        <v>476</v>
      </c>
    </row>
    <row r="478" spans="5:14" x14ac:dyDescent="0.35">
      <c r="E478" s="1" t="s">
        <v>2011</v>
      </c>
      <c r="F478" s="1" t="s">
        <v>355</v>
      </c>
      <c r="G478" s="1">
        <v>1</v>
      </c>
      <c r="H478" s="1" t="s">
        <v>198</v>
      </c>
      <c r="I478" s="1" t="s">
        <v>355</v>
      </c>
      <c r="K478" s="8" t="s">
        <v>197</v>
      </c>
      <c r="L478" s="8" t="s">
        <v>389</v>
      </c>
      <c r="M478" s="8">
        <v>0</v>
      </c>
      <c r="N478" s="8"/>
    </row>
    <row r="479" spans="5:14" x14ac:dyDescent="0.35">
      <c r="E479" s="1" t="s">
        <v>2011</v>
      </c>
      <c r="F479" s="1" t="s">
        <v>372</v>
      </c>
      <c r="G479" s="1">
        <v>1</v>
      </c>
      <c r="H479" s="1" t="s">
        <v>264</v>
      </c>
      <c r="I479" s="1" t="s">
        <v>372</v>
      </c>
      <c r="K479" s="8" t="s">
        <v>197</v>
      </c>
      <c r="L479" s="8" t="s">
        <v>376</v>
      </c>
      <c r="M479" s="8">
        <v>1</v>
      </c>
      <c r="N479" s="8"/>
    </row>
    <row r="480" spans="5:14" x14ac:dyDescent="0.35">
      <c r="E480" s="1" t="s">
        <v>2012</v>
      </c>
      <c r="F480" s="1" t="s">
        <v>358</v>
      </c>
      <c r="G480" s="1">
        <v>1</v>
      </c>
      <c r="H480" s="1" t="s">
        <v>197</v>
      </c>
      <c r="I480" s="1" t="s">
        <v>358</v>
      </c>
      <c r="K480" s="8" t="s">
        <v>197</v>
      </c>
      <c r="L480" s="8" t="s">
        <v>765</v>
      </c>
      <c r="M480" s="8">
        <v>0</v>
      </c>
      <c r="N480" s="8"/>
    </row>
    <row r="481" spans="5:14" x14ac:dyDescent="0.35">
      <c r="E481" s="1" t="s">
        <v>2012</v>
      </c>
      <c r="F481" s="1" t="s">
        <v>357</v>
      </c>
      <c r="G481" s="1">
        <v>1</v>
      </c>
      <c r="H481" s="1" t="s">
        <v>197</v>
      </c>
      <c r="I481" s="1" t="s">
        <v>357</v>
      </c>
      <c r="K481" s="8" t="s">
        <v>197</v>
      </c>
      <c r="L481" s="8" t="s">
        <v>355</v>
      </c>
      <c r="M481" s="8">
        <v>1</v>
      </c>
      <c r="N481" s="8"/>
    </row>
    <row r="482" spans="5:14" x14ac:dyDescent="0.35">
      <c r="E482" s="1" t="s">
        <v>2012</v>
      </c>
      <c r="F482" s="1" t="s">
        <v>356</v>
      </c>
      <c r="G482" s="1">
        <v>1</v>
      </c>
      <c r="H482" s="1" t="s">
        <v>197</v>
      </c>
      <c r="I482" s="1" t="s">
        <v>356</v>
      </c>
      <c r="K482" s="8" t="s">
        <v>197</v>
      </c>
      <c r="L482" s="8" t="s">
        <v>355</v>
      </c>
      <c r="M482" s="8">
        <v>1</v>
      </c>
      <c r="N482" s="8"/>
    </row>
    <row r="483" spans="5:14" x14ac:dyDescent="0.35">
      <c r="E483" s="1" t="s">
        <v>2012</v>
      </c>
      <c r="F483" s="1" t="s">
        <v>355</v>
      </c>
      <c r="G483" s="1">
        <v>1</v>
      </c>
      <c r="H483" s="1" t="s">
        <v>197</v>
      </c>
      <c r="I483" s="1" t="s">
        <v>355</v>
      </c>
      <c r="K483" s="8" t="s">
        <v>197</v>
      </c>
      <c r="L483" s="8" t="s">
        <v>355</v>
      </c>
      <c r="M483" s="8">
        <v>1</v>
      </c>
      <c r="N483" s="8"/>
    </row>
    <row r="484" spans="5:14" x14ac:dyDescent="0.35">
      <c r="E484" s="1" t="s">
        <v>2012</v>
      </c>
      <c r="F484" s="1" t="s">
        <v>373</v>
      </c>
      <c r="G484" s="1">
        <v>1</v>
      </c>
      <c r="H484" s="1" t="s">
        <v>270</v>
      </c>
      <c r="I484" s="1" t="s">
        <v>373</v>
      </c>
      <c r="K484" s="8" t="s">
        <v>197</v>
      </c>
      <c r="L484" s="8" t="s">
        <v>355</v>
      </c>
      <c r="M484" s="8">
        <v>1</v>
      </c>
      <c r="N484" s="8"/>
    </row>
    <row r="485" spans="5:14" x14ac:dyDescent="0.35">
      <c r="E485" s="1" t="s">
        <v>2013</v>
      </c>
      <c r="F485" s="1" t="s">
        <v>361</v>
      </c>
      <c r="G485" s="1">
        <v>1</v>
      </c>
      <c r="H485" s="1" t="s">
        <v>198</v>
      </c>
      <c r="I485" s="1" t="s">
        <v>361</v>
      </c>
      <c r="K485" s="8" t="s">
        <v>197</v>
      </c>
      <c r="L485" s="8" t="s">
        <v>355</v>
      </c>
      <c r="M485" s="8">
        <v>1</v>
      </c>
      <c r="N485" s="8"/>
    </row>
    <row r="486" spans="5:14" x14ac:dyDescent="0.35">
      <c r="E486" s="1" t="s">
        <v>2013</v>
      </c>
      <c r="F486" s="1" t="s">
        <v>360</v>
      </c>
      <c r="G486" s="1">
        <v>1</v>
      </c>
      <c r="H486" s="1" t="s">
        <v>198</v>
      </c>
      <c r="I486" s="1" t="s">
        <v>360</v>
      </c>
      <c r="K486" s="8" t="s">
        <v>197</v>
      </c>
      <c r="L486" s="8" t="s">
        <v>355</v>
      </c>
      <c r="M486" s="8">
        <v>1</v>
      </c>
      <c r="N486" s="8"/>
    </row>
    <row r="487" spans="5:14" x14ac:dyDescent="0.35">
      <c r="E487" s="1" t="s">
        <v>2013</v>
      </c>
      <c r="F487" s="1" t="s">
        <v>359</v>
      </c>
      <c r="G487" s="1">
        <v>1</v>
      </c>
      <c r="H487" s="1" t="s">
        <v>198</v>
      </c>
      <c r="I487" s="1" t="s">
        <v>359</v>
      </c>
      <c r="K487" s="8" t="s">
        <v>197</v>
      </c>
      <c r="L487" s="8" t="s">
        <v>1309</v>
      </c>
      <c r="M487" s="8">
        <v>0</v>
      </c>
      <c r="N487" s="8"/>
    </row>
    <row r="488" spans="5:14" x14ac:dyDescent="0.35">
      <c r="E488" s="1" t="s">
        <v>2013</v>
      </c>
      <c r="F488" s="1" t="s">
        <v>355</v>
      </c>
      <c r="G488" s="1">
        <v>1</v>
      </c>
      <c r="H488" s="1" t="s">
        <v>198</v>
      </c>
      <c r="I488" s="1" t="s">
        <v>355</v>
      </c>
      <c r="K488" s="8" t="s">
        <v>197</v>
      </c>
      <c r="L488" s="8" t="s">
        <v>917</v>
      </c>
      <c r="M488" s="8">
        <v>0</v>
      </c>
      <c r="N488" s="8" t="s">
        <v>476</v>
      </c>
    </row>
    <row r="489" spans="5:14" x14ac:dyDescent="0.35">
      <c r="E489" s="1" t="s">
        <v>2013</v>
      </c>
      <c r="F489" s="1" t="s">
        <v>373</v>
      </c>
      <c r="G489" s="1">
        <v>1</v>
      </c>
      <c r="H489" s="1" t="s">
        <v>270</v>
      </c>
      <c r="I489" s="1" t="s">
        <v>373</v>
      </c>
      <c r="K489" s="8" t="s">
        <v>197</v>
      </c>
      <c r="L489" s="8" t="s">
        <v>777</v>
      </c>
      <c r="M489" s="8">
        <v>0</v>
      </c>
      <c r="N489" s="8" t="s">
        <v>476</v>
      </c>
    </row>
    <row r="490" spans="5:14" x14ac:dyDescent="0.35">
      <c r="E490" s="1" t="s">
        <v>2014</v>
      </c>
      <c r="F490" s="1" t="s">
        <v>2136</v>
      </c>
      <c r="G490" s="1">
        <v>1</v>
      </c>
      <c r="K490" s="8" t="s">
        <v>197</v>
      </c>
      <c r="L490" s="8" t="s">
        <v>1310</v>
      </c>
      <c r="M490" s="8">
        <v>0</v>
      </c>
      <c r="N490" s="8"/>
    </row>
    <row r="491" spans="5:14" x14ac:dyDescent="0.35">
      <c r="E491" s="1" t="s">
        <v>2014</v>
      </c>
      <c r="F491" s="1" t="s">
        <v>2137</v>
      </c>
      <c r="G491" s="1">
        <v>1</v>
      </c>
      <c r="K491" s="8" t="s">
        <v>197</v>
      </c>
      <c r="L491" s="8" t="s">
        <v>486</v>
      </c>
      <c r="M491" s="8">
        <v>0</v>
      </c>
      <c r="N491" s="8"/>
    </row>
    <row r="492" spans="5:14" x14ac:dyDescent="0.35">
      <c r="E492" s="1" t="s">
        <v>2014</v>
      </c>
      <c r="F492" s="1" t="s">
        <v>2135</v>
      </c>
      <c r="G492" s="1">
        <v>1</v>
      </c>
      <c r="K492" s="8" t="s">
        <v>197</v>
      </c>
      <c r="L492" s="8" t="s">
        <v>487</v>
      </c>
      <c r="M492" s="8">
        <v>0</v>
      </c>
      <c r="N492" s="8"/>
    </row>
    <row r="493" spans="5:14" x14ac:dyDescent="0.35">
      <c r="E493" s="1" t="s">
        <v>2015</v>
      </c>
      <c r="F493" s="1" t="s">
        <v>2142</v>
      </c>
      <c r="G493" s="1">
        <v>1</v>
      </c>
      <c r="K493" s="8" t="s">
        <v>197</v>
      </c>
      <c r="L493" s="8" t="s">
        <v>488</v>
      </c>
      <c r="M493" s="8">
        <v>0</v>
      </c>
      <c r="N493" s="8"/>
    </row>
    <row r="494" spans="5:14" x14ac:dyDescent="0.35">
      <c r="E494" s="1" t="s">
        <v>2015</v>
      </c>
      <c r="F494" s="1" t="s">
        <v>2143</v>
      </c>
      <c r="G494" s="1">
        <v>1</v>
      </c>
      <c r="K494" s="8" t="s">
        <v>197</v>
      </c>
      <c r="L494" s="8" t="s">
        <v>489</v>
      </c>
      <c r="M494" s="8">
        <v>0</v>
      </c>
      <c r="N494" s="8"/>
    </row>
    <row r="495" spans="5:14" x14ac:dyDescent="0.35">
      <c r="E495" s="1" t="s">
        <v>2016</v>
      </c>
      <c r="F495" s="1" t="s">
        <v>2142</v>
      </c>
      <c r="G495" s="1">
        <v>1</v>
      </c>
      <c r="H495" s="1" t="s">
        <v>2015</v>
      </c>
      <c r="I495" s="1" t="s">
        <v>2142</v>
      </c>
      <c r="K495" s="8" t="s">
        <v>197</v>
      </c>
      <c r="L495" s="8" t="s">
        <v>490</v>
      </c>
      <c r="M495" s="8">
        <v>0</v>
      </c>
      <c r="N495" s="8"/>
    </row>
    <row r="496" spans="5:14" x14ac:dyDescent="0.35">
      <c r="E496" s="1" t="s">
        <v>2016</v>
      </c>
      <c r="F496" s="1" t="s">
        <v>2144</v>
      </c>
      <c r="G496" s="1">
        <v>1</v>
      </c>
      <c r="K496" s="8" t="s">
        <v>197</v>
      </c>
      <c r="L496" s="8" t="s">
        <v>1311</v>
      </c>
      <c r="M496" s="8">
        <v>1</v>
      </c>
      <c r="N496" s="8" t="s">
        <v>476</v>
      </c>
    </row>
    <row r="497" spans="5:14" x14ac:dyDescent="0.35">
      <c r="E497" s="1" t="s">
        <v>2016</v>
      </c>
      <c r="F497" s="1" t="s">
        <v>2143</v>
      </c>
      <c r="G497" s="1">
        <v>1</v>
      </c>
      <c r="H497" s="1" t="s">
        <v>2015</v>
      </c>
      <c r="I497" s="1" t="s">
        <v>2143</v>
      </c>
      <c r="K497" s="8" t="s">
        <v>197</v>
      </c>
      <c r="L497" s="8" t="s">
        <v>387</v>
      </c>
      <c r="M497" s="8">
        <v>0</v>
      </c>
      <c r="N497" s="8"/>
    </row>
    <row r="498" spans="5:14" x14ac:dyDescent="0.35">
      <c r="E498" s="1" t="s">
        <v>2017</v>
      </c>
      <c r="F498" s="1" t="s">
        <v>355</v>
      </c>
      <c r="G498" s="1">
        <v>1</v>
      </c>
      <c r="H498" s="1" t="s">
        <v>292</v>
      </c>
      <c r="I498" s="1" t="s">
        <v>355</v>
      </c>
      <c r="K498" s="8" t="s">
        <v>197</v>
      </c>
      <c r="L498" s="8" t="s">
        <v>491</v>
      </c>
      <c r="M498" s="8">
        <v>0</v>
      </c>
      <c r="N498" s="8"/>
    </row>
    <row r="499" spans="5:14" x14ac:dyDescent="0.35">
      <c r="E499" s="1" t="s">
        <v>2017</v>
      </c>
      <c r="F499" s="1" t="s">
        <v>2146</v>
      </c>
      <c r="G499" s="1">
        <v>1</v>
      </c>
      <c r="K499" s="8" t="s">
        <v>197</v>
      </c>
      <c r="L499" s="8" t="s">
        <v>492</v>
      </c>
      <c r="M499" s="8">
        <v>0</v>
      </c>
      <c r="N499" s="8"/>
    </row>
    <row r="500" spans="5:14" x14ac:dyDescent="0.35">
      <c r="E500" s="1" t="s">
        <v>2017</v>
      </c>
      <c r="F500" s="1" t="s">
        <v>2145</v>
      </c>
      <c r="G500" s="1">
        <v>1</v>
      </c>
      <c r="K500" s="8" t="s">
        <v>197</v>
      </c>
      <c r="L500" s="8" t="s">
        <v>493</v>
      </c>
      <c r="M500" s="8">
        <v>0</v>
      </c>
      <c r="N500" s="8"/>
    </row>
    <row r="501" spans="5:14" x14ac:dyDescent="0.35">
      <c r="E501" s="1" t="s">
        <v>2018</v>
      </c>
      <c r="F501" s="1" t="s">
        <v>369</v>
      </c>
      <c r="G501" s="1">
        <v>1</v>
      </c>
      <c r="H501" s="1" t="s">
        <v>225</v>
      </c>
      <c r="I501" s="1" t="s">
        <v>369</v>
      </c>
      <c r="K501" s="8" t="s">
        <v>197</v>
      </c>
      <c r="L501" s="8" t="s">
        <v>494</v>
      </c>
      <c r="M501" s="8">
        <v>0</v>
      </c>
      <c r="N501" s="8"/>
    </row>
    <row r="502" spans="5:14" x14ac:dyDescent="0.35">
      <c r="E502" s="1" t="s">
        <v>2018</v>
      </c>
      <c r="F502" s="1" t="s">
        <v>375</v>
      </c>
      <c r="G502" s="1">
        <v>1</v>
      </c>
      <c r="H502" s="1" t="s">
        <v>199</v>
      </c>
      <c r="I502" s="1" t="s">
        <v>375</v>
      </c>
      <c r="K502" s="8" t="s">
        <v>197</v>
      </c>
      <c r="L502" s="8" t="s">
        <v>495</v>
      </c>
      <c r="M502" s="8">
        <v>0</v>
      </c>
      <c r="N502" s="8"/>
    </row>
    <row r="503" spans="5:14" x14ac:dyDescent="0.35">
      <c r="E503" s="1" t="s">
        <v>2018</v>
      </c>
      <c r="F503" s="1" t="s">
        <v>376</v>
      </c>
      <c r="G503" s="1">
        <v>1</v>
      </c>
      <c r="H503" s="1" t="s">
        <v>199</v>
      </c>
      <c r="I503" s="1" t="s">
        <v>376</v>
      </c>
      <c r="K503" s="8" t="s">
        <v>197</v>
      </c>
      <c r="L503" s="8" t="s">
        <v>604</v>
      </c>
      <c r="M503" s="8">
        <v>0</v>
      </c>
      <c r="N503" s="8"/>
    </row>
    <row r="504" spans="5:14" x14ac:dyDescent="0.35">
      <c r="E504" s="1" t="s">
        <v>2018</v>
      </c>
      <c r="F504" s="1" t="s">
        <v>374</v>
      </c>
      <c r="G504" s="1">
        <v>1</v>
      </c>
      <c r="H504" s="1" t="s">
        <v>199</v>
      </c>
      <c r="I504" s="1" t="s">
        <v>374</v>
      </c>
      <c r="K504" s="8" t="s">
        <v>197</v>
      </c>
      <c r="L504" s="8" t="s">
        <v>380</v>
      </c>
      <c r="M504" s="8">
        <v>0</v>
      </c>
      <c r="N504" s="8"/>
    </row>
    <row r="505" spans="5:14" x14ac:dyDescent="0.35">
      <c r="E505" s="1" t="s">
        <v>2019</v>
      </c>
      <c r="F505" s="1" t="s">
        <v>375</v>
      </c>
      <c r="G505" s="1">
        <v>1</v>
      </c>
      <c r="K505" s="8" t="s">
        <v>198</v>
      </c>
      <c r="L505" s="8" t="s">
        <v>385</v>
      </c>
      <c r="M505" s="8">
        <v>1</v>
      </c>
      <c r="N505" s="8"/>
    </row>
    <row r="506" spans="5:14" x14ac:dyDescent="0.35">
      <c r="E506" s="1" t="s">
        <v>2019</v>
      </c>
      <c r="F506" s="1" t="s">
        <v>2147</v>
      </c>
      <c r="G506" s="1">
        <v>1</v>
      </c>
      <c r="K506" s="8" t="s">
        <v>198</v>
      </c>
      <c r="L506" s="8" t="s">
        <v>393</v>
      </c>
      <c r="M506" s="8">
        <v>0</v>
      </c>
      <c r="N506" s="8"/>
    </row>
    <row r="507" spans="5:14" x14ac:dyDescent="0.35">
      <c r="E507" s="1" t="s">
        <v>2020</v>
      </c>
      <c r="F507" s="1" t="s">
        <v>375</v>
      </c>
      <c r="G507" s="1">
        <v>1</v>
      </c>
      <c r="K507" s="8" t="s">
        <v>198</v>
      </c>
      <c r="L507" s="8" t="s">
        <v>394</v>
      </c>
      <c r="M507" s="8">
        <v>0</v>
      </c>
      <c r="N507" s="8"/>
    </row>
    <row r="508" spans="5:14" x14ac:dyDescent="0.35">
      <c r="E508" s="1" t="s">
        <v>2020</v>
      </c>
      <c r="F508" s="1" t="s">
        <v>2148</v>
      </c>
      <c r="G508" s="1">
        <v>1</v>
      </c>
      <c r="K508" s="8" t="s">
        <v>198</v>
      </c>
      <c r="L508" s="8" t="s">
        <v>1384</v>
      </c>
      <c r="M508" s="8">
        <v>0</v>
      </c>
      <c r="N508" s="8"/>
    </row>
    <row r="509" spans="5:14" x14ac:dyDescent="0.35">
      <c r="E509" s="1" t="s">
        <v>2020</v>
      </c>
      <c r="F509" s="1" t="s">
        <v>355</v>
      </c>
      <c r="G509" s="1">
        <v>1</v>
      </c>
      <c r="K509" s="8" t="s">
        <v>198</v>
      </c>
      <c r="L509" s="8" t="s">
        <v>1385</v>
      </c>
      <c r="M509" s="8">
        <v>0</v>
      </c>
      <c r="N509" s="8"/>
    </row>
    <row r="510" spans="5:14" x14ac:dyDescent="0.35">
      <c r="E510" s="1" t="s">
        <v>2021</v>
      </c>
      <c r="F510" s="1" t="s">
        <v>375</v>
      </c>
      <c r="G510" s="1">
        <v>1</v>
      </c>
      <c r="K510" s="8" t="s">
        <v>198</v>
      </c>
      <c r="L510" s="8" t="s">
        <v>1386</v>
      </c>
      <c r="M510" s="8">
        <v>0</v>
      </c>
      <c r="N510" s="8"/>
    </row>
    <row r="511" spans="5:14" x14ac:dyDescent="0.35">
      <c r="E511" s="1" t="s">
        <v>2021</v>
      </c>
      <c r="F511" s="1" t="s">
        <v>2149</v>
      </c>
      <c r="G511" s="1">
        <v>1</v>
      </c>
      <c r="K511" s="8" t="s">
        <v>198</v>
      </c>
      <c r="L511" s="8" t="s">
        <v>1387</v>
      </c>
      <c r="M511" s="8">
        <v>0</v>
      </c>
      <c r="N511" s="8"/>
    </row>
    <row r="512" spans="5:14" x14ac:dyDescent="0.35">
      <c r="E512" s="1" t="s">
        <v>2021</v>
      </c>
      <c r="F512" s="1" t="s">
        <v>376</v>
      </c>
      <c r="G512" s="1">
        <v>1</v>
      </c>
      <c r="K512" s="8" t="s">
        <v>198</v>
      </c>
      <c r="L512" s="8" t="s">
        <v>1389</v>
      </c>
      <c r="M512" s="8">
        <v>1</v>
      </c>
      <c r="N512" s="8" t="s">
        <v>517</v>
      </c>
    </row>
    <row r="513" spans="5:14" x14ac:dyDescent="0.35">
      <c r="E513" s="1" t="s">
        <v>2022</v>
      </c>
      <c r="F513" s="1" t="s">
        <v>375</v>
      </c>
      <c r="G513" s="1">
        <v>1</v>
      </c>
      <c r="K513" s="8" t="s">
        <v>198</v>
      </c>
      <c r="L513" s="8" t="s">
        <v>1388</v>
      </c>
      <c r="M513" s="8">
        <v>1</v>
      </c>
      <c r="N513" s="8"/>
    </row>
    <row r="514" spans="5:14" x14ac:dyDescent="0.35">
      <c r="E514" s="1" t="s">
        <v>2022</v>
      </c>
      <c r="F514" s="1" t="s">
        <v>2150</v>
      </c>
      <c r="G514" s="1">
        <v>1</v>
      </c>
      <c r="K514" s="8" t="s">
        <v>198</v>
      </c>
      <c r="L514" s="8" t="s">
        <v>1390</v>
      </c>
      <c r="M514" s="8">
        <v>0</v>
      </c>
      <c r="N514" s="8"/>
    </row>
    <row r="515" spans="5:14" x14ac:dyDescent="0.35">
      <c r="E515" s="1" t="s">
        <v>2022</v>
      </c>
      <c r="F515" s="1" t="s">
        <v>376</v>
      </c>
      <c r="G515" s="1">
        <v>1</v>
      </c>
      <c r="K515" s="8" t="s">
        <v>198</v>
      </c>
      <c r="L515" s="8" t="s">
        <v>1391</v>
      </c>
      <c r="M515" s="8">
        <v>0</v>
      </c>
      <c r="N515" s="8"/>
    </row>
    <row r="516" spans="5:14" x14ac:dyDescent="0.35">
      <c r="E516" s="1" t="s">
        <v>2022</v>
      </c>
      <c r="F516" s="1" t="s">
        <v>355</v>
      </c>
      <c r="G516" s="1">
        <v>1</v>
      </c>
      <c r="K516" s="8" t="s">
        <v>198</v>
      </c>
      <c r="L516" s="8" t="s">
        <v>1392</v>
      </c>
      <c r="M516" s="8">
        <v>0</v>
      </c>
      <c r="N516" s="8"/>
    </row>
    <row r="517" spans="5:14" x14ac:dyDescent="0.35">
      <c r="E517" s="1" t="s">
        <v>2023</v>
      </c>
      <c r="F517" s="1" t="s">
        <v>377</v>
      </c>
      <c r="G517" s="1">
        <v>1</v>
      </c>
      <c r="H517" s="1" t="s">
        <v>249</v>
      </c>
      <c r="I517" s="1" t="s">
        <v>377</v>
      </c>
      <c r="K517" s="8" t="s">
        <v>198</v>
      </c>
      <c r="L517" s="8" t="s">
        <v>1393</v>
      </c>
      <c r="M517" s="8">
        <v>1</v>
      </c>
      <c r="N517" s="8" t="s">
        <v>476</v>
      </c>
    </row>
    <row r="518" spans="5:14" x14ac:dyDescent="0.35">
      <c r="E518" s="1" t="s">
        <v>2023</v>
      </c>
      <c r="F518" s="1" t="s">
        <v>2151</v>
      </c>
      <c r="G518" s="1">
        <v>1</v>
      </c>
      <c r="K518" s="8" t="s">
        <v>198</v>
      </c>
      <c r="L518" s="8" t="s">
        <v>1394</v>
      </c>
      <c r="M518" s="8">
        <v>0</v>
      </c>
      <c r="N518" s="8" t="s">
        <v>476</v>
      </c>
    </row>
    <row r="519" spans="5:14" x14ac:dyDescent="0.35">
      <c r="E519" s="1" t="s">
        <v>2024</v>
      </c>
      <c r="F519" s="1" t="s">
        <v>377</v>
      </c>
      <c r="G519" s="1">
        <v>1</v>
      </c>
      <c r="H519" s="1" t="s">
        <v>249</v>
      </c>
      <c r="I519" s="1" t="s">
        <v>377</v>
      </c>
      <c r="K519" s="8" t="s">
        <v>198</v>
      </c>
      <c r="L519" s="8" t="s">
        <v>1395</v>
      </c>
      <c r="M519" s="8">
        <v>1</v>
      </c>
      <c r="N519" s="8" t="s">
        <v>746</v>
      </c>
    </row>
    <row r="520" spans="5:14" x14ac:dyDescent="0.35">
      <c r="E520" s="1" t="s">
        <v>2024</v>
      </c>
      <c r="F520" s="1" t="s">
        <v>355</v>
      </c>
      <c r="G520" s="1">
        <v>1</v>
      </c>
      <c r="H520" s="1" t="s">
        <v>292</v>
      </c>
      <c r="I520" s="1" t="s">
        <v>355</v>
      </c>
      <c r="K520" s="8" t="s">
        <v>198</v>
      </c>
      <c r="L520" s="8" t="s">
        <v>1396</v>
      </c>
      <c r="M520" s="8">
        <v>0</v>
      </c>
      <c r="N520" s="8" t="s">
        <v>476</v>
      </c>
    </row>
    <row r="521" spans="5:14" x14ac:dyDescent="0.35">
      <c r="E521" s="1" t="s">
        <v>2024</v>
      </c>
      <c r="F521" s="1" t="s">
        <v>2152</v>
      </c>
      <c r="G521" s="1">
        <v>1</v>
      </c>
      <c r="K521" s="8" t="s">
        <v>198</v>
      </c>
      <c r="L521" s="8" t="s">
        <v>1397</v>
      </c>
      <c r="M521" s="8">
        <v>1</v>
      </c>
      <c r="N521" s="8"/>
    </row>
    <row r="522" spans="5:14" x14ac:dyDescent="0.35">
      <c r="E522" s="1" t="s">
        <v>2025</v>
      </c>
      <c r="F522" s="1" t="s">
        <v>372</v>
      </c>
      <c r="G522" s="1">
        <v>1</v>
      </c>
      <c r="H522" s="1" t="s">
        <v>264</v>
      </c>
      <c r="I522" s="1" t="s">
        <v>372</v>
      </c>
      <c r="K522" s="8" t="s">
        <v>198</v>
      </c>
      <c r="L522" s="8" t="s">
        <v>1398</v>
      </c>
      <c r="M522" s="8">
        <v>1</v>
      </c>
      <c r="N522" s="8" t="s">
        <v>751</v>
      </c>
    </row>
    <row r="523" spans="5:14" x14ac:dyDescent="0.35">
      <c r="E523" s="1" t="s">
        <v>2025</v>
      </c>
      <c r="F523" s="1" t="s">
        <v>2153</v>
      </c>
      <c r="G523" s="1">
        <v>1</v>
      </c>
      <c r="K523" s="8" t="s">
        <v>198</v>
      </c>
      <c r="L523" s="8" t="s">
        <v>1402</v>
      </c>
      <c r="M523" s="8">
        <v>0</v>
      </c>
      <c r="N523" s="8"/>
    </row>
    <row r="524" spans="5:14" x14ac:dyDescent="0.35">
      <c r="E524" s="1" t="s">
        <v>2026</v>
      </c>
      <c r="F524" s="1" t="s">
        <v>355</v>
      </c>
      <c r="G524" s="1">
        <v>1</v>
      </c>
      <c r="H524" s="1" t="s">
        <v>292</v>
      </c>
      <c r="I524" s="1" t="s">
        <v>355</v>
      </c>
      <c r="K524" s="8" t="s">
        <v>198</v>
      </c>
      <c r="L524" s="8" t="s">
        <v>1403</v>
      </c>
      <c r="M524" s="8">
        <v>1</v>
      </c>
      <c r="N524" s="8" t="s">
        <v>1007</v>
      </c>
    </row>
    <row r="525" spans="5:14" x14ac:dyDescent="0.35">
      <c r="E525" s="1" t="s">
        <v>2026</v>
      </c>
      <c r="F525" s="1" t="s">
        <v>372</v>
      </c>
      <c r="G525" s="1">
        <v>1</v>
      </c>
      <c r="H525" s="1" t="s">
        <v>264</v>
      </c>
      <c r="I525" s="1" t="s">
        <v>372</v>
      </c>
      <c r="K525" s="8" t="s">
        <v>198</v>
      </c>
      <c r="L525" s="8" t="s">
        <v>1404</v>
      </c>
      <c r="M525" s="8">
        <v>0</v>
      </c>
      <c r="N525" s="8"/>
    </row>
    <row r="526" spans="5:14" x14ac:dyDescent="0.35">
      <c r="E526" s="1" t="s">
        <v>2026</v>
      </c>
      <c r="F526" s="1" t="s">
        <v>2154</v>
      </c>
      <c r="G526" s="1">
        <v>1</v>
      </c>
      <c r="K526" s="8" t="s">
        <v>198</v>
      </c>
      <c r="L526" s="8" t="s">
        <v>1401</v>
      </c>
      <c r="M526" s="8">
        <v>0</v>
      </c>
      <c r="N526" s="8"/>
    </row>
    <row r="527" spans="5:14" x14ac:dyDescent="0.35">
      <c r="E527" s="1" t="s">
        <v>2027</v>
      </c>
      <c r="F527" s="1" t="s">
        <v>414</v>
      </c>
      <c r="G527" s="1">
        <v>1</v>
      </c>
      <c r="K527" s="8" t="s">
        <v>198</v>
      </c>
      <c r="L527" s="8" t="s">
        <v>1405</v>
      </c>
      <c r="M527" s="8">
        <v>0</v>
      </c>
      <c r="N527" s="8"/>
    </row>
    <row r="528" spans="5:14" x14ac:dyDescent="0.35">
      <c r="E528" s="1" t="s">
        <v>2027</v>
      </c>
      <c r="F528" s="1" t="s">
        <v>2155</v>
      </c>
      <c r="G528" s="1">
        <v>1</v>
      </c>
      <c r="K528" s="8" t="s">
        <v>198</v>
      </c>
      <c r="L528" s="8" t="s">
        <v>1406</v>
      </c>
      <c r="M528" s="8">
        <v>0</v>
      </c>
      <c r="N528" s="8"/>
    </row>
    <row r="529" spans="5:14" x14ac:dyDescent="0.35">
      <c r="E529" s="1" t="s">
        <v>2028</v>
      </c>
      <c r="F529" s="1" t="s">
        <v>414</v>
      </c>
      <c r="G529" s="1">
        <v>1</v>
      </c>
      <c r="K529" s="8" t="s">
        <v>198</v>
      </c>
      <c r="L529" s="8" t="s">
        <v>1407</v>
      </c>
      <c r="M529" s="8">
        <v>0</v>
      </c>
      <c r="N529" s="8"/>
    </row>
    <row r="530" spans="5:14" x14ac:dyDescent="0.35">
      <c r="E530" s="1" t="s">
        <v>2028</v>
      </c>
      <c r="F530" s="1" t="s">
        <v>355</v>
      </c>
      <c r="G530" s="1">
        <v>1</v>
      </c>
      <c r="K530" s="8" t="s">
        <v>198</v>
      </c>
      <c r="L530" s="8" t="s">
        <v>1408</v>
      </c>
      <c r="M530" s="8">
        <v>0</v>
      </c>
      <c r="N530" s="8"/>
    </row>
    <row r="531" spans="5:14" x14ac:dyDescent="0.35">
      <c r="E531" s="1" t="s">
        <v>2028</v>
      </c>
      <c r="F531" s="1" t="s">
        <v>2156</v>
      </c>
      <c r="G531" s="1">
        <v>1</v>
      </c>
      <c r="K531" s="8" t="s">
        <v>198</v>
      </c>
      <c r="L531" s="8" t="s">
        <v>1409</v>
      </c>
      <c r="M531" s="8">
        <v>0</v>
      </c>
      <c r="N531" s="8"/>
    </row>
    <row r="532" spans="5:14" x14ac:dyDescent="0.35">
      <c r="E532" s="1" t="s">
        <v>2029</v>
      </c>
      <c r="F532" s="1" t="s">
        <v>375</v>
      </c>
      <c r="G532" s="1">
        <v>1</v>
      </c>
      <c r="H532" s="1" t="s">
        <v>222</v>
      </c>
      <c r="I532" s="1" t="s">
        <v>375</v>
      </c>
      <c r="K532" s="8" t="s">
        <v>198</v>
      </c>
      <c r="L532" s="8" t="s">
        <v>1410</v>
      </c>
      <c r="M532" s="8">
        <v>0</v>
      </c>
      <c r="N532" s="8"/>
    </row>
    <row r="533" spans="5:14" x14ac:dyDescent="0.35">
      <c r="E533" s="1" t="s">
        <v>2029</v>
      </c>
      <c r="F533" s="1" t="s">
        <v>2157</v>
      </c>
      <c r="G533" s="1">
        <v>1</v>
      </c>
      <c r="K533" s="8" t="s">
        <v>198</v>
      </c>
      <c r="L533" s="8" t="s">
        <v>1411</v>
      </c>
      <c r="M533" s="8">
        <v>0</v>
      </c>
      <c r="N533" s="8"/>
    </row>
    <row r="534" spans="5:14" x14ac:dyDescent="0.35">
      <c r="E534" s="1" t="s">
        <v>2029</v>
      </c>
      <c r="F534" s="1" t="s">
        <v>373</v>
      </c>
      <c r="G534" s="1">
        <v>1</v>
      </c>
      <c r="H534" s="1" t="s">
        <v>270</v>
      </c>
      <c r="I534" s="1" t="s">
        <v>373</v>
      </c>
      <c r="K534" s="8" t="s">
        <v>198</v>
      </c>
      <c r="L534" s="8" t="s">
        <v>1412</v>
      </c>
      <c r="M534" s="8">
        <v>0</v>
      </c>
      <c r="N534" s="8"/>
    </row>
    <row r="535" spans="5:14" x14ac:dyDescent="0.35">
      <c r="E535" s="1" t="s">
        <v>2030</v>
      </c>
      <c r="F535" s="1" t="s">
        <v>375</v>
      </c>
      <c r="G535" s="1">
        <v>1</v>
      </c>
      <c r="H535" s="1" t="s">
        <v>222</v>
      </c>
      <c r="I535" s="1" t="s">
        <v>375</v>
      </c>
      <c r="K535" s="8" t="s">
        <v>198</v>
      </c>
      <c r="L535" s="8" t="s">
        <v>1399</v>
      </c>
      <c r="M535" s="8">
        <v>0</v>
      </c>
      <c r="N535" s="8"/>
    </row>
    <row r="536" spans="5:14" x14ac:dyDescent="0.35">
      <c r="E536" s="1" t="s">
        <v>2030</v>
      </c>
      <c r="F536" s="1" t="s">
        <v>355</v>
      </c>
      <c r="G536" s="1">
        <v>1</v>
      </c>
      <c r="H536" s="1" t="s">
        <v>292</v>
      </c>
      <c r="I536" s="1" t="s">
        <v>355</v>
      </c>
      <c r="K536" s="8" t="s">
        <v>198</v>
      </c>
      <c r="L536" s="8" t="s">
        <v>1400</v>
      </c>
      <c r="M536" s="8">
        <v>0</v>
      </c>
      <c r="N536" s="8"/>
    </row>
    <row r="537" spans="5:14" x14ac:dyDescent="0.35">
      <c r="E537" s="1" t="s">
        <v>2030</v>
      </c>
      <c r="F537" s="1" t="s">
        <v>2158</v>
      </c>
      <c r="G537" s="1">
        <v>1</v>
      </c>
      <c r="K537" s="8" t="s">
        <v>198</v>
      </c>
      <c r="L537" s="8" t="s">
        <v>1413</v>
      </c>
      <c r="M537" s="8">
        <v>0</v>
      </c>
      <c r="N537" s="8"/>
    </row>
    <row r="538" spans="5:14" x14ac:dyDescent="0.35">
      <c r="E538" s="1" t="s">
        <v>2030</v>
      </c>
      <c r="F538" s="1" t="s">
        <v>373</v>
      </c>
      <c r="G538" s="1">
        <v>1</v>
      </c>
      <c r="H538" s="1" t="s">
        <v>270</v>
      </c>
      <c r="I538" s="1" t="s">
        <v>373</v>
      </c>
      <c r="K538" s="8" t="s">
        <v>198</v>
      </c>
      <c r="L538" s="8" t="s">
        <v>1414</v>
      </c>
      <c r="M538" s="8">
        <v>0</v>
      </c>
      <c r="N538" s="8"/>
    </row>
    <row r="539" spans="5:14" x14ac:dyDescent="0.35">
      <c r="E539" s="1" t="s">
        <v>2031</v>
      </c>
      <c r="F539" s="1" t="s">
        <v>2161</v>
      </c>
      <c r="G539" s="1">
        <v>1</v>
      </c>
      <c r="K539" s="8" t="s">
        <v>198</v>
      </c>
      <c r="L539" s="8" t="s">
        <v>1415</v>
      </c>
      <c r="M539" s="8">
        <v>0</v>
      </c>
      <c r="N539" s="8"/>
    </row>
    <row r="540" spans="5:14" x14ac:dyDescent="0.35">
      <c r="E540" s="1" t="s">
        <v>2031</v>
      </c>
      <c r="F540" s="1" t="s">
        <v>2159</v>
      </c>
      <c r="G540" s="1">
        <v>1</v>
      </c>
      <c r="K540" s="8" t="s">
        <v>198</v>
      </c>
      <c r="L540" s="8" t="s">
        <v>1416</v>
      </c>
      <c r="M540" s="8">
        <v>0</v>
      </c>
      <c r="N540" s="8"/>
    </row>
    <row r="541" spans="5:14" x14ac:dyDescent="0.35">
      <c r="E541" s="1" t="s">
        <v>2031</v>
      </c>
      <c r="F541" s="1" t="s">
        <v>2160</v>
      </c>
      <c r="G541" s="1">
        <v>1</v>
      </c>
      <c r="K541" s="8" t="s">
        <v>198</v>
      </c>
      <c r="L541" s="8" t="s">
        <v>1418</v>
      </c>
      <c r="M541" s="8">
        <v>1</v>
      </c>
      <c r="N541" s="8" t="s">
        <v>476</v>
      </c>
    </row>
    <row r="542" spans="5:14" x14ac:dyDescent="0.35">
      <c r="E542" s="1" t="s">
        <v>2032</v>
      </c>
      <c r="F542" s="1" t="s">
        <v>350</v>
      </c>
      <c r="G542" s="1">
        <v>1</v>
      </c>
      <c r="H542" s="1" t="s">
        <v>190</v>
      </c>
      <c r="I542" s="1" t="s">
        <v>350</v>
      </c>
      <c r="K542" s="8" t="s">
        <v>198</v>
      </c>
      <c r="L542" s="8" t="s">
        <v>1417</v>
      </c>
      <c r="M542" s="8">
        <v>0</v>
      </c>
      <c r="N542" s="8" t="s">
        <v>476</v>
      </c>
    </row>
    <row r="543" spans="5:14" x14ac:dyDescent="0.35">
      <c r="E543" s="1" t="s">
        <v>2032</v>
      </c>
      <c r="F543" s="1" t="s">
        <v>467</v>
      </c>
      <c r="G543" s="1">
        <v>1</v>
      </c>
      <c r="K543" s="8" t="s">
        <v>198</v>
      </c>
      <c r="L543" s="8" t="s">
        <v>1419</v>
      </c>
      <c r="M543" s="8">
        <v>0</v>
      </c>
      <c r="N543" s="8"/>
    </row>
    <row r="544" spans="5:14" x14ac:dyDescent="0.35">
      <c r="E544" s="1" t="s">
        <v>2032</v>
      </c>
      <c r="F544" s="1" t="s">
        <v>380</v>
      </c>
      <c r="G544" s="1">
        <v>0</v>
      </c>
      <c r="H544" s="1" t="s">
        <v>284</v>
      </c>
      <c r="I544" s="1" t="s">
        <v>380</v>
      </c>
      <c r="K544" s="8" t="s">
        <v>198</v>
      </c>
      <c r="L544" s="8" t="s">
        <v>1420</v>
      </c>
      <c r="M544" s="8">
        <v>0</v>
      </c>
      <c r="N544" s="8"/>
    </row>
    <row r="545" spans="5:14" x14ac:dyDescent="0.35">
      <c r="E545" s="1" t="s">
        <v>2033</v>
      </c>
      <c r="F545" s="1" t="s">
        <v>354</v>
      </c>
      <c r="G545" s="1">
        <v>0</v>
      </c>
      <c r="H545" s="1" t="s">
        <v>214</v>
      </c>
      <c r="I545" s="1" t="s">
        <v>352</v>
      </c>
      <c r="K545" s="8" t="s">
        <v>198</v>
      </c>
      <c r="L545" s="8" t="s">
        <v>1421</v>
      </c>
      <c r="M545" s="8">
        <v>0</v>
      </c>
      <c r="N545" s="8"/>
    </row>
    <row r="546" spans="5:14" x14ac:dyDescent="0.35">
      <c r="E546" s="1" t="s">
        <v>2033</v>
      </c>
      <c r="F546" s="1" t="s">
        <v>351</v>
      </c>
      <c r="G546" s="1">
        <v>0</v>
      </c>
      <c r="H546" s="1" t="s">
        <v>214</v>
      </c>
      <c r="I546" s="1" t="s">
        <v>349</v>
      </c>
      <c r="K546" s="8" t="s">
        <v>198</v>
      </c>
      <c r="L546" s="8" t="s">
        <v>1422</v>
      </c>
      <c r="M546" s="8">
        <v>0</v>
      </c>
      <c r="N546" s="8"/>
    </row>
    <row r="547" spans="5:14" x14ac:dyDescent="0.35">
      <c r="E547" s="1" t="s">
        <v>2033</v>
      </c>
      <c r="F547" s="1" t="s">
        <v>353</v>
      </c>
      <c r="G547" s="1">
        <v>0</v>
      </c>
      <c r="H547" s="1" t="s">
        <v>214</v>
      </c>
      <c r="I547" s="1" t="s">
        <v>349</v>
      </c>
      <c r="K547" s="8" t="s">
        <v>198</v>
      </c>
      <c r="L547" s="8" t="s">
        <v>1423</v>
      </c>
      <c r="M547" s="8">
        <v>0</v>
      </c>
      <c r="N547" s="8"/>
    </row>
    <row r="548" spans="5:14" x14ac:dyDescent="0.35">
      <c r="E548" s="1" t="s">
        <v>2033</v>
      </c>
      <c r="F548" s="1" t="s">
        <v>350</v>
      </c>
      <c r="G548" s="1">
        <v>1</v>
      </c>
      <c r="H548" s="1" t="s">
        <v>2032</v>
      </c>
      <c r="I548" s="1" t="s">
        <v>350</v>
      </c>
      <c r="K548" s="8" t="s">
        <v>198</v>
      </c>
      <c r="L548" s="8" t="s">
        <v>361</v>
      </c>
      <c r="M548" s="8">
        <v>1</v>
      </c>
      <c r="N548" s="8"/>
    </row>
    <row r="549" spans="5:14" x14ac:dyDescent="0.35">
      <c r="E549" s="1" t="s">
        <v>2033</v>
      </c>
      <c r="F549" s="1" t="s">
        <v>352</v>
      </c>
      <c r="G549" s="1">
        <v>0</v>
      </c>
      <c r="H549" s="1" t="s">
        <v>214</v>
      </c>
      <c r="I549" s="1" t="s">
        <v>352</v>
      </c>
      <c r="K549" s="8" t="s">
        <v>198</v>
      </c>
      <c r="L549" s="8" t="s">
        <v>1425</v>
      </c>
      <c r="M549" s="8">
        <v>1</v>
      </c>
      <c r="N549" s="8" t="s">
        <v>619</v>
      </c>
    </row>
    <row r="550" spans="5:14" x14ac:dyDescent="0.35">
      <c r="E550" s="1" t="s">
        <v>2033</v>
      </c>
      <c r="F550" s="1" t="s">
        <v>349</v>
      </c>
      <c r="G550" s="1">
        <v>1</v>
      </c>
      <c r="H550" s="1" t="s">
        <v>282</v>
      </c>
      <c r="I550" s="1" t="s">
        <v>349</v>
      </c>
      <c r="K550" s="8" t="s">
        <v>198</v>
      </c>
      <c r="L550" s="8" t="s">
        <v>1424</v>
      </c>
      <c r="M550" s="8">
        <v>0</v>
      </c>
      <c r="N550" s="8"/>
    </row>
    <row r="551" spans="5:14" x14ac:dyDescent="0.35">
      <c r="E551" s="1" t="s">
        <v>2033</v>
      </c>
      <c r="F551" s="1" t="s">
        <v>467</v>
      </c>
      <c r="G551" s="1">
        <v>1</v>
      </c>
      <c r="H551" s="1" t="s">
        <v>2032</v>
      </c>
      <c r="I551" s="1" t="s">
        <v>467</v>
      </c>
      <c r="K551" s="8" t="s">
        <v>198</v>
      </c>
      <c r="L551" s="8" t="s">
        <v>1426</v>
      </c>
      <c r="M551" s="8">
        <v>0</v>
      </c>
      <c r="N551" s="8"/>
    </row>
    <row r="552" spans="5:14" x14ac:dyDescent="0.35">
      <c r="E552" s="1" t="s">
        <v>2034</v>
      </c>
      <c r="F552" s="1" t="s">
        <v>358</v>
      </c>
      <c r="G552" s="1">
        <v>1</v>
      </c>
      <c r="H552" s="1" t="s">
        <v>197</v>
      </c>
      <c r="I552" s="1" t="s">
        <v>358</v>
      </c>
      <c r="K552" s="8" t="s">
        <v>198</v>
      </c>
      <c r="L552" s="8" t="s">
        <v>1427</v>
      </c>
      <c r="M552" s="8">
        <v>0</v>
      </c>
      <c r="N552" s="8"/>
    </row>
    <row r="553" spans="5:14" x14ac:dyDescent="0.35">
      <c r="E553" s="1" t="s">
        <v>2034</v>
      </c>
      <c r="F553" s="1" t="s">
        <v>357</v>
      </c>
      <c r="G553" s="1">
        <v>1</v>
      </c>
      <c r="H553" s="1" t="s">
        <v>197</v>
      </c>
      <c r="I553" s="1" t="s">
        <v>357</v>
      </c>
      <c r="K553" s="8" t="s">
        <v>198</v>
      </c>
      <c r="L553" s="8" t="s">
        <v>1428</v>
      </c>
      <c r="M553" s="8">
        <v>0</v>
      </c>
      <c r="N553" s="8"/>
    </row>
    <row r="554" spans="5:14" x14ac:dyDescent="0.35">
      <c r="E554" s="1" t="s">
        <v>2034</v>
      </c>
      <c r="F554" s="1" t="s">
        <v>350</v>
      </c>
      <c r="G554" s="1">
        <v>1</v>
      </c>
      <c r="H554" s="1" t="s">
        <v>190</v>
      </c>
      <c r="I554" s="1" t="s">
        <v>350</v>
      </c>
      <c r="K554" s="8" t="s">
        <v>198</v>
      </c>
      <c r="L554" s="8" t="s">
        <v>1429</v>
      </c>
      <c r="M554" s="8">
        <v>1</v>
      </c>
      <c r="N554" s="8" t="s">
        <v>517</v>
      </c>
    </row>
    <row r="555" spans="5:14" x14ac:dyDescent="0.35">
      <c r="E555" s="1" t="s">
        <v>2034</v>
      </c>
      <c r="F555" s="1" t="s">
        <v>2174</v>
      </c>
      <c r="G555" s="1">
        <v>1</v>
      </c>
      <c r="K555" s="8" t="s">
        <v>198</v>
      </c>
      <c r="L555" s="8" t="s">
        <v>1430</v>
      </c>
      <c r="M555" s="8">
        <v>1</v>
      </c>
      <c r="N555" s="8" t="s">
        <v>764</v>
      </c>
    </row>
    <row r="556" spans="5:14" x14ac:dyDescent="0.35">
      <c r="E556" s="1" t="s">
        <v>2034</v>
      </c>
      <c r="F556" s="1" t="s">
        <v>2175</v>
      </c>
      <c r="G556" s="1">
        <v>1</v>
      </c>
      <c r="K556" s="8" t="s">
        <v>198</v>
      </c>
      <c r="L556" s="8" t="s">
        <v>1431</v>
      </c>
      <c r="M556" s="8">
        <v>0</v>
      </c>
      <c r="N556" s="8"/>
    </row>
    <row r="557" spans="5:14" x14ac:dyDescent="0.35">
      <c r="E557" s="1" t="s">
        <v>2034</v>
      </c>
      <c r="F557" s="1" t="s">
        <v>356</v>
      </c>
      <c r="G557" s="1">
        <v>1</v>
      </c>
      <c r="H557" s="1" t="s">
        <v>197</v>
      </c>
      <c r="I557" s="1" t="s">
        <v>356</v>
      </c>
      <c r="K557" s="8" t="s">
        <v>198</v>
      </c>
      <c r="L557" s="8" t="s">
        <v>360</v>
      </c>
      <c r="M557" s="8">
        <v>1</v>
      </c>
      <c r="N557" s="8"/>
    </row>
    <row r="558" spans="5:14" x14ac:dyDescent="0.35">
      <c r="E558" s="1" t="s">
        <v>2034</v>
      </c>
      <c r="F558" s="1" t="s">
        <v>355</v>
      </c>
      <c r="G558" s="1">
        <v>1</v>
      </c>
      <c r="H558" s="1" t="s">
        <v>197</v>
      </c>
      <c r="I558" s="1" t="s">
        <v>355</v>
      </c>
      <c r="K558" s="8" t="s">
        <v>198</v>
      </c>
      <c r="L558" s="8" t="s">
        <v>1432</v>
      </c>
      <c r="M558" s="8">
        <v>1</v>
      </c>
      <c r="N558" s="8" t="s">
        <v>476</v>
      </c>
    </row>
    <row r="559" spans="5:14" x14ac:dyDescent="0.35">
      <c r="E559" s="1" t="s">
        <v>2034</v>
      </c>
      <c r="F559" s="1" t="s">
        <v>2173</v>
      </c>
      <c r="G559" s="1">
        <v>1</v>
      </c>
      <c r="K559" s="8" t="s">
        <v>198</v>
      </c>
      <c r="L559" s="8" t="s">
        <v>1433</v>
      </c>
      <c r="M559" s="8">
        <v>0</v>
      </c>
      <c r="N559" s="8"/>
    </row>
    <row r="560" spans="5:14" x14ac:dyDescent="0.35">
      <c r="E560" s="1" t="s">
        <v>2035</v>
      </c>
      <c r="F560" s="1" t="s">
        <v>361</v>
      </c>
      <c r="G560" s="1">
        <v>1</v>
      </c>
      <c r="H560" s="1" t="s">
        <v>198</v>
      </c>
      <c r="I560" s="1" t="s">
        <v>361</v>
      </c>
      <c r="K560" s="8" t="s">
        <v>198</v>
      </c>
      <c r="L560" s="8" t="s">
        <v>1434</v>
      </c>
      <c r="M560" s="8">
        <v>0</v>
      </c>
      <c r="N560" s="8"/>
    </row>
    <row r="561" spans="5:14" x14ac:dyDescent="0.35">
      <c r="E561" s="1" t="s">
        <v>2035</v>
      </c>
      <c r="F561" s="1" t="s">
        <v>360</v>
      </c>
      <c r="G561" s="1">
        <v>1</v>
      </c>
      <c r="H561" s="1" t="s">
        <v>198</v>
      </c>
      <c r="I561" s="1" t="s">
        <v>360</v>
      </c>
      <c r="K561" s="8" t="s">
        <v>198</v>
      </c>
      <c r="L561" s="8" t="s">
        <v>1435</v>
      </c>
      <c r="M561" s="8">
        <v>0</v>
      </c>
      <c r="N561" s="8" t="s">
        <v>476</v>
      </c>
    </row>
    <row r="562" spans="5:14" x14ac:dyDescent="0.35">
      <c r="E562" s="1" t="s">
        <v>2035</v>
      </c>
      <c r="F562" s="1" t="s">
        <v>350</v>
      </c>
      <c r="G562" s="1">
        <v>1</v>
      </c>
      <c r="H562" s="1" t="s">
        <v>190</v>
      </c>
      <c r="I562" s="1" t="s">
        <v>350</v>
      </c>
      <c r="K562" s="8" t="s">
        <v>198</v>
      </c>
      <c r="L562" s="8" t="s">
        <v>1436</v>
      </c>
      <c r="M562" s="8">
        <v>0</v>
      </c>
      <c r="N562" s="8" t="s">
        <v>476</v>
      </c>
    </row>
    <row r="563" spans="5:14" x14ac:dyDescent="0.35">
      <c r="E563" s="1" t="s">
        <v>2035</v>
      </c>
      <c r="F563" s="1" t="s">
        <v>2177</v>
      </c>
      <c r="G563" s="1">
        <v>1</v>
      </c>
      <c r="K563" s="8" t="s">
        <v>198</v>
      </c>
      <c r="L563" s="8" t="s">
        <v>1437</v>
      </c>
      <c r="M563" s="8">
        <v>0</v>
      </c>
      <c r="N563" s="8"/>
    </row>
    <row r="564" spans="5:14" x14ac:dyDescent="0.35">
      <c r="E564" s="1" t="s">
        <v>2035</v>
      </c>
      <c r="F564" s="1" t="s">
        <v>2178</v>
      </c>
      <c r="G564" s="1">
        <v>1</v>
      </c>
      <c r="K564" s="8" t="s">
        <v>198</v>
      </c>
      <c r="L564" s="8" t="s">
        <v>1439</v>
      </c>
      <c r="M564" s="8">
        <v>0</v>
      </c>
      <c r="N564" s="8"/>
    </row>
    <row r="565" spans="5:14" x14ac:dyDescent="0.35">
      <c r="E565" s="1" t="s">
        <v>2035</v>
      </c>
      <c r="F565" s="1" t="s">
        <v>359</v>
      </c>
      <c r="G565" s="1">
        <v>1</v>
      </c>
      <c r="H565" s="1" t="s">
        <v>198</v>
      </c>
      <c r="I565" s="1" t="s">
        <v>359</v>
      </c>
      <c r="K565" s="8" t="s">
        <v>198</v>
      </c>
      <c r="L565" s="8" t="s">
        <v>1440</v>
      </c>
      <c r="M565" s="8">
        <v>0</v>
      </c>
      <c r="N565" s="8"/>
    </row>
    <row r="566" spans="5:14" x14ac:dyDescent="0.35">
      <c r="E566" s="1" t="s">
        <v>2035</v>
      </c>
      <c r="F566" s="1" t="s">
        <v>355</v>
      </c>
      <c r="G566" s="1">
        <v>1</v>
      </c>
      <c r="H566" s="1" t="s">
        <v>198</v>
      </c>
      <c r="I566" s="1" t="s">
        <v>355</v>
      </c>
      <c r="K566" s="8" t="s">
        <v>198</v>
      </c>
      <c r="L566" s="8" t="s">
        <v>1441</v>
      </c>
      <c r="M566" s="8">
        <v>0</v>
      </c>
      <c r="N566" s="8"/>
    </row>
    <row r="567" spans="5:14" x14ac:dyDescent="0.35">
      <c r="E567" s="1" t="s">
        <v>2035</v>
      </c>
      <c r="F567" s="1" t="s">
        <v>2176</v>
      </c>
      <c r="G567" s="1">
        <v>1</v>
      </c>
      <c r="K567" s="8" t="s">
        <v>198</v>
      </c>
      <c r="L567" s="8" t="s">
        <v>1442</v>
      </c>
      <c r="M567" s="8">
        <v>0</v>
      </c>
      <c r="N567" s="8"/>
    </row>
    <row r="568" spans="5:14" x14ac:dyDescent="0.35">
      <c r="E568" s="1" t="s">
        <v>2036</v>
      </c>
      <c r="F568" s="1" t="s">
        <v>2180</v>
      </c>
      <c r="G568" s="1">
        <v>1</v>
      </c>
      <c r="K568" s="8" t="s">
        <v>198</v>
      </c>
      <c r="L568" s="8" t="s">
        <v>1438</v>
      </c>
      <c r="M568" s="8">
        <v>1</v>
      </c>
      <c r="N568" s="8" t="s">
        <v>476</v>
      </c>
    </row>
    <row r="569" spans="5:14" x14ac:dyDescent="0.35">
      <c r="E569" s="1" t="s">
        <v>2036</v>
      </c>
      <c r="F569" s="1" t="s">
        <v>350</v>
      </c>
      <c r="G569" s="1">
        <v>1</v>
      </c>
      <c r="H569" s="1" t="s">
        <v>190</v>
      </c>
      <c r="I569" s="1" t="s">
        <v>350</v>
      </c>
      <c r="K569" s="8" t="s">
        <v>198</v>
      </c>
      <c r="L569" s="8" t="s">
        <v>1446</v>
      </c>
      <c r="M569" s="8">
        <v>0</v>
      </c>
      <c r="N569" s="8"/>
    </row>
    <row r="570" spans="5:14" x14ac:dyDescent="0.35">
      <c r="E570" s="1" t="s">
        <v>2036</v>
      </c>
      <c r="F570" s="1" t="s">
        <v>2179</v>
      </c>
      <c r="G570" s="1">
        <v>1</v>
      </c>
      <c r="K570" s="8" t="s">
        <v>198</v>
      </c>
      <c r="L570" s="8" t="s">
        <v>1443</v>
      </c>
      <c r="M570" s="8">
        <v>0</v>
      </c>
      <c r="N570" s="8" t="s">
        <v>476</v>
      </c>
    </row>
    <row r="571" spans="5:14" x14ac:dyDescent="0.35">
      <c r="E571" s="1" t="s">
        <v>2037</v>
      </c>
      <c r="F571" s="1" t="s">
        <v>2182</v>
      </c>
      <c r="G571" s="1">
        <v>1</v>
      </c>
      <c r="K571" s="8" t="s">
        <v>198</v>
      </c>
      <c r="L571" s="8" t="s">
        <v>1444</v>
      </c>
      <c r="M571" s="8">
        <v>0</v>
      </c>
      <c r="N571" s="8" t="s">
        <v>476</v>
      </c>
    </row>
    <row r="572" spans="5:14" x14ac:dyDescent="0.35">
      <c r="E572" s="1" t="s">
        <v>2037</v>
      </c>
      <c r="F572" s="1" t="s">
        <v>350</v>
      </c>
      <c r="G572" s="1">
        <v>1</v>
      </c>
      <c r="H572" s="1" t="s">
        <v>2127</v>
      </c>
      <c r="I572" s="1" t="s">
        <v>350</v>
      </c>
      <c r="K572" s="8" t="s">
        <v>198</v>
      </c>
      <c r="L572" s="8" t="s">
        <v>1445</v>
      </c>
      <c r="M572" s="8">
        <v>0</v>
      </c>
      <c r="N572" s="8" t="s">
        <v>476</v>
      </c>
    </row>
    <row r="573" spans="5:14" x14ac:dyDescent="0.35">
      <c r="E573" s="1" t="s">
        <v>2037</v>
      </c>
      <c r="F573" s="1" t="s">
        <v>355</v>
      </c>
      <c r="G573" s="1">
        <v>1</v>
      </c>
      <c r="H573" s="1" t="s">
        <v>2127</v>
      </c>
      <c r="I573" s="1" t="s">
        <v>355</v>
      </c>
      <c r="K573" s="8" t="s">
        <v>198</v>
      </c>
      <c r="L573" s="8" t="s">
        <v>1447</v>
      </c>
      <c r="M573" s="8">
        <v>1</v>
      </c>
      <c r="N573" s="8" t="s">
        <v>773</v>
      </c>
    </row>
    <row r="574" spans="5:14" x14ac:dyDescent="0.35">
      <c r="E574" s="1" t="s">
        <v>2037</v>
      </c>
      <c r="F574" s="1" t="s">
        <v>2181</v>
      </c>
      <c r="G574" s="1">
        <v>1</v>
      </c>
      <c r="K574" s="8" t="s">
        <v>198</v>
      </c>
      <c r="L574" s="8" t="s">
        <v>1448</v>
      </c>
      <c r="M574" s="8">
        <v>0</v>
      </c>
      <c r="N574" s="8"/>
    </row>
    <row r="575" spans="5:14" x14ac:dyDescent="0.35">
      <c r="E575" s="1" t="s">
        <v>289</v>
      </c>
      <c r="F575" s="1" t="s">
        <v>416</v>
      </c>
      <c r="G575" s="1">
        <v>1</v>
      </c>
      <c r="K575" s="8" t="s">
        <v>198</v>
      </c>
      <c r="L575" s="8" t="s">
        <v>1449</v>
      </c>
      <c r="M575" s="8">
        <v>0</v>
      </c>
      <c r="N575" s="8"/>
    </row>
    <row r="576" spans="5:14" x14ac:dyDescent="0.35">
      <c r="E576" s="1" t="s">
        <v>2038</v>
      </c>
      <c r="F576" s="1" t="s">
        <v>2183</v>
      </c>
      <c r="G576" s="1">
        <v>1</v>
      </c>
      <c r="K576" s="8" t="s">
        <v>198</v>
      </c>
      <c r="L576" s="8" t="s">
        <v>1450</v>
      </c>
      <c r="M576" s="8">
        <v>0</v>
      </c>
      <c r="N576" s="8"/>
    </row>
    <row r="577" spans="5:14" x14ac:dyDescent="0.35">
      <c r="E577" s="1" t="s">
        <v>2038</v>
      </c>
      <c r="F577" s="1" t="s">
        <v>416</v>
      </c>
      <c r="G577" s="1">
        <v>1</v>
      </c>
      <c r="H577" s="1" t="s">
        <v>289</v>
      </c>
      <c r="I577" s="1" t="s">
        <v>416</v>
      </c>
      <c r="K577" s="8" t="s">
        <v>198</v>
      </c>
      <c r="L577" s="8" t="s">
        <v>1451</v>
      </c>
      <c r="M577" s="8">
        <v>0</v>
      </c>
      <c r="N577" s="8"/>
    </row>
    <row r="578" spans="5:14" x14ac:dyDescent="0.35">
      <c r="E578" s="1" t="s">
        <v>2039</v>
      </c>
      <c r="F578" s="1" t="s">
        <v>358</v>
      </c>
      <c r="G578" s="1">
        <v>1</v>
      </c>
      <c r="K578" s="8" t="s">
        <v>198</v>
      </c>
      <c r="L578" s="8" t="s">
        <v>1452</v>
      </c>
      <c r="M578" s="8">
        <v>0</v>
      </c>
      <c r="N578" s="8"/>
    </row>
    <row r="579" spans="5:14" x14ac:dyDescent="0.35">
      <c r="E579" s="1" t="s">
        <v>2039</v>
      </c>
      <c r="F579" s="1" t="s">
        <v>357</v>
      </c>
      <c r="G579" s="1">
        <v>1</v>
      </c>
      <c r="K579" s="8" t="s">
        <v>198</v>
      </c>
      <c r="L579" s="8" t="s">
        <v>1453</v>
      </c>
      <c r="M579" s="8">
        <v>0</v>
      </c>
      <c r="N579" s="8"/>
    </row>
    <row r="580" spans="5:14" x14ac:dyDescent="0.35">
      <c r="E580" s="1" t="s">
        <v>2039</v>
      </c>
      <c r="F580" s="1" t="s">
        <v>2184</v>
      </c>
      <c r="G580" s="1">
        <v>1</v>
      </c>
      <c r="K580" s="8" t="s">
        <v>198</v>
      </c>
      <c r="L580" s="8" t="s">
        <v>1454</v>
      </c>
      <c r="M580" s="8">
        <v>0</v>
      </c>
      <c r="N580" s="8" t="s">
        <v>476</v>
      </c>
    </row>
    <row r="581" spans="5:14" x14ac:dyDescent="0.35">
      <c r="E581" s="1" t="s">
        <v>2039</v>
      </c>
      <c r="F581" s="1" t="s">
        <v>356</v>
      </c>
      <c r="G581" s="1">
        <v>1</v>
      </c>
      <c r="K581" s="8" t="s">
        <v>198</v>
      </c>
      <c r="L581" s="8" t="s">
        <v>1455</v>
      </c>
      <c r="M581" s="8">
        <v>0</v>
      </c>
      <c r="N581" s="8" t="s">
        <v>476</v>
      </c>
    </row>
    <row r="582" spans="5:14" x14ac:dyDescent="0.35">
      <c r="E582" s="1" t="s">
        <v>2039</v>
      </c>
      <c r="F582" s="1" t="s">
        <v>355</v>
      </c>
      <c r="G582" s="1">
        <v>1</v>
      </c>
      <c r="K582" s="8" t="s">
        <v>198</v>
      </c>
      <c r="L582" s="8" t="s">
        <v>1456</v>
      </c>
      <c r="M582" s="8">
        <v>0</v>
      </c>
      <c r="N582" s="8"/>
    </row>
    <row r="583" spans="5:14" x14ac:dyDescent="0.35">
      <c r="E583" s="1" t="s">
        <v>2040</v>
      </c>
      <c r="F583" s="1" t="s">
        <v>361</v>
      </c>
      <c r="G583" s="1">
        <v>1</v>
      </c>
      <c r="K583" s="8" t="s">
        <v>198</v>
      </c>
      <c r="L583" s="8" t="s">
        <v>1458</v>
      </c>
      <c r="M583" s="8">
        <v>0</v>
      </c>
      <c r="N583" s="8"/>
    </row>
    <row r="584" spans="5:14" x14ac:dyDescent="0.35">
      <c r="E584" s="1" t="s">
        <v>2040</v>
      </c>
      <c r="F584" s="1" t="s">
        <v>360</v>
      </c>
      <c r="G584" s="1">
        <v>1</v>
      </c>
      <c r="K584" s="8" t="s">
        <v>198</v>
      </c>
      <c r="L584" s="8" t="s">
        <v>1457</v>
      </c>
      <c r="M584" s="8">
        <v>0</v>
      </c>
      <c r="N584" s="8"/>
    </row>
    <row r="585" spans="5:14" x14ac:dyDescent="0.35">
      <c r="E585" s="1" t="s">
        <v>2040</v>
      </c>
      <c r="F585" s="1" t="s">
        <v>2185</v>
      </c>
      <c r="G585" s="1">
        <v>1</v>
      </c>
      <c r="K585" s="8" t="s">
        <v>198</v>
      </c>
      <c r="L585" s="8" t="s">
        <v>1459</v>
      </c>
      <c r="M585" s="8">
        <v>1</v>
      </c>
      <c r="N585" s="8" t="s">
        <v>476</v>
      </c>
    </row>
    <row r="586" spans="5:14" x14ac:dyDescent="0.35">
      <c r="E586" s="1" t="s">
        <v>2040</v>
      </c>
      <c r="F586" s="1" t="s">
        <v>359</v>
      </c>
      <c r="G586" s="1">
        <v>1</v>
      </c>
      <c r="K586" s="8" t="s">
        <v>198</v>
      </c>
      <c r="L586" s="8" t="s">
        <v>1460</v>
      </c>
      <c r="M586" s="8">
        <v>0</v>
      </c>
      <c r="N586" s="8"/>
    </row>
    <row r="587" spans="5:14" x14ac:dyDescent="0.35">
      <c r="E587" s="1" t="s">
        <v>2040</v>
      </c>
      <c r="F587" s="1" t="s">
        <v>355</v>
      </c>
      <c r="G587" s="1">
        <v>1</v>
      </c>
      <c r="K587" s="8" t="s">
        <v>198</v>
      </c>
      <c r="L587" s="8" t="s">
        <v>386</v>
      </c>
      <c r="M587" s="8">
        <v>0</v>
      </c>
      <c r="N587" s="8"/>
    </row>
    <row r="588" spans="5:14" x14ac:dyDescent="0.35">
      <c r="E588" s="1" t="s">
        <v>2041</v>
      </c>
      <c r="F588" s="1" t="s">
        <v>350</v>
      </c>
      <c r="G588" s="1">
        <v>1</v>
      </c>
      <c r="K588" s="8" t="s">
        <v>198</v>
      </c>
      <c r="L588" s="8" t="s">
        <v>388</v>
      </c>
      <c r="M588" s="8">
        <v>0</v>
      </c>
      <c r="N588" s="8"/>
    </row>
    <row r="589" spans="5:14" x14ac:dyDescent="0.35">
      <c r="E589" s="1" t="s">
        <v>2041</v>
      </c>
      <c r="F589" s="1" t="s">
        <v>2186</v>
      </c>
      <c r="G589" s="1">
        <v>1</v>
      </c>
      <c r="K589" s="8" t="s">
        <v>198</v>
      </c>
      <c r="L589" s="8" t="s">
        <v>1461</v>
      </c>
      <c r="M589" s="8">
        <v>0</v>
      </c>
      <c r="N589" s="8"/>
    </row>
    <row r="590" spans="5:14" x14ac:dyDescent="0.35">
      <c r="E590" s="1" t="s">
        <v>2041</v>
      </c>
      <c r="F590" s="1" t="s">
        <v>2187</v>
      </c>
      <c r="G590" s="1">
        <v>1</v>
      </c>
      <c r="K590" s="8" t="s">
        <v>198</v>
      </c>
      <c r="L590" s="8" t="s">
        <v>1462</v>
      </c>
      <c r="M590" s="8">
        <v>1</v>
      </c>
      <c r="N590" s="8"/>
    </row>
    <row r="591" spans="5:14" x14ac:dyDescent="0.35">
      <c r="E591" s="1" t="s">
        <v>2041</v>
      </c>
      <c r="F591" s="1" t="s">
        <v>375</v>
      </c>
      <c r="G591" s="1">
        <v>1</v>
      </c>
      <c r="K591" s="8" t="s">
        <v>198</v>
      </c>
      <c r="L591" s="8" t="s">
        <v>1463</v>
      </c>
      <c r="M591" s="8">
        <v>0</v>
      </c>
      <c r="N591" s="8"/>
    </row>
    <row r="592" spans="5:14" x14ac:dyDescent="0.35">
      <c r="E592" s="1" t="s">
        <v>2041</v>
      </c>
      <c r="F592" s="1" t="s">
        <v>376</v>
      </c>
      <c r="G592" s="1">
        <v>1</v>
      </c>
      <c r="K592" s="8" t="s">
        <v>198</v>
      </c>
      <c r="L592" s="8" t="s">
        <v>359</v>
      </c>
      <c r="M592" s="8">
        <v>1</v>
      </c>
      <c r="N592" s="8"/>
    </row>
    <row r="593" spans="5:14" x14ac:dyDescent="0.35">
      <c r="E593" s="1" t="s">
        <v>2042</v>
      </c>
      <c r="F593" s="1" t="s">
        <v>350</v>
      </c>
      <c r="G593" s="1">
        <v>1</v>
      </c>
      <c r="K593" s="8" t="s">
        <v>198</v>
      </c>
      <c r="L593" s="8" t="s">
        <v>390</v>
      </c>
      <c r="M593" s="8">
        <v>0</v>
      </c>
      <c r="N593" s="8"/>
    </row>
    <row r="594" spans="5:14" x14ac:dyDescent="0.35">
      <c r="E594" s="1" t="s">
        <v>2042</v>
      </c>
      <c r="F594" s="1" t="s">
        <v>2188</v>
      </c>
      <c r="G594" s="1">
        <v>1</v>
      </c>
      <c r="K594" s="8" t="s">
        <v>198</v>
      </c>
      <c r="L594" s="8" t="s">
        <v>1464</v>
      </c>
      <c r="M594" s="8">
        <v>1</v>
      </c>
      <c r="N594" s="8" t="s">
        <v>476</v>
      </c>
    </row>
    <row r="595" spans="5:14" x14ac:dyDescent="0.35">
      <c r="E595" s="1" t="s">
        <v>2042</v>
      </c>
      <c r="F595" s="1" t="s">
        <v>2189</v>
      </c>
      <c r="G595" s="1">
        <v>1</v>
      </c>
      <c r="K595" s="8" t="s">
        <v>198</v>
      </c>
      <c r="L595" s="8" t="s">
        <v>1350</v>
      </c>
      <c r="M595" s="8">
        <v>0</v>
      </c>
      <c r="N595" s="8"/>
    </row>
    <row r="596" spans="5:14" x14ac:dyDescent="0.35">
      <c r="E596" s="1" t="s">
        <v>2042</v>
      </c>
      <c r="F596" s="1" t="s">
        <v>375</v>
      </c>
      <c r="G596" s="1">
        <v>1</v>
      </c>
      <c r="K596" s="8" t="s">
        <v>198</v>
      </c>
      <c r="L596" s="8" t="s">
        <v>1351</v>
      </c>
      <c r="M596" s="8">
        <v>0</v>
      </c>
      <c r="N596" s="8"/>
    </row>
    <row r="597" spans="5:14" x14ac:dyDescent="0.35">
      <c r="E597" s="1" t="s">
        <v>2042</v>
      </c>
      <c r="F597" s="1" t="s">
        <v>376</v>
      </c>
      <c r="G597" s="1">
        <v>1</v>
      </c>
      <c r="K597" s="8" t="s">
        <v>198</v>
      </c>
      <c r="L597" s="8" t="s">
        <v>1352</v>
      </c>
      <c r="M597" s="8">
        <v>0</v>
      </c>
      <c r="N597" s="8"/>
    </row>
    <row r="598" spans="5:14" x14ac:dyDescent="0.35">
      <c r="E598" s="1" t="s">
        <v>2042</v>
      </c>
      <c r="F598" s="1" t="s">
        <v>355</v>
      </c>
      <c r="G598" s="1">
        <v>1</v>
      </c>
      <c r="K598" s="8" t="s">
        <v>198</v>
      </c>
      <c r="L598" s="8" t="s">
        <v>1353</v>
      </c>
      <c r="M598" s="8">
        <v>0</v>
      </c>
      <c r="N598" s="8"/>
    </row>
    <row r="599" spans="5:14" x14ac:dyDescent="0.35">
      <c r="E599" s="1" t="s">
        <v>2043</v>
      </c>
      <c r="F599" s="1" t="s">
        <v>350</v>
      </c>
      <c r="G599" s="1">
        <v>1</v>
      </c>
      <c r="K599" s="8" t="s">
        <v>198</v>
      </c>
      <c r="L599" s="8" t="s">
        <v>1354</v>
      </c>
      <c r="M599" s="8">
        <v>0</v>
      </c>
      <c r="N599" s="8"/>
    </row>
    <row r="600" spans="5:14" x14ac:dyDescent="0.35">
      <c r="E600" s="1" t="s">
        <v>2043</v>
      </c>
      <c r="F600" s="1" t="s">
        <v>2192</v>
      </c>
      <c r="G600" s="1">
        <v>1</v>
      </c>
      <c r="K600" s="8" t="s">
        <v>198</v>
      </c>
      <c r="L600" s="8" t="s">
        <v>375</v>
      </c>
      <c r="M600" s="8">
        <v>1</v>
      </c>
      <c r="N600" s="8"/>
    </row>
    <row r="601" spans="5:14" x14ac:dyDescent="0.35">
      <c r="E601" s="1" t="s">
        <v>2043</v>
      </c>
      <c r="F601" s="1" t="s">
        <v>2193</v>
      </c>
      <c r="G601" s="1">
        <v>1</v>
      </c>
      <c r="K601" s="8" t="s">
        <v>198</v>
      </c>
      <c r="L601" s="8" t="s">
        <v>1372</v>
      </c>
      <c r="M601" s="8">
        <v>1</v>
      </c>
      <c r="N601" s="8" t="s">
        <v>476</v>
      </c>
    </row>
    <row r="602" spans="5:14" x14ac:dyDescent="0.35">
      <c r="E602" s="1" t="s">
        <v>2043</v>
      </c>
      <c r="F602" s="1" t="s">
        <v>439</v>
      </c>
      <c r="G602" s="1">
        <v>1</v>
      </c>
      <c r="K602" s="8" t="s">
        <v>198</v>
      </c>
      <c r="L602" s="8" t="s">
        <v>1373</v>
      </c>
      <c r="M602" s="8">
        <v>1</v>
      </c>
      <c r="N602" s="8" t="s">
        <v>476</v>
      </c>
    </row>
    <row r="603" spans="5:14" x14ac:dyDescent="0.35">
      <c r="E603" s="1" t="s">
        <v>2043</v>
      </c>
      <c r="F603" s="1" t="s">
        <v>2190</v>
      </c>
      <c r="G603" s="1">
        <v>1</v>
      </c>
      <c r="K603" s="8" t="s">
        <v>198</v>
      </c>
      <c r="L603" s="8" t="s">
        <v>1465</v>
      </c>
      <c r="M603" s="8">
        <v>1</v>
      </c>
      <c r="N603" s="8" t="s">
        <v>476</v>
      </c>
    </row>
    <row r="604" spans="5:14" x14ac:dyDescent="0.35">
      <c r="E604" s="1" t="s">
        <v>2043</v>
      </c>
      <c r="F604" s="1" t="s">
        <v>2191</v>
      </c>
      <c r="G604" s="1">
        <v>1</v>
      </c>
      <c r="K604" s="8" t="s">
        <v>198</v>
      </c>
      <c r="L604" s="8" t="s">
        <v>1374</v>
      </c>
      <c r="M604" s="8">
        <v>0</v>
      </c>
      <c r="N604" s="8"/>
    </row>
    <row r="605" spans="5:14" x14ac:dyDescent="0.35">
      <c r="E605" s="1" t="s">
        <v>2044</v>
      </c>
      <c r="F605" s="1" t="s">
        <v>350</v>
      </c>
      <c r="G605" s="1">
        <v>1</v>
      </c>
      <c r="H605" s="1" t="s">
        <v>190</v>
      </c>
      <c r="I605" s="1" t="s">
        <v>350</v>
      </c>
      <c r="K605" s="8" t="s">
        <v>198</v>
      </c>
      <c r="L605" s="8" t="s">
        <v>1375</v>
      </c>
      <c r="M605" s="8">
        <v>0</v>
      </c>
      <c r="N605" s="8"/>
    </row>
    <row r="606" spans="5:14" x14ac:dyDescent="0.35">
      <c r="E606" s="1" t="s">
        <v>2044</v>
      </c>
      <c r="F606" s="1" t="s">
        <v>2194</v>
      </c>
      <c r="G606" s="1">
        <v>1</v>
      </c>
      <c r="K606" s="8" t="s">
        <v>198</v>
      </c>
      <c r="L606" s="8" t="s">
        <v>1376</v>
      </c>
      <c r="M606" s="8">
        <v>1</v>
      </c>
      <c r="N606" s="8" t="s">
        <v>476</v>
      </c>
    </row>
    <row r="607" spans="5:14" x14ac:dyDescent="0.35">
      <c r="E607" s="1" t="s">
        <v>2044</v>
      </c>
      <c r="F607" s="1" t="s">
        <v>2195</v>
      </c>
      <c r="G607" s="1">
        <v>1</v>
      </c>
      <c r="K607" s="8" t="s">
        <v>198</v>
      </c>
      <c r="L607" s="8" t="s">
        <v>1377</v>
      </c>
      <c r="M607" s="8">
        <v>1</v>
      </c>
      <c r="N607" s="8" t="s">
        <v>476</v>
      </c>
    </row>
    <row r="608" spans="5:14" x14ac:dyDescent="0.35">
      <c r="E608" s="1" t="s">
        <v>2045</v>
      </c>
      <c r="F608" s="1" t="s">
        <v>350</v>
      </c>
      <c r="G608" s="1">
        <v>1</v>
      </c>
      <c r="H608" s="1" t="s">
        <v>2127</v>
      </c>
      <c r="I608" s="1" t="s">
        <v>350</v>
      </c>
      <c r="K608" s="8" t="s">
        <v>198</v>
      </c>
      <c r="L608" s="8" t="s">
        <v>1378</v>
      </c>
      <c r="M608" s="8">
        <v>1</v>
      </c>
      <c r="N608" s="8" t="s">
        <v>476</v>
      </c>
    </row>
    <row r="609" spans="5:14" x14ac:dyDescent="0.35">
      <c r="E609" s="1" t="s">
        <v>2045</v>
      </c>
      <c r="F609" s="1" t="s">
        <v>2196</v>
      </c>
      <c r="G609" s="1">
        <v>1</v>
      </c>
      <c r="K609" s="8" t="s">
        <v>198</v>
      </c>
      <c r="L609" s="8" t="s">
        <v>389</v>
      </c>
      <c r="M609" s="8">
        <v>0</v>
      </c>
      <c r="N609" s="8"/>
    </row>
    <row r="610" spans="5:14" x14ac:dyDescent="0.35">
      <c r="E610" s="1" t="s">
        <v>2045</v>
      </c>
      <c r="F610" s="1" t="s">
        <v>2197</v>
      </c>
      <c r="G610" s="1">
        <v>1</v>
      </c>
      <c r="K610" s="8" t="s">
        <v>198</v>
      </c>
      <c r="L610" s="8" t="s">
        <v>376</v>
      </c>
      <c r="M610" s="8">
        <v>1</v>
      </c>
      <c r="N610" s="8"/>
    </row>
    <row r="611" spans="5:14" x14ac:dyDescent="0.35">
      <c r="E611" s="1" t="s">
        <v>2045</v>
      </c>
      <c r="F611" s="1" t="s">
        <v>355</v>
      </c>
      <c r="G611" s="1">
        <v>1</v>
      </c>
      <c r="H611" s="1" t="s">
        <v>2127</v>
      </c>
      <c r="I611" s="1" t="s">
        <v>355</v>
      </c>
      <c r="K611" s="8" t="s">
        <v>198</v>
      </c>
      <c r="L611" s="8" t="s">
        <v>1466</v>
      </c>
      <c r="M611" s="8">
        <v>0</v>
      </c>
      <c r="N611" s="8"/>
    </row>
    <row r="612" spans="5:14" x14ac:dyDescent="0.35">
      <c r="E612" s="1" t="s">
        <v>2046</v>
      </c>
      <c r="F612" s="1" t="s">
        <v>2198</v>
      </c>
      <c r="G612" s="1">
        <v>1</v>
      </c>
      <c r="K612" s="8" t="s">
        <v>198</v>
      </c>
      <c r="L612" s="8" t="s">
        <v>355</v>
      </c>
      <c r="M612" s="8">
        <v>1</v>
      </c>
      <c r="N612" s="8"/>
    </row>
    <row r="613" spans="5:14" x14ac:dyDescent="0.35">
      <c r="E613" s="1" t="s">
        <v>2046</v>
      </c>
      <c r="F613" s="1" t="s">
        <v>355</v>
      </c>
      <c r="G613" s="1">
        <v>0</v>
      </c>
      <c r="H613" s="1" t="s">
        <v>292</v>
      </c>
      <c r="I613" s="1" t="s">
        <v>355</v>
      </c>
      <c r="K613" s="8" t="s">
        <v>198</v>
      </c>
      <c r="L613" s="8" t="s">
        <v>1467</v>
      </c>
      <c r="M613" s="8">
        <v>0</v>
      </c>
      <c r="N613" s="8"/>
    </row>
    <row r="614" spans="5:14" x14ac:dyDescent="0.35">
      <c r="E614" s="1" t="s">
        <v>2047</v>
      </c>
      <c r="F614" s="1" t="s">
        <v>2198</v>
      </c>
      <c r="G614" s="1">
        <v>1</v>
      </c>
      <c r="H614" s="1" t="s">
        <v>2046</v>
      </c>
      <c r="I614" s="1" t="s">
        <v>2198</v>
      </c>
      <c r="K614" s="8" t="s">
        <v>198</v>
      </c>
      <c r="L614" s="8" t="s">
        <v>1468</v>
      </c>
      <c r="M614" s="8">
        <v>0</v>
      </c>
      <c r="N614" s="8"/>
    </row>
    <row r="615" spans="5:14" x14ac:dyDescent="0.35">
      <c r="E615" s="1" t="s">
        <v>2047</v>
      </c>
      <c r="F615" s="1" t="s">
        <v>2200</v>
      </c>
      <c r="G615" s="1">
        <v>1</v>
      </c>
      <c r="K615" s="8" t="s">
        <v>198</v>
      </c>
      <c r="L615" s="8" t="s">
        <v>1469</v>
      </c>
      <c r="M615" s="8">
        <v>1</v>
      </c>
      <c r="N615" s="8" t="s">
        <v>476</v>
      </c>
    </row>
    <row r="616" spans="5:14" x14ac:dyDescent="0.35">
      <c r="E616" s="1" t="s">
        <v>2048</v>
      </c>
      <c r="F616" s="1" t="s">
        <v>2199</v>
      </c>
      <c r="G616" s="1">
        <v>1</v>
      </c>
      <c r="H616" s="1" t="s">
        <v>2049</v>
      </c>
      <c r="I616" s="1" t="s">
        <v>2199</v>
      </c>
      <c r="K616" s="8" t="s">
        <v>198</v>
      </c>
      <c r="L616" s="8" t="s">
        <v>1470</v>
      </c>
      <c r="M616" s="8">
        <v>0</v>
      </c>
      <c r="N616" s="8"/>
    </row>
    <row r="617" spans="5:14" x14ac:dyDescent="0.35">
      <c r="E617" s="1" t="s">
        <v>2048</v>
      </c>
      <c r="F617" s="1" t="s">
        <v>2201</v>
      </c>
      <c r="G617" s="1">
        <v>1</v>
      </c>
      <c r="K617" s="8" t="s">
        <v>198</v>
      </c>
      <c r="L617" s="8" t="s">
        <v>1363</v>
      </c>
      <c r="M617" s="8">
        <v>0</v>
      </c>
      <c r="N617" s="8"/>
    </row>
    <row r="618" spans="5:14" x14ac:dyDescent="0.35">
      <c r="E618" s="1" t="s">
        <v>2049</v>
      </c>
      <c r="F618" s="1" t="s">
        <v>2199</v>
      </c>
      <c r="G618" s="1">
        <v>1</v>
      </c>
      <c r="K618" s="8" t="s">
        <v>198</v>
      </c>
      <c r="L618" s="8" t="s">
        <v>1364</v>
      </c>
      <c r="M618" s="8">
        <v>0</v>
      </c>
      <c r="N618" s="8"/>
    </row>
    <row r="619" spans="5:14" x14ac:dyDescent="0.35">
      <c r="E619" s="1" t="s">
        <v>2049</v>
      </c>
      <c r="F619" s="1" t="s">
        <v>355</v>
      </c>
      <c r="G619" s="1">
        <v>0</v>
      </c>
      <c r="H619" s="1" t="s">
        <v>292</v>
      </c>
      <c r="I619" s="1" t="s">
        <v>355</v>
      </c>
      <c r="K619" s="8" t="s">
        <v>198</v>
      </c>
      <c r="L619" s="8" t="s">
        <v>1365</v>
      </c>
      <c r="M619" s="8">
        <v>0</v>
      </c>
      <c r="N619" s="8"/>
    </row>
    <row r="620" spans="5:14" x14ac:dyDescent="0.35">
      <c r="E620" s="1" t="s">
        <v>2050</v>
      </c>
      <c r="F620" s="1" t="s">
        <v>350</v>
      </c>
      <c r="G620" s="1">
        <v>1</v>
      </c>
      <c r="H620" s="1" t="s">
        <v>190</v>
      </c>
      <c r="I620" s="1" t="s">
        <v>350</v>
      </c>
      <c r="K620" s="8" t="s">
        <v>198</v>
      </c>
      <c r="L620" s="8" t="s">
        <v>1366</v>
      </c>
      <c r="M620" s="8">
        <v>0</v>
      </c>
      <c r="N620" s="8"/>
    </row>
    <row r="621" spans="5:14" x14ac:dyDescent="0.35">
      <c r="E621" s="1" t="s">
        <v>2050</v>
      </c>
      <c r="F621" s="1" t="s">
        <v>2202</v>
      </c>
      <c r="G621" s="1">
        <v>1</v>
      </c>
      <c r="K621" s="8" t="s">
        <v>198</v>
      </c>
      <c r="L621" s="8" t="s">
        <v>1367</v>
      </c>
      <c r="M621" s="8">
        <v>0</v>
      </c>
      <c r="N621" s="8"/>
    </row>
    <row r="622" spans="5:14" x14ac:dyDescent="0.35">
      <c r="E622" s="1" t="s">
        <v>2050</v>
      </c>
      <c r="F622" s="1" t="s">
        <v>380</v>
      </c>
      <c r="G622" s="1">
        <v>0</v>
      </c>
      <c r="H622" s="1" t="s">
        <v>284</v>
      </c>
      <c r="I622" s="1" t="s">
        <v>380</v>
      </c>
      <c r="K622" s="8" t="s">
        <v>198</v>
      </c>
      <c r="L622" s="8" t="s">
        <v>1471</v>
      </c>
      <c r="M622" s="8">
        <v>1</v>
      </c>
      <c r="N622" s="8" t="s">
        <v>476</v>
      </c>
    </row>
    <row r="623" spans="5:14" x14ac:dyDescent="0.35">
      <c r="E623" s="1" t="s">
        <v>2051</v>
      </c>
      <c r="F623" s="1" t="s">
        <v>350</v>
      </c>
      <c r="G623" s="1">
        <v>1</v>
      </c>
      <c r="H623" s="1" t="s">
        <v>190</v>
      </c>
      <c r="I623" s="1" t="s">
        <v>350</v>
      </c>
      <c r="K623" s="8" t="s">
        <v>198</v>
      </c>
      <c r="L623" s="8" t="s">
        <v>387</v>
      </c>
      <c r="M623" s="8">
        <v>0</v>
      </c>
      <c r="N623" s="8"/>
    </row>
    <row r="624" spans="5:14" x14ac:dyDescent="0.35">
      <c r="E624" s="1" t="s">
        <v>2051</v>
      </c>
      <c r="F624" s="1" t="s">
        <v>2203</v>
      </c>
      <c r="G624" s="1">
        <v>1</v>
      </c>
      <c r="K624" s="8" t="s">
        <v>198</v>
      </c>
      <c r="L624" s="8" t="s">
        <v>1370</v>
      </c>
      <c r="M624" s="8">
        <v>0</v>
      </c>
      <c r="N624" s="8"/>
    </row>
    <row r="625" spans="5:14" x14ac:dyDescent="0.35">
      <c r="E625" s="1" t="s">
        <v>2051</v>
      </c>
      <c r="F625" s="1" t="s">
        <v>2204</v>
      </c>
      <c r="G625" s="1">
        <v>1</v>
      </c>
      <c r="K625" s="8" t="s">
        <v>198</v>
      </c>
      <c r="L625" s="8" t="s">
        <v>1371</v>
      </c>
      <c r="M625" s="8">
        <v>0</v>
      </c>
      <c r="N625" s="8"/>
    </row>
    <row r="626" spans="5:14" x14ac:dyDescent="0.35">
      <c r="E626" s="1" t="s">
        <v>2052</v>
      </c>
      <c r="F626" s="1" t="s">
        <v>350</v>
      </c>
      <c r="G626" s="1">
        <v>1</v>
      </c>
      <c r="H626" s="1" t="s">
        <v>2127</v>
      </c>
      <c r="I626" s="1" t="s">
        <v>350</v>
      </c>
      <c r="K626" s="8" t="s">
        <v>198</v>
      </c>
      <c r="L626" s="8" t="s">
        <v>1379</v>
      </c>
      <c r="M626" s="8">
        <v>0</v>
      </c>
      <c r="N626" s="8"/>
    </row>
    <row r="627" spans="5:14" x14ac:dyDescent="0.35">
      <c r="E627" s="1" t="s">
        <v>2052</v>
      </c>
      <c r="F627" s="1" t="s">
        <v>2205</v>
      </c>
      <c r="G627" s="1">
        <v>1</v>
      </c>
      <c r="K627" s="8" t="s">
        <v>198</v>
      </c>
      <c r="L627" s="8" t="s">
        <v>1380</v>
      </c>
      <c r="M627" s="8">
        <v>0</v>
      </c>
      <c r="N627" s="8"/>
    </row>
    <row r="628" spans="5:14" x14ac:dyDescent="0.35">
      <c r="E628" s="1" t="s">
        <v>2052</v>
      </c>
      <c r="F628" s="1" t="s">
        <v>2206</v>
      </c>
      <c r="G628" s="1">
        <v>1</v>
      </c>
      <c r="K628" s="8" t="s">
        <v>198</v>
      </c>
      <c r="L628" s="8" t="s">
        <v>1381</v>
      </c>
      <c r="M628" s="8">
        <v>0</v>
      </c>
      <c r="N628" s="8"/>
    </row>
    <row r="629" spans="5:14" x14ac:dyDescent="0.35">
      <c r="E629" s="1" t="s">
        <v>2052</v>
      </c>
      <c r="F629" s="1" t="s">
        <v>355</v>
      </c>
      <c r="G629" s="1">
        <v>1</v>
      </c>
      <c r="H629" s="1" t="s">
        <v>2127</v>
      </c>
      <c r="I629" s="1" t="s">
        <v>355</v>
      </c>
      <c r="K629" s="8" t="s">
        <v>198</v>
      </c>
      <c r="L629" s="8" t="s">
        <v>1382</v>
      </c>
      <c r="M629" s="8">
        <v>0</v>
      </c>
      <c r="N629" s="8"/>
    </row>
    <row r="630" spans="5:14" x14ac:dyDescent="0.35">
      <c r="E630" s="1" t="s">
        <v>2053</v>
      </c>
      <c r="F630" s="1" t="s">
        <v>365</v>
      </c>
      <c r="G630" s="1">
        <v>1</v>
      </c>
      <c r="H630" s="1" t="s">
        <v>197</v>
      </c>
      <c r="I630" s="1" t="s">
        <v>358</v>
      </c>
      <c r="K630" s="8" t="s">
        <v>198</v>
      </c>
      <c r="L630" s="8" t="s">
        <v>380</v>
      </c>
      <c r="M630" s="8">
        <v>0</v>
      </c>
      <c r="N630" s="8"/>
    </row>
    <row r="631" spans="5:14" x14ac:dyDescent="0.35">
      <c r="E631" s="1" t="s">
        <v>2053</v>
      </c>
      <c r="F631" s="1" t="s">
        <v>364</v>
      </c>
      <c r="G631" s="1">
        <v>1</v>
      </c>
      <c r="H631" s="1" t="s">
        <v>197</v>
      </c>
      <c r="I631" s="1" t="s">
        <v>357</v>
      </c>
      <c r="K631" s="8" t="s">
        <v>199</v>
      </c>
      <c r="L631" s="8" t="s">
        <v>788</v>
      </c>
      <c r="M631" s="8">
        <v>1</v>
      </c>
      <c r="N631" s="8"/>
    </row>
    <row r="632" spans="5:14" x14ac:dyDescent="0.35">
      <c r="E632" s="1" t="s">
        <v>2053</v>
      </c>
      <c r="F632" s="1" t="s">
        <v>363</v>
      </c>
      <c r="G632" s="1">
        <v>1</v>
      </c>
      <c r="H632" s="1" t="s">
        <v>197</v>
      </c>
      <c r="I632" s="1" t="s">
        <v>356</v>
      </c>
      <c r="K632" s="8" t="s">
        <v>199</v>
      </c>
      <c r="L632" s="8" t="s">
        <v>789</v>
      </c>
      <c r="M632" s="8">
        <v>1</v>
      </c>
      <c r="N632" s="8" t="s">
        <v>517</v>
      </c>
    </row>
    <row r="633" spans="5:14" x14ac:dyDescent="0.35">
      <c r="E633" s="1" t="s">
        <v>2053</v>
      </c>
      <c r="F633" s="1" t="s">
        <v>362</v>
      </c>
      <c r="G633" s="1">
        <v>1</v>
      </c>
      <c r="H633" s="1" t="s">
        <v>197</v>
      </c>
      <c r="I633" s="1" t="s">
        <v>355</v>
      </c>
      <c r="K633" s="8" t="s">
        <v>199</v>
      </c>
      <c r="L633" s="8" t="s">
        <v>790</v>
      </c>
      <c r="M633" s="8">
        <v>0</v>
      </c>
      <c r="N633" s="8" t="s">
        <v>476</v>
      </c>
    </row>
    <row r="634" spans="5:14" x14ac:dyDescent="0.35">
      <c r="E634" s="1" t="s">
        <v>2053</v>
      </c>
      <c r="F634" s="1" t="s">
        <v>358</v>
      </c>
      <c r="G634" s="1">
        <v>1</v>
      </c>
      <c r="H634" s="1" t="s">
        <v>197</v>
      </c>
      <c r="I634" s="1" t="s">
        <v>358</v>
      </c>
      <c r="K634" s="8" t="s">
        <v>199</v>
      </c>
      <c r="L634" s="8" t="s">
        <v>791</v>
      </c>
      <c r="M634" s="8">
        <v>0</v>
      </c>
      <c r="N634" s="8" t="s">
        <v>539</v>
      </c>
    </row>
    <row r="635" spans="5:14" x14ac:dyDescent="0.35">
      <c r="E635" s="1" t="s">
        <v>2053</v>
      </c>
      <c r="F635" s="1" t="s">
        <v>357</v>
      </c>
      <c r="G635" s="1">
        <v>1</v>
      </c>
      <c r="H635" s="1" t="s">
        <v>197</v>
      </c>
      <c r="I635" s="1" t="s">
        <v>357</v>
      </c>
      <c r="K635" s="8" t="s">
        <v>199</v>
      </c>
      <c r="L635" s="8" t="s">
        <v>792</v>
      </c>
      <c r="M635" s="8">
        <v>1</v>
      </c>
      <c r="N635" s="8" t="s">
        <v>476</v>
      </c>
    </row>
    <row r="636" spans="5:14" x14ac:dyDescent="0.35">
      <c r="E636" s="1" t="s">
        <v>2053</v>
      </c>
      <c r="F636" s="1" t="s">
        <v>356</v>
      </c>
      <c r="G636" s="1">
        <v>1</v>
      </c>
      <c r="H636" s="1" t="s">
        <v>197</v>
      </c>
      <c r="I636" s="1" t="s">
        <v>356</v>
      </c>
      <c r="K636" s="8" t="s">
        <v>199</v>
      </c>
      <c r="L636" s="8" t="s">
        <v>793</v>
      </c>
      <c r="M636" s="8">
        <v>0</v>
      </c>
      <c r="N636" s="8"/>
    </row>
    <row r="637" spans="5:14" x14ac:dyDescent="0.35">
      <c r="E637" s="1" t="s">
        <v>2053</v>
      </c>
      <c r="F637" s="1" t="s">
        <v>355</v>
      </c>
      <c r="G637" s="1">
        <v>1</v>
      </c>
      <c r="H637" s="1" t="s">
        <v>197</v>
      </c>
      <c r="I637" s="1" t="s">
        <v>355</v>
      </c>
      <c r="K637" s="8" t="s">
        <v>199</v>
      </c>
      <c r="L637" s="8" t="s">
        <v>794</v>
      </c>
      <c r="M637" s="8">
        <v>0</v>
      </c>
      <c r="N637" s="8"/>
    </row>
    <row r="638" spans="5:14" x14ac:dyDescent="0.35">
      <c r="E638" s="1" t="s">
        <v>2054</v>
      </c>
      <c r="F638" s="1" t="s">
        <v>368</v>
      </c>
      <c r="G638" s="1">
        <v>1</v>
      </c>
      <c r="H638" s="1" t="s">
        <v>198</v>
      </c>
      <c r="I638" s="1" t="s">
        <v>361</v>
      </c>
      <c r="K638" s="8" t="s">
        <v>199</v>
      </c>
      <c r="L638" s="8" t="s">
        <v>795</v>
      </c>
      <c r="M638" s="8">
        <v>1</v>
      </c>
      <c r="N638" s="8" t="s">
        <v>517</v>
      </c>
    </row>
    <row r="639" spans="5:14" x14ac:dyDescent="0.35">
      <c r="E639" s="1" t="s">
        <v>2054</v>
      </c>
      <c r="F639" s="1" t="s">
        <v>367</v>
      </c>
      <c r="G639" s="1">
        <v>1</v>
      </c>
      <c r="H639" s="1" t="s">
        <v>198</v>
      </c>
      <c r="I639" s="1" t="s">
        <v>360</v>
      </c>
      <c r="K639" s="8" t="s">
        <v>199</v>
      </c>
      <c r="L639" s="8" t="s">
        <v>796</v>
      </c>
      <c r="M639" s="8">
        <v>1</v>
      </c>
      <c r="N639" s="8" t="s">
        <v>476</v>
      </c>
    </row>
    <row r="640" spans="5:14" x14ac:dyDescent="0.35">
      <c r="E640" s="1" t="s">
        <v>2054</v>
      </c>
      <c r="F640" s="1" t="s">
        <v>366</v>
      </c>
      <c r="G640" s="1">
        <v>1</v>
      </c>
      <c r="H640" s="1" t="s">
        <v>198</v>
      </c>
      <c r="I640" s="1" t="s">
        <v>359</v>
      </c>
      <c r="K640" s="8" t="s">
        <v>199</v>
      </c>
      <c r="L640" s="8" t="s">
        <v>797</v>
      </c>
      <c r="M640" s="8">
        <v>1</v>
      </c>
      <c r="N640" s="8" t="s">
        <v>476</v>
      </c>
    </row>
    <row r="641" spans="5:14" x14ac:dyDescent="0.35">
      <c r="E641" s="1" t="s">
        <v>2054</v>
      </c>
      <c r="F641" s="1" t="s">
        <v>362</v>
      </c>
      <c r="G641" s="1">
        <v>1</v>
      </c>
      <c r="H641" s="1" t="s">
        <v>198</v>
      </c>
      <c r="I641" s="1" t="s">
        <v>355</v>
      </c>
      <c r="K641" s="8" t="s">
        <v>199</v>
      </c>
      <c r="L641" s="8" t="s">
        <v>798</v>
      </c>
      <c r="M641" s="8">
        <v>1</v>
      </c>
      <c r="N641" s="8" t="s">
        <v>476</v>
      </c>
    </row>
    <row r="642" spans="5:14" x14ac:dyDescent="0.35">
      <c r="E642" s="1" t="s">
        <v>2054</v>
      </c>
      <c r="F642" s="1" t="s">
        <v>361</v>
      </c>
      <c r="G642" s="1">
        <v>1</v>
      </c>
      <c r="H642" s="1" t="s">
        <v>198</v>
      </c>
      <c r="I642" s="1" t="s">
        <v>361</v>
      </c>
      <c r="K642" s="8" t="s">
        <v>199</v>
      </c>
      <c r="L642" s="8" t="s">
        <v>799</v>
      </c>
      <c r="M642" s="8">
        <v>1</v>
      </c>
      <c r="N642" s="8" t="s">
        <v>476</v>
      </c>
    </row>
    <row r="643" spans="5:14" x14ac:dyDescent="0.35">
      <c r="E643" s="1" t="s">
        <v>2054</v>
      </c>
      <c r="F643" s="1" t="s">
        <v>360</v>
      </c>
      <c r="G643" s="1">
        <v>1</v>
      </c>
      <c r="H643" s="1" t="s">
        <v>198</v>
      </c>
      <c r="I643" s="1" t="s">
        <v>360</v>
      </c>
      <c r="K643" s="8" t="s">
        <v>199</v>
      </c>
      <c r="L643" s="8" t="s">
        <v>800</v>
      </c>
      <c r="M643" s="8">
        <v>1</v>
      </c>
      <c r="N643" s="8" t="s">
        <v>764</v>
      </c>
    </row>
    <row r="644" spans="5:14" x14ac:dyDescent="0.35">
      <c r="E644" s="1" t="s">
        <v>2054</v>
      </c>
      <c r="F644" s="1" t="s">
        <v>359</v>
      </c>
      <c r="G644" s="1">
        <v>1</v>
      </c>
      <c r="H644" s="1" t="s">
        <v>198</v>
      </c>
      <c r="I644" s="1" t="s">
        <v>359</v>
      </c>
      <c r="K644" s="8" t="s">
        <v>199</v>
      </c>
      <c r="L644" s="8" t="s">
        <v>801</v>
      </c>
      <c r="M644" s="8">
        <v>1</v>
      </c>
      <c r="N644" s="8" t="s">
        <v>476</v>
      </c>
    </row>
    <row r="645" spans="5:14" x14ac:dyDescent="0.35">
      <c r="E645" s="1" t="s">
        <v>2054</v>
      </c>
      <c r="F645" s="1" t="s">
        <v>355</v>
      </c>
      <c r="G645" s="1">
        <v>1</v>
      </c>
      <c r="H645" s="1" t="s">
        <v>198</v>
      </c>
      <c r="I645" s="1" t="s">
        <v>355</v>
      </c>
      <c r="K645" s="8" t="s">
        <v>199</v>
      </c>
      <c r="L645" s="8" t="s">
        <v>802</v>
      </c>
      <c r="M645" s="8">
        <v>1</v>
      </c>
      <c r="N645" s="8" t="s">
        <v>476</v>
      </c>
    </row>
    <row r="646" spans="5:14" x14ac:dyDescent="0.35">
      <c r="E646" s="1" t="s">
        <v>290</v>
      </c>
      <c r="F646" s="1" t="s">
        <v>350</v>
      </c>
      <c r="G646" s="1">
        <v>0</v>
      </c>
      <c r="H646" s="1" t="s">
        <v>190</v>
      </c>
      <c r="I646" s="1" t="s">
        <v>350</v>
      </c>
      <c r="K646" s="8" t="s">
        <v>199</v>
      </c>
      <c r="L646" s="8" t="s">
        <v>803</v>
      </c>
      <c r="M646" s="8">
        <v>1</v>
      </c>
      <c r="N646" s="8" t="s">
        <v>539</v>
      </c>
    </row>
    <row r="647" spans="5:14" x14ac:dyDescent="0.35">
      <c r="E647" s="1" t="s">
        <v>290</v>
      </c>
      <c r="F647" s="1" t="s">
        <v>356</v>
      </c>
      <c r="G647" s="1">
        <v>1</v>
      </c>
      <c r="K647" s="8" t="s">
        <v>199</v>
      </c>
      <c r="L647" s="8" t="s">
        <v>804</v>
      </c>
      <c r="M647" s="8">
        <v>1</v>
      </c>
      <c r="N647" s="8" t="s">
        <v>539</v>
      </c>
    </row>
    <row r="648" spans="5:14" x14ac:dyDescent="0.35">
      <c r="E648" s="1" t="s">
        <v>290</v>
      </c>
      <c r="F648" s="1" t="s">
        <v>355</v>
      </c>
      <c r="G648" s="1">
        <v>1</v>
      </c>
      <c r="H648" s="1" t="s">
        <v>292</v>
      </c>
      <c r="I648" s="1" t="s">
        <v>355</v>
      </c>
      <c r="K648" s="8" t="s">
        <v>199</v>
      </c>
      <c r="L648" s="8" t="s">
        <v>805</v>
      </c>
      <c r="M648" s="8">
        <v>1</v>
      </c>
      <c r="N648" s="8" t="s">
        <v>539</v>
      </c>
    </row>
    <row r="649" spans="5:14" x14ac:dyDescent="0.35">
      <c r="E649" s="1" t="s">
        <v>290</v>
      </c>
      <c r="F649" s="1" t="s">
        <v>373</v>
      </c>
      <c r="G649" s="1">
        <v>0</v>
      </c>
      <c r="H649" s="1" t="s">
        <v>270</v>
      </c>
      <c r="I649" s="1" t="s">
        <v>373</v>
      </c>
      <c r="K649" s="8" t="s">
        <v>199</v>
      </c>
      <c r="L649" s="8" t="s">
        <v>806</v>
      </c>
      <c r="M649" s="8">
        <v>0</v>
      </c>
      <c r="N649" s="8"/>
    </row>
    <row r="650" spans="5:14" x14ac:dyDescent="0.35">
      <c r="E650" s="1" t="s">
        <v>290</v>
      </c>
      <c r="F650" s="1" t="s">
        <v>380</v>
      </c>
      <c r="G650" s="1">
        <v>0</v>
      </c>
      <c r="H650" s="1" t="s">
        <v>284</v>
      </c>
      <c r="I650" s="1" t="s">
        <v>380</v>
      </c>
      <c r="K650" s="8" t="s">
        <v>199</v>
      </c>
      <c r="L650" s="8" t="s">
        <v>807</v>
      </c>
      <c r="M650" s="8">
        <v>0</v>
      </c>
      <c r="N650" s="8"/>
    </row>
    <row r="651" spans="5:14" x14ac:dyDescent="0.35">
      <c r="E651" s="1" t="s">
        <v>2055</v>
      </c>
      <c r="F651" s="1" t="s">
        <v>356</v>
      </c>
      <c r="G651" s="1">
        <v>1</v>
      </c>
      <c r="H651" s="1" t="s">
        <v>290</v>
      </c>
      <c r="I651" s="1" t="s">
        <v>356</v>
      </c>
      <c r="K651" s="8" t="s">
        <v>199</v>
      </c>
      <c r="L651" s="8" t="s">
        <v>480</v>
      </c>
      <c r="M651" s="8">
        <v>0</v>
      </c>
      <c r="N651" s="8"/>
    </row>
    <row r="652" spans="5:14" x14ac:dyDescent="0.35">
      <c r="E652" s="1" t="s">
        <v>2055</v>
      </c>
      <c r="F652" s="1" t="s">
        <v>2208</v>
      </c>
      <c r="G652" s="1">
        <v>1</v>
      </c>
      <c r="H652" s="1" t="s">
        <v>290</v>
      </c>
      <c r="I652" s="1" t="s">
        <v>356</v>
      </c>
      <c r="K652" s="8" t="s">
        <v>199</v>
      </c>
      <c r="L652" s="8" t="s">
        <v>481</v>
      </c>
      <c r="M652" s="8">
        <v>0</v>
      </c>
      <c r="N652" s="8"/>
    </row>
    <row r="653" spans="5:14" x14ac:dyDescent="0.35">
      <c r="E653" s="1" t="s">
        <v>2055</v>
      </c>
      <c r="F653" s="1" t="s">
        <v>2207</v>
      </c>
      <c r="G653" s="1">
        <v>1</v>
      </c>
      <c r="H653" s="1" t="s">
        <v>290</v>
      </c>
      <c r="I653" s="1" t="s">
        <v>355</v>
      </c>
      <c r="K653" s="8" t="s">
        <v>199</v>
      </c>
      <c r="L653" s="8" t="s">
        <v>482</v>
      </c>
      <c r="M653" s="8">
        <v>0</v>
      </c>
      <c r="N653" s="8"/>
    </row>
    <row r="654" spans="5:14" x14ac:dyDescent="0.35">
      <c r="E654" s="1" t="s">
        <v>2055</v>
      </c>
      <c r="F654" s="1" t="s">
        <v>355</v>
      </c>
      <c r="G654" s="1">
        <v>1</v>
      </c>
      <c r="H654" s="1" t="s">
        <v>290</v>
      </c>
      <c r="I654" s="1" t="s">
        <v>355</v>
      </c>
      <c r="K654" s="8" t="s">
        <v>199</v>
      </c>
      <c r="L654" s="8" t="s">
        <v>483</v>
      </c>
      <c r="M654" s="8">
        <v>0</v>
      </c>
      <c r="N654" s="8"/>
    </row>
    <row r="655" spans="5:14" x14ac:dyDescent="0.35">
      <c r="E655" s="1" t="s">
        <v>2056</v>
      </c>
      <c r="F655" s="1" t="s">
        <v>359</v>
      </c>
      <c r="G655" s="1">
        <v>1</v>
      </c>
      <c r="H655" s="1" t="s">
        <v>291</v>
      </c>
      <c r="I655" s="1" t="s">
        <v>359</v>
      </c>
      <c r="K655" s="8" t="s">
        <v>199</v>
      </c>
      <c r="L655" s="8" t="s">
        <v>484</v>
      </c>
      <c r="M655" s="8">
        <v>0</v>
      </c>
      <c r="N655" s="8"/>
    </row>
    <row r="656" spans="5:14" x14ac:dyDescent="0.35">
      <c r="E656" s="1" t="s">
        <v>2056</v>
      </c>
      <c r="F656" s="1" t="s">
        <v>2209</v>
      </c>
      <c r="G656" s="1">
        <v>1</v>
      </c>
      <c r="H656" s="1" t="s">
        <v>291</v>
      </c>
      <c r="I656" s="1" t="s">
        <v>359</v>
      </c>
      <c r="K656" s="8" t="s">
        <v>199</v>
      </c>
      <c r="L656" s="8" t="s">
        <v>375</v>
      </c>
      <c r="M656" s="8">
        <v>1</v>
      </c>
      <c r="N656" s="8"/>
    </row>
    <row r="657" spans="5:14" x14ac:dyDescent="0.35">
      <c r="E657" s="1" t="s">
        <v>2056</v>
      </c>
      <c r="F657" s="1" t="s">
        <v>2207</v>
      </c>
      <c r="G657" s="1">
        <v>1</v>
      </c>
      <c r="H657" s="1" t="s">
        <v>291</v>
      </c>
      <c r="I657" s="1" t="s">
        <v>355</v>
      </c>
      <c r="K657" s="8" t="s">
        <v>199</v>
      </c>
      <c r="L657" s="8" t="s">
        <v>376</v>
      </c>
      <c r="M657" s="8">
        <v>1</v>
      </c>
      <c r="N657" s="8"/>
    </row>
    <row r="658" spans="5:14" x14ac:dyDescent="0.35">
      <c r="E658" s="1" t="s">
        <v>2056</v>
      </c>
      <c r="F658" s="1" t="s">
        <v>355</v>
      </c>
      <c r="G658" s="1">
        <v>1</v>
      </c>
      <c r="H658" s="1" t="s">
        <v>291</v>
      </c>
      <c r="I658" s="1" t="s">
        <v>355</v>
      </c>
      <c r="K658" s="8" t="s">
        <v>199</v>
      </c>
      <c r="L658" s="8" t="s">
        <v>374</v>
      </c>
      <c r="M658" s="8">
        <v>1</v>
      </c>
      <c r="N658" s="8"/>
    </row>
    <row r="659" spans="5:14" x14ac:dyDescent="0.35">
      <c r="E659" s="1" t="s">
        <v>2057</v>
      </c>
      <c r="F659" s="1" t="s">
        <v>354</v>
      </c>
      <c r="G659" s="1">
        <v>0</v>
      </c>
      <c r="H659" s="1" t="s">
        <v>214</v>
      </c>
      <c r="I659" s="1" t="s">
        <v>352</v>
      </c>
      <c r="K659" s="8" t="s">
        <v>199</v>
      </c>
      <c r="L659" s="8" t="s">
        <v>486</v>
      </c>
      <c r="M659" s="8">
        <v>0</v>
      </c>
      <c r="N659" s="8"/>
    </row>
    <row r="660" spans="5:14" x14ac:dyDescent="0.35">
      <c r="E660" s="1" t="s">
        <v>2057</v>
      </c>
      <c r="F660" s="1" t="s">
        <v>351</v>
      </c>
      <c r="G660" s="1">
        <v>0</v>
      </c>
      <c r="H660" s="1" t="s">
        <v>214</v>
      </c>
      <c r="I660" s="1" t="s">
        <v>349</v>
      </c>
      <c r="K660" s="8" t="s">
        <v>199</v>
      </c>
      <c r="L660" s="8" t="s">
        <v>487</v>
      </c>
      <c r="M660" s="8">
        <v>0</v>
      </c>
      <c r="N660" s="8"/>
    </row>
    <row r="661" spans="5:14" x14ac:dyDescent="0.35">
      <c r="E661" s="1" t="s">
        <v>2057</v>
      </c>
      <c r="F661" s="1" t="s">
        <v>353</v>
      </c>
      <c r="G661" s="1">
        <v>0</v>
      </c>
      <c r="H661" s="1" t="s">
        <v>214</v>
      </c>
      <c r="I661" s="1" t="s">
        <v>349</v>
      </c>
      <c r="K661" s="8" t="s">
        <v>199</v>
      </c>
      <c r="L661" s="8" t="s">
        <v>488</v>
      </c>
      <c r="M661" s="8">
        <v>0</v>
      </c>
      <c r="N661" s="8"/>
    </row>
    <row r="662" spans="5:14" x14ac:dyDescent="0.35">
      <c r="E662" s="1" t="s">
        <v>2057</v>
      </c>
      <c r="F662" s="1" t="s">
        <v>352</v>
      </c>
      <c r="G662" s="1">
        <v>0</v>
      </c>
      <c r="H662" s="1" t="s">
        <v>214</v>
      </c>
      <c r="I662" s="1" t="s">
        <v>352</v>
      </c>
      <c r="K662" s="8" t="s">
        <v>199</v>
      </c>
      <c r="L662" s="8" t="s">
        <v>489</v>
      </c>
      <c r="M662" s="8">
        <v>0</v>
      </c>
      <c r="N662" s="8"/>
    </row>
    <row r="663" spans="5:14" x14ac:dyDescent="0.35">
      <c r="E663" s="1" t="s">
        <v>2057</v>
      </c>
      <c r="F663" s="1" t="s">
        <v>349</v>
      </c>
      <c r="G663" s="1">
        <v>1</v>
      </c>
      <c r="H663" s="1" t="s">
        <v>282</v>
      </c>
      <c r="I663" s="1" t="s">
        <v>349</v>
      </c>
      <c r="K663" s="8" t="s">
        <v>199</v>
      </c>
      <c r="L663" s="8" t="s">
        <v>490</v>
      </c>
      <c r="M663" s="8">
        <v>0</v>
      </c>
      <c r="N663" s="8"/>
    </row>
    <row r="664" spans="5:14" x14ac:dyDescent="0.35">
      <c r="E664" s="1" t="s">
        <v>2057</v>
      </c>
      <c r="F664" s="1" t="s">
        <v>356</v>
      </c>
      <c r="G664" s="1">
        <v>1</v>
      </c>
      <c r="H664" s="1" t="s">
        <v>290</v>
      </c>
      <c r="I664" s="1" t="s">
        <v>356</v>
      </c>
      <c r="K664" s="8" t="s">
        <v>199</v>
      </c>
      <c r="L664" s="8" t="s">
        <v>491</v>
      </c>
      <c r="M664" s="8">
        <v>0</v>
      </c>
      <c r="N664" s="8"/>
    </row>
    <row r="665" spans="5:14" x14ac:dyDescent="0.35">
      <c r="E665" s="1" t="s">
        <v>2057</v>
      </c>
      <c r="F665" s="1" t="s">
        <v>355</v>
      </c>
      <c r="G665" s="1">
        <v>1</v>
      </c>
      <c r="H665" s="1" t="s">
        <v>290</v>
      </c>
      <c r="I665" s="1" t="s">
        <v>355</v>
      </c>
      <c r="K665" s="8" t="s">
        <v>199</v>
      </c>
      <c r="L665" s="8" t="s">
        <v>492</v>
      </c>
      <c r="M665" s="8">
        <v>0</v>
      </c>
      <c r="N665" s="8"/>
    </row>
    <row r="666" spans="5:14" x14ac:dyDescent="0.35">
      <c r="E666" s="1" t="s">
        <v>2058</v>
      </c>
      <c r="F666" s="1" t="s">
        <v>354</v>
      </c>
      <c r="G666" s="1">
        <v>0</v>
      </c>
      <c r="H666" s="1" t="s">
        <v>214</v>
      </c>
      <c r="I666" s="1" t="s">
        <v>352</v>
      </c>
      <c r="K666" s="8" t="s">
        <v>199</v>
      </c>
      <c r="L666" s="8" t="s">
        <v>493</v>
      </c>
      <c r="M666" s="8">
        <v>0</v>
      </c>
      <c r="N666" s="8"/>
    </row>
    <row r="667" spans="5:14" x14ac:dyDescent="0.35">
      <c r="E667" s="1" t="s">
        <v>2058</v>
      </c>
      <c r="F667" s="1" t="s">
        <v>351</v>
      </c>
      <c r="G667" s="1">
        <v>0</v>
      </c>
      <c r="H667" s="1" t="s">
        <v>214</v>
      </c>
      <c r="I667" s="1" t="s">
        <v>349</v>
      </c>
      <c r="K667" s="8" t="s">
        <v>199</v>
      </c>
      <c r="L667" s="8" t="s">
        <v>494</v>
      </c>
      <c r="M667" s="8">
        <v>0</v>
      </c>
      <c r="N667" s="8"/>
    </row>
    <row r="668" spans="5:14" x14ac:dyDescent="0.35">
      <c r="E668" s="1" t="s">
        <v>2058</v>
      </c>
      <c r="F668" s="1" t="s">
        <v>353</v>
      </c>
      <c r="G668" s="1">
        <v>0</v>
      </c>
      <c r="H668" s="1" t="s">
        <v>214</v>
      </c>
      <c r="I668" s="1" t="s">
        <v>349</v>
      </c>
      <c r="K668" s="8" t="s">
        <v>199</v>
      </c>
      <c r="L668" s="8" t="s">
        <v>495</v>
      </c>
      <c r="M668" s="8">
        <v>0</v>
      </c>
      <c r="N668" s="8"/>
    </row>
    <row r="669" spans="5:14" x14ac:dyDescent="0.35">
      <c r="E669" s="1" t="s">
        <v>2058</v>
      </c>
      <c r="F669" s="1" t="s">
        <v>352</v>
      </c>
      <c r="G669" s="1">
        <v>0</v>
      </c>
      <c r="H669" s="1" t="s">
        <v>214</v>
      </c>
      <c r="I669" s="1" t="s">
        <v>352</v>
      </c>
      <c r="K669" s="8" t="s">
        <v>183</v>
      </c>
      <c r="L669" s="8" t="s">
        <v>500</v>
      </c>
      <c r="M669" s="8">
        <v>0</v>
      </c>
      <c r="N669" s="8"/>
    </row>
    <row r="670" spans="5:14" x14ac:dyDescent="0.35">
      <c r="E670" s="1" t="s">
        <v>2058</v>
      </c>
      <c r="F670" s="1" t="s">
        <v>349</v>
      </c>
      <c r="G670" s="1">
        <v>1</v>
      </c>
      <c r="H670" s="1" t="s">
        <v>282</v>
      </c>
      <c r="I670" s="1" t="s">
        <v>349</v>
      </c>
      <c r="K670" s="8" t="s">
        <v>183</v>
      </c>
      <c r="L670" s="8" t="s">
        <v>501</v>
      </c>
      <c r="M670" s="8">
        <v>0</v>
      </c>
      <c r="N670" s="8"/>
    </row>
    <row r="671" spans="5:14" x14ac:dyDescent="0.35">
      <c r="E671" s="1" t="s">
        <v>2058</v>
      </c>
      <c r="F671" s="1" t="s">
        <v>359</v>
      </c>
      <c r="G671" s="1">
        <v>1</v>
      </c>
      <c r="H671" s="1" t="s">
        <v>291</v>
      </c>
      <c r="I671" s="1" t="s">
        <v>359</v>
      </c>
      <c r="K671" s="8" t="s">
        <v>183</v>
      </c>
      <c r="L671" s="8" t="s">
        <v>502</v>
      </c>
      <c r="M671" s="8">
        <v>0</v>
      </c>
      <c r="N671" s="8"/>
    </row>
    <row r="672" spans="5:14" x14ac:dyDescent="0.35">
      <c r="E672" s="1" t="s">
        <v>2058</v>
      </c>
      <c r="F672" s="1" t="s">
        <v>355</v>
      </c>
      <c r="G672" s="1">
        <v>1</v>
      </c>
      <c r="H672" s="1" t="s">
        <v>291</v>
      </c>
      <c r="I672" s="1" t="s">
        <v>355</v>
      </c>
      <c r="K672" s="8" t="s">
        <v>183</v>
      </c>
      <c r="L672" s="8" t="s">
        <v>503</v>
      </c>
      <c r="M672" s="8">
        <v>0</v>
      </c>
      <c r="N672" s="8"/>
    </row>
    <row r="673" spans="5:14" x14ac:dyDescent="0.35">
      <c r="E673" s="1" t="s">
        <v>2059</v>
      </c>
      <c r="F673" s="1" t="s">
        <v>350</v>
      </c>
      <c r="G673" s="1">
        <v>1</v>
      </c>
      <c r="H673" s="1" t="s">
        <v>286</v>
      </c>
      <c r="I673" s="1" t="s">
        <v>350</v>
      </c>
      <c r="K673" s="8" t="s">
        <v>183</v>
      </c>
      <c r="L673" s="8" t="s">
        <v>480</v>
      </c>
      <c r="M673" s="8">
        <v>0</v>
      </c>
      <c r="N673" s="8"/>
    </row>
    <row r="674" spans="5:14" x14ac:dyDescent="0.35">
      <c r="E674" s="1" t="s">
        <v>2059</v>
      </c>
      <c r="F674" s="1" t="s">
        <v>356</v>
      </c>
      <c r="G674" s="1">
        <v>1</v>
      </c>
      <c r="H674" s="1" t="s">
        <v>290</v>
      </c>
      <c r="I674" s="1" t="s">
        <v>356</v>
      </c>
      <c r="K674" s="8" t="s">
        <v>183</v>
      </c>
      <c r="L674" s="8" t="s">
        <v>481</v>
      </c>
      <c r="M674" s="8">
        <v>0</v>
      </c>
      <c r="N674" s="8"/>
    </row>
    <row r="675" spans="5:14" x14ac:dyDescent="0.35">
      <c r="E675" s="1" t="s">
        <v>2059</v>
      </c>
      <c r="F675" s="1" t="s">
        <v>355</v>
      </c>
      <c r="G675" s="1">
        <v>1</v>
      </c>
      <c r="H675" s="1" t="s">
        <v>290</v>
      </c>
      <c r="I675" s="1" t="s">
        <v>355</v>
      </c>
      <c r="K675" s="8" t="s">
        <v>183</v>
      </c>
      <c r="L675" s="8" t="s">
        <v>482</v>
      </c>
      <c r="M675" s="8">
        <v>0</v>
      </c>
      <c r="N675" s="8"/>
    </row>
    <row r="676" spans="5:14" x14ac:dyDescent="0.35">
      <c r="E676" s="1" t="s">
        <v>2059</v>
      </c>
      <c r="F676" s="1" t="s">
        <v>432</v>
      </c>
      <c r="G676" s="1">
        <v>1</v>
      </c>
      <c r="H676" s="1" t="s">
        <v>286</v>
      </c>
      <c r="I676" s="1" t="s">
        <v>432</v>
      </c>
      <c r="K676" s="8" t="s">
        <v>183</v>
      </c>
      <c r="L676" s="8" t="s">
        <v>483</v>
      </c>
      <c r="M676" s="8">
        <v>0</v>
      </c>
      <c r="N676" s="8"/>
    </row>
    <row r="677" spans="5:14" x14ac:dyDescent="0.35">
      <c r="E677" s="1" t="s">
        <v>2059</v>
      </c>
      <c r="F677" s="1" t="s">
        <v>433</v>
      </c>
      <c r="G677" s="1">
        <v>1</v>
      </c>
      <c r="H677" s="1" t="s">
        <v>286</v>
      </c>
      <c r="I677" s="1" t="s">
        <v>433</v>
      </c>
      <c r="K677" s="8" t="s">
        <v>183</v>
      </c>
      <c r="L677" s="8" t="s">
        <v>484</v>
      </c>
      <c r="M677" s="8">
        <v>0</v>
      </c>
      <c r="N677" s="8"/>
    </row>
    <row r="678" spans="5:14" x14ac:dyDescent="0.35">
      <c r="E678" s="1" t="s">
        <v>2059</v>
      </c>
      <c r="F678" s="1" t="s">
        <v>434</v>
      </c>
      <c r="G678" s="1">
        <v>1</v>
      </c>
      <c r="H678" s="1" t="s">
        <v>286</v>
      </c>
      <c r="I678" s="1" t="s">
        <v>434</v>
      </c>
      <c r="K678" s="8" t="s">
        <v>183</v>
      </c>
      <c r="L678" s="8" t="s">
        <v>395</v>
      </c>
      <c r="M678" s="8">
        <v>1</v>
      </c>
      <c r="N678" s="8"/>
    </row>
    <row r="679" spans="5:14" x14ac:dyDescent="0.35">
      <c r="E679" s="1" t="s">
        <v>2060</v>
      </c>
      <c r="F679" s="1" t="s">
        <v>350</v>
      </c>
      <c r="G679" s="1">
        <v>1</v>
      </c>
      <c r="H679" s="1" t="s">
        <v>286</v>
      </c>
      <c r="I679" s="1" t="s">
        <v>350</v>
      </c>
      <c r="K679" s="8" t="s">
        <v>183</v>
      </c>
      <c r="L679" s="8" t="s">
        <v>504</v>
      </c>
      <c r="M679" s="8">
        <v>0</v>
      </c>
      <c r="N679" s="8"/>
    </row>
    <row r="680" spans="5:14" x14ac:dyDescent="0.35">
      <c r="E680" s="1" t="s">
        <v>2060</v>
      </c>
      <c r="F680" s="1" t="s">
        <v>359</v>
      </c>
      <c r="G680" s="1">
        <v>1</v>
      </c>
      <c r="H680" s="1" t="s">
        <v>291</v>
      </c>
      <c r="I680" s="1" t="s">
        <v>359</v>
      </c>
      <c r="K680" s="8" t="s">
        <v>183</v>
      </c>
      <c r="L680" s="8" t="s">
        <v>505</v>
      </c>
      <c r="M680" s="8">
        <v>1</v>
      </c>
      <c r="N680" s="8" t="s">
        <v>476</v>
      </c>
    </row>
    <row r="681" spans="5:14" x14ac:dyDescent="0.35">
      <c r="E681" s="1" t="s">
        <v>2060</v>
      </c>
      <c r="F681" s="1" t="s">
        <v>355</v>
      </c>
      <c r="G681" s="1">
        <v>1</v>
      </c>
      <c r="H681" s="1" t="s">
        <v>291</v>
      </c>
      <c r="I681" s="1" t="s">
        <v>355</v>
      </c>
      <c r="K681" s="8" t="s">
        <v>183</v>
      </c>
      <c r="L681" s="8" t="s">
        <v>486</v>
      </c>
      <c r="M681" s="8">
        <v>0</v>
      </c>
      <c r="N681" s="8"/>
    </row>
    <row r="682" spans="5:14" x14ac:dyDescent="0.35">
      <c r="E682" s="1" t="s">
        <v>2060</v>
      </c>
      <c r="F682" s="1" t="s">
        <v>432</v>
      </c>
      <c r="G682" s="1">
        <v>1</v>
      </c>
      <c r="H682" s="1" t="s">
        <v>286</v>
      </c>
      <c r="I682" s="1" t="s">
        <v>432</v>
      </c>
      <c r="K682" s="8" t="s">
        <v>183</v>
      </c>
      <c r="L682" s="8" t="s">
        <v>487</v>
      </c>
      <c r="M682" s="8">
        <v>0</v>
      </c>
      <c r="N682" s="8"/>
    </row>
    <row r="683" spans="5:14" x14ac:dyDescent="0.35">
      <c r="E683" s="1" t="s">
        <v>2060</v>
      </c>
      <c r="F683" s="1" t="s">
        <v>433</v>
      </c>
      <c r="G683" s="1">
        <v>1</v>
      </c>
      <c r="H683" s="1" t="s">
        <v>286</v>
      </c>
      <c r="I683" s="1" t="s">
        <v>433</v>
      </c>
      <c r="K683" s="8" t="s">
        <v>183</v>
      </c>
      <c r="L683" s="8" t="s">
        <v>488</v>
      </c>
      <c r="M683" s="8">
        <v>0</v>
      </c>
      <c r="N683" s="8"/>
    </row>
    <row r="684" spans="5:14" x14ac:dyDescent="0.35">
      <c r="E684" s="1" t="s">
        <v>2060</v>
      </c>
      <c r="F684" s="1" t="s">
        <v>434</v>
      </c>
      <c r="G684" s="1">
        <v>1</v>
      </c>
      <c r="H684" s="1" t="s">
        <v>286</v>
      </c>
      <c r="I684" s="1" t="s">
        <v>434</v>
      </c>
      <c r="K684" s="8" t="s">
        <v>183</v>
      </c>
      <c r="L684" s="8" t="s">
        <v>489</v>
      </c>
      <c r="M684" s="8">
        <v>0</v>
      </c>
      <c r="N684" s="8"/>
    </row>
    <row r="685" spans="5:14" x14ac:dyDescent="0.35">
      <c r="E685" s="1" t="s">
        <v>291</v>
      </c>
      <c r="F685" s="1" t="s">
        <v>350</v>
      </c>
      <c r="G685" s="1">
        <v>0</v>
      </c>
      <c r="H685" s="1" t="s">
        <v>190</v>
      </c>
      <c r="I685" s="1" t="s">
        <v>350</v>
      </c>
      <c r="K685" s="8" t="s">
        <v>183</v>
      </c>
      <c r="L685" s="8" t="s">
        <v>490</v>
      </c>
      <c r="M685" s="8">
        <v>0</v>
      </c>
      <c r="N685" s="8"/>
    </row>
    <row r="686" spans="5:14" x14ac:dyDescent="0.35">
      <c r="E686" s="1" t="s">
        <v>291</v>
      </c>
      <c r="F686" s="1" t="s">
        <v>359</v>
      </c>
      <c r="G686" s="1">
        <v>1</v>
      </c>
      <c r="K686" s="8" t="s">
        <v>183</v>
      </c>
      <c r="L686" s="8" t="s">
        <v>491</v>
      </c>
      <c r="M686" s="8">
        <v>0</v>
      </c>
      <c r="N686" s="8"/>
    </row>
    <row r="687" spans="5:14" x14ac:dyDescent="0.35">
      <c r="E687" s="1" t="s">
        <v>291</v>
      </c>
      <c r="F687" s="1" t="s">
        <v>355</v>
      </c>
      <c r="G687" s="1">
        <v>1</v>
      </c>
      <c r="H687" s="1" t="s">
        <v>292</v>
      </c>
      <c r="I687" s="1" t="s">
        <v>355</v>
      </c>
      <c r="K687" s="8" t="s">
        <v>183</v>
      </c>
      <c r="L687" s="8" t="s">
        <v>492</v>
      </c>
      <c r="M687" s="8">
        <v>0</v>
      </c>
      <c r="N687" s="8"/>
    </row>
    <row r="688" spans="5:14" x14ac:dyDescent="0.35">
      <c r="E688" s="1" t="s">
        <v>291</v>
      </c>
      <c r="F688" s="1" t="s">
        <v>373</v>
      </c>
      <c r="G688" s="1">
        <v>0</v>
      </c>
      <c r="H688" s="1" t="s">
        <v>270</v>
      </c>
      <c r="I688" s="1" t="s">
        <v>373</v>
      </c>
      <c r="K688" s="8" t="s">
        <v>183</v>
      </c>
      <c r="L688" s="8" t="s">
        <v>493</v>
      </c>
      <c r="M688" s="8">
        <v>0</v>
      </c>
      <c r="N688" s="8"/>
    </row>
    <row r="689" spans="5:14" x14ac:dyDescent="0.35">
      <c r="E689" s="1" t="s">
        <v>291</v>
      </c>
      <c r="F689" s="1" t="s">
        <v>380</v>
      </c>
      <c r="G689" s="1">
        <v>0</v>
      </c>
      <c r="H689" s="1" t="s">
        <v>284</v>
      </c>
      <c r="I689" s="1" t="s">
        <v>380</v>
      </c>
      <c r="K689" s="8" t="s">
        <v>183</v>
      </c>
      <c r="L689" s="8" t="s">
        <v>494</v>
      </c>
      <c r="M689" s="8">
        <v>0</v>
      </c>
      <c r="N689" s="8"/>
    </row>
    <row r="690" spans="5:14" x14ac:dyDescent="0.35">
      <c r="E690" s="1" t="s">
        <v>2061</v>
      </c>
      <c r="F690" s="1" t="s">
        <v>358</v>
      </c>
      <c r="G690" s="1">
        <v>1</v>
      </c>
      <c r="H690" s="1" t="s">
        <v>197</v>
      </c>
      <c r="I690" s="1" t="s">
        <v>358</v>
      </c>
      <c r="K690" s="8" t="s">
        <v>183</v>
      </c>
      <c r="L690" s="8" t="s">
        <v>495</v>
      </c>
      <c r="M690" s="8">
        <v>0</v>
      </c>
      <c r="N690" s="8"/>
    </row>
    <row r="691" spans="5:14" x14ac:dyDescent="0.35">
      <c r="E691" s="1" t="s">
        <v>2061</v>
      </c>
      <c r="F691" s="1" t="s">
        <v>357</v>
      </c>
      <c r="G691" s="1">
        <v>1</v>
      </c>
      <c r="H691" s="1" t="s">
        <v>197</v>
      </c>
      <c r="I691" s="1" t="s">
        <v>357</v>
      </c>
      <c r="K691" s="8" t="s">
        <v>200</v>
      </c>
      <c r="L691" s="8" t="s">
        <v>1140</v>
      </c>
      <c r="M691" s="8">
        <v>0</v>
      </c>
      <c r="N691" s="8"/>
    </row>
    <row r="692" spans="5:14" x14ac:dyDescent="0.35">
      <c r="E692" s="1" t="s">
        <v>2061</v>
      </c>
      <c r="F692" s="1" t="s">
        <v>356</v>
      </c>
      <c r="G692" s="1">
        <v>1</v>
      </c>
      <c r="H692" s="1" t="s">
        <v>197</v>
      </c>
      <c r="I692" s="1" t="s">
        <v>356</v>
      </c>
      <c r="K692" s="8" t="s">
        <v>200</v>
      </c>
      <c r="L692" s="8" t="s">
        <v>1141</v>
      </c>
      <c r="M692" s="8">
        <v>0</v>
      </c>
      <c r="N692" s="8"/>
    </row>
    <row r="693" spans="5:14" x14ac:dyDescent="0.35">
      <c r="E693" s="1" t="s">
        <v>2061</v>
      </c>
      <c r="F693" s="1" t="s">
        <v>377</v>
      </c>
      <c r="G693" s="1">
        <v>1</v>
      </c>
      <c r="H693" s="1" t="s">
        <v>249</v>
      </c>
      <c r="I693" s="1" t="s">
        <v>377</v>
      </c>
      <c r="K693" s="8" t="s">
        <v>200</v>
      </c>
      <c r="L693" s="8" t="s">
        <v>1142</v>
      </c>
      <c r="M693" s="8">
        <v>0</v>
      </c>
      <c r="N693" s="8"/>
    </row>
    <row r="694" spans="5:14" x14ac:dyDescent="0.35">
      <c r="E694" s="1" t="s">
        <v>2061</v>
      </c>
      <c r="F694" s="1" t="s">
        <v>355</v>
      </c>
      <c r="G694" s="1">
        <v>1</v>
      </c>
      <c r="H694" s="1" t="s">
        <v>197</v>
      </c>
      <c r="I694" s="1" t="s">
        <v>355</v>
      </c>
      <c r="K694" s="8" t="s">
        <v>200</v>
      </c>
      <c r="L694" s="8" t="s">
        <v>1143</v>
      </c>
      <c r="M694" s="8">
        <v>0</v>
      </c>
      <c r="N694" s="8"/>
    </row>
    <row r="695" spans="5:14" x14ac:dyDescent="0.35">
      <c r="E695" s="1" t="s">
        <v>2061</v>
      </c>
      <c r="F695" s="1" t="s">
        <v>2210</v>
      </c>
      <c r="G695" s="1">
        <v>1</v>
      </c>
      <c r="K695" s="8" t="s">
        <v>200</v>
      </c>
      <c r="L695" s="8" t="s">
        <v>396</v>
      </c>
      <c r="M695" s="8">
        <v>1</v>
      </c>
      <c r="N695" s="8"/>
    </row>
    <row r="696" spans="5:14" x14ac:dyDescent="0.35">
      <c r="E696" s="1" t="s">
        <v>2062</v>
      </c>
      <c r="F696" s="1" t="s">
        <v>361</v>
      </c>
      <c r="G696" s="1">
        <v>1</v>
      </c>
      <c r="H696" s="1" t="s">
        <v>198</v>
      </c>
      <c r="I696" s="1" t="s">
        <v>361</v>
      </c>
      <c r="K696" s="8" t="s">
        <v>200</v>
      </c>
      <c r="L696" s="8" t="s">
        <v>1144</v>
      </c>
      <c r="M696" s="8">
        <v>0</v>
      </c>
      <c r="N696" s="8"/>
    </row>
    <row r="697" spans="5:14" x14ac:dyDescent="0.35">
      <c r="E697" s="1" t="s">
        <v>2062</v>
      </c>
      <c r="F697" s="1" t="s">
        <v>360</v>
      </c>
      <c r="G697" s="1">
        <v>1</v>
      </c>
      <c r="H697" s="1" t="s">
        <v>198</v>
      </c>
      <c r="I697" s="1" t="s">
        <v>360</v>
      </c>
      <c r="K697" s="8" t="s">
        <v>200</v>
      </c>
      <c r="L697" s="8" t="s">
        <v>480</v>
      </c>
      <c r="M697" s="8">
        <v>0</v>
      </c>
      <c r="N697" s="8"/>
    </row>
    <row r="698" spans="5:14" x14ac:dyDescent="0.35">
      <c r="E698" s="1" t="s">
        <v>2062</v>
      </c>
      <c r="F698" s="1" t="s">
        <v>359</v>
      </c>
      <c r="G698" s="1">
        <v>1</v>
      </c>
      <c r="H698" s="1" t="s">
        <v>198</v>
      </c>
      <c r="I698" s="1" t="s">
        <v>359</v>
      </c>
      <c r="K698" s="8" t="s">
        <v>200</v>
      </c>
      <c r="L698" s="8" t="s">
        <v>481</v>
      </c>
      <c r="M698" s="8">
        <v>0</v>
      </c>
      <c r="N698" s="8"/>
    </row>
    <row r="699" spans="5:14" x14ac:dyDescent="0.35">
      <c r="E699" s="1" t="s">
        <v>2062</v>
      </c>
      <c r="F699" s="1" t="s">
        <v>377</v>
      </c>
      <c r="G699" s="1">
        <v>1</v>
      </c>
      <c r="H699" s="1" t="s">
        <v>249</v>
      </c>
      <c r="I699" s="1" t="s">
        <v>377</v>
      </c>
      <c r="K699" s="8" t="s">
        <v>200</v>
      </c>
      <c r="L699" s="8" t="s">
        <v>482</v>
      </c>
      <c r="M699" s="8">
        <v>0</v>
      </c>
      <c r="N699" s="8"/>
    </row>
    <row r="700" spans="5:14" x14ac:dyDescent="0.35">
      <c r="E700" s="1" t="s">
        <v>2062</v>
      </c>
      <c r="F700" s="1" t="s">
        <v>355</v>
      </c>
      <c r="G700" s="1">
        <v>1</v>
      </c>
      <c r="H700" s="1" t="s">
        <v>198</v>
      </c>
      <c r="I700" s="1" t="s">
        <v>355</v>
      </c>
      <c r="K700" s="8" t="s">
        <v>200</v>
      </c>
      <c r="L700" s="8" t="s">
        <v>483</v>
      </c>
      <c r="M700" s="8">
        <v>0</v>
      </c>
      <c r="N700" s="8"/>
    </row>
    <row r="701" spans="5:14" x14ac:dyDescent="0.35">
      <c r="E701" s="1" t="s">
        <v>2062</v>
      </c>
      <c r="F701" s="1" t="s">
        <v>2211</v>
      </c>
      <c r="G701" s="1">
        <v>1</v>
      </c>
      <c r="K701" s="8" t="s">
        <v>200</v>
      </c>
      <c r="L701" s="8" t="s">
        <v>484</v>
      </c>
      <c r="M701" s="8">
        <v>0</v>
      </c>
      <c r="N701" s="8"/>
    </row>
    <row r="702" spans="5:14" x14ac:dyDescent="0.35">
      <c r="E702" s="1" t="s">
        <v>2063</v>
      </c>
      <c r="F702" s="1" t="s">
        <v>365</v>
      </c>
      <c r="G702" s="1">
        <v>1</v>
      </c>
      <c r="H702" s="1" t="s">
        <v>197</v>
      </c>
      <c r="I702" s="1" t="s">
        <v>358</v>
      </c>
      <c r="K702" s="8" t="s">
        <v>200</v>
      </c>
      <c r="L702" s="8" t="s">
        <v>486</v>
      </c>
      <c r="M702" s="8">
        <v>0</v>
      </c>
      <c r="N702" s="8"/>
    </row>
    <row r="703" spans="5:14" x14ac:dyDescent="0.35">
      <c r="E703" s="1" t="s">
        <v>2063</v>
      </c>
      <c r="F703" s="1" t="s">
        <v>364</v>
      </c>
      <c r="G703" s="1">
        <v>1</v>
      </c>
      <c r="H703" s="1" t="s">
        <v>197</v>
      </c>
      <c r="I703" s="1" t="s">
        <v>357</v>
      </c>
      <c r="K703" s="8" t="s">
        <v>200</v>
      </c>
      <c r="L703" s="8" t="s">
        <v>487</v>
      </c>
      <c r="M703" s="8">
        <v>0</v>
      </c>
      <c r="N703" s="8"/>
    </row>
    <row r="704" spans="5:14" x14ac:dyDescent="0.35">
      <c r="E704" s="1" t="s">
        <v>2063</v>
      </c>
      <c r="F704" s="1" t="s">
        <v>363</v>
      </c>
      <c r="G704" s="1">
        <v>1</v>
      </c>
      <c r="H704" s="1" t="s">
        <v>197</v>
      </c>
      <c r="I704" s="1" t="s">
        <v>356</v>
      </c>
      <c r="K704" s="8" t="s">
        <v>200</v>
      </c>
      <c r="L704" s="8" t="s">
        <v>488</v>
      </c>
      <c r="M704" s="8">
        <v>0</v>
      </c>
      <c r="N704" s="8"/>
    </row>
    <row r="705" spans="5:14" x14ac:dyDescent="0.35">
      <c r="E705" s="1" t="s">
        <v>2063</v>
      </c>
      <c r="F705" s="1" t="s">
        <v>362</v>
      </c>
      <c r="G705" s="1">
        <v>1</v>
      </c>
      <c r="H705" s="1" t="s">
        <v>197</v>
      </c>
      <c r="I705" s="1" t="s">
        <v>355</v>
      </c>
      <c r="K705" s="8" t="s">
        <v>200</v>
      </c>
      <c r="L705" s="8" t="s">
        <v>489</v>
      </c>
      <c r="M705" s="8">
        <v>0</v>
      </c>
      <c r="N705" s="8"/>
    </row>
    <row r="706" spans="5:14" x14ac:dyDescent="0.35">
      <c r="E706" s="1" t="s">
        <v>2063</v>
      </c>
      <c r="F706" s="1" t="s">
        <v>358</v>
      </c>
      <c r="G706" s="1">
        <v>1</v>
      </c>
      <c r="H706" s="1" t="s">
        <v>197</v>
      </c>
      <c r="I706" s="1" t="s">
        <v>358</v>
      </c>
      <c r="K706" s="8" t="s">
        <v>200</v>
      </c>
      <c r="L706" s="8" t="s">
        <v>490</v>
      </c>
      <c r="M706" s="8">
        <v>0</v>
      </c>
      <c r="N706" s="8"/>
    </row>
    <row r="707" spans="5:14" x14ac:dyDescent="0.35">
      <c r="E707" s="1" t="s">
        <v>2063</v>
      </c>
      <c r="F707" s="1" t="s">
        <v>357</v>
      </c>
      <c r="G707" s="1">
        <v>1</v>
      </c>
      <c r="H707" s="1" t="s">
        <v>197</v>
      </c>
      <c r="I707" s="1" t="s">
        <v>357</v>
      </c>
      <c r="K707" s="8" t="s">
        <v>200</v>
      </c>
      <c r="L707" s="8" t="s">
        <v>491</v>
      </c>
      <c r="M707" s="8">
        <v>0</v>
      </c>
      <c r="N707" s="8"/>
    </row>
    <row r="708" spans="5:14" x14ac:dyDescent="0.35">
      <c r="E708" s="1" t="s">
        <v>2063</v>
      </c>
      <c r="F708" s="1" t="s">
        <v>356</v>
      </c>
      <c r="G708" s="1">
        <v>1</v>
      </c>
      <c r="H708" s="1" t="s">
        <v>197</v>
      </c>
      <c r="I708" s="1" t="s">
        <v>356</v>
      </c>
      <c r="K708" s="8" t="s">
        <v>200</v>
      </c>
      <c r="L708" s="8" t="s">
        <v>492</v>
      </c>
      <c r="M708" s="8">
        <v>0</v>
      </c>
      <c r="N708" s="8"/>
    </row>
    <row r="709" spans="5:14" x14ac:dyDescent="0.35">
      <c r="E709" s="1" t="s">
        <v>2063</v>
      </c>
      <c r="F709" s="1" t="s">
        <v>355</v>
      </c>
      <c r="G709" s="1">
        <v>1</v>
      </c>
      <c r="H709" s="1" t="s">
        <v>197</v>
      </c>
      <c r="I709" s="1" t="s">
        <v>355</v>
      </c>
      <c r="K709" s="8" t="s">
        <v>200</v>
      </c>
      <c r="L709" s="8" t="s">
        <v>493</v>
      </c>
      <c r="M709" s="8">
        <v>0</v>
      </c>
      <c r="N709" s="8"/>
    </row>
    <row r="710" spans="5:14" x14ac:dyDescent="0.35">
      <c r="E710" s="1" t="s">
        <v>2064</v>
      </c>
      <c r="F710" s="1" t="s">
        <v>368</v>
      </c>
      <c r="G710" s="1">
        <v>1</v>
      </c>
      <c r="H710" s="1" t="s">
        <v>198</v>
      </c>
      <c r="I710" s="1" t="s">
        <v>361</v>
      </c>
      <c r="K710" s="8" t="s">
        <v>200</v>
      </c>
      <c r="L710" s="8" t="s">
        <v>494</v>
      </c>
      <c r="M710" s="8">
        <v>0</v>
      </c>
      <c r="N710" s="8"/>
    </row>
    <row r="711" spans="5:14" x14ac:dyDescent="0.35">
      <c r="E711" s="1" t="s">
        <v>2064</v>
      </c>
      <c r="F711" s="1" t="s">
        <v>367</v>
      </c>
      <c r="G711" s="1">
        <v>1</v>
      </c>
      <c r="H711" s="1" t="s">
        <v>198</v>
      </c>
      <c r="I711" s="1" t="s">
        <v>360</v>
      </c>
      <c r="K711" s="8" t="s">
        <v>200</v>
      </c>
      <c r="L711" s="8" t="s">
        <v>495</v>
      </c>
      <c r="M711" s="8">
        <v>0</v>
      </c>
      <c r="N711" s="8"/>
    </row>
    <row r="712" spans="5:14" x14ac:dyDescent="0.35">
      <c r="E712" s="1" t="s">
        <v>2064</v>
      </c>
      <c r="F712" s="1" t="s">
        <v>366</v>
      </c>
      <c r="G712" s="1">
        <v>1</v>
      </c>
      <c r="H712" s="1" t="s">
        <v>198</v>
      </c>
      <c r="I712" s="1" t="s">
        <v>359</v>
      </c>
      <c r="K712" s="8" t="s">
        <v>201</v>
      </c>
      <c r="L712" s="8" t="s">
        <v>1145</v>
      </c>
      <c r="M712" s="8">
        <v>0</v>
      </c>
      <c r="N712" s="8"/>
    </row>
    <row r="713" spans="5:14" x14ac:dyDescent="0.35">
      <c r="E713" s="1" t="s">
        <v>2064</v>
      </c>
      <c r="F713" s="1" t="s">
        <v>362</v>
      </c>
      <c r="G713" s="1">
        <v>1</v>
      </c>
      <c r="H713" s="1" t="s">
        <v>198</v>
      </c>
      <c r="I713" s="1" t="s">
        <v>355</v>
      </c>
      <c r="K713" s="8" t="s">
        <v>201</v>
      </c>
      <c r="L713" s="8" t="s">
        <v>1146</v>
      </c>
      <c r="M713" s="8">
        <v>0</v>
      </c>
      <c r="N713" s="8"/>
    </row>
    <row r="714" spans="5:14" x14ac:dyDescent="0.35">
      <c r="E714" s="1" t="s">
        <v>2064</v>
      </c>
      <c r="F714" s="1" t="s">
        <v>361</v>
      </c>
      <c r="G714" s="1">
        <v>1</v>
      </c>
      <c r="H714" s="1" t="s">
        <v>198</v>
      </c>
      <c r="I714" s="1" t="s">
        <v>361</v>
      </c>
      <c r="K714" s="8" t="s">
        <v>201</v>
      </c>
      <c r="L714" s="8" t="s">
        <v>1147</v>
      </c>
      <c r="M714" s="8">
        <v>0</v>
      </c>
      <c r="N714" s="8"/>
    </row>
    <row r="715" spans="5:14" x14ac:dyDescent="0.35">
      <c r="E715" s="1" t="s">
        <v>2064</v>
      </c>
      <c r="F715" s="1" t="s">
        <v>360</v>
      </c>
      <c r="G715" s="1">
        <v>1</v>
      </c>
      <c r="H715" s="1" t="s">
        <v>198</v>
      </c>
      <c r="I715" s="1" t="s">
        <v>360</v>
      </c>
      <c r="K715" s="8" t="s">
        <v>201</v>
      </c>
      <c r="L715" s="8" t="s">
        <v>1148</v>
      </c>
      <c r="M715" s="8">
        <v>0</v>
      </c>
      <c r="N715" s="8"/>
    </row>
    <row r="716" spans="5:14" x14ac:dyDescent="0.35">
      <c r="E716" s="1" t="s">
        <v>2064</v>
      </c>
      <c r="F716" s="1" t="s">
        <v>359</v>
      </c>
      <c r="G716" s="1">
        <v>1</v>
      </c>
      <c r="H716" s="1" t="s">
        <v>198</v>
      </c>
      <c r="I716" s="1" t="s">
        <v>359</v>
      </c>
      <c r="K716" s="8" t="s">
        <v>201</v>
      </c>
      <c r="L716" s="8" t="s">
        <v>396</v>
      </c>
      <c r="M716" s="8">
        <v>1</v>
      </c>
      <c r="N716" s="8"/>
    </row>
    <row r="717" spans="5:14" x14ac:dyDescent="0.35">
      <c r="E717" s="1" t="s">
        <v>2064</v>
      </c>
      <c r="F717" s="1" t="s">
        <v>355</v>
      </c>
      <c r="G717" s="1">
        <v>1</v>
      </c>
      <c r="H717" s="1" t="s">
        <v>198</v>
      </c>
      <c r="I717" s="1" t="s">
        <v>355</v>
      </c>
      <c r="K717" s="8" t="s">
        <v>201</v>
      </c>
      <c r="L717" s="8" t="s">
        <v>397</v>
      </c>
      <c r="M717" s="8">
        <v>1</v>
      </c>
      <c r="N717" s="8"/>
    </row>
    <row r="718" spans="5:14" x14ac:dyDescent="0.35">
      <c r="E718" s="1" t="s">
        <v>2065</v>
      </c>
      <c r="F718" s="1" t="s">
        <v>365</v>
      </c>
      <c r="G718" s="1">
        <v>1</v>
      </c>
      <c r="H718" s="1" t="s">
        <v>197</v>
      </c>
      <c r="I718" s="1" t="s">
        <v>358</v>
      </c>
      <c r="K718" s="8" t="s">
        <v>201</v>
      </c>
      <c r="L718" s="8" t="s">
        <v>398</v>
      </c>
      <c r="M718" s="8">
        <v>1</v>
      </c>
      <c r="N718" s="8"/>
    </row>
    <row r="719" spans="5:14" x14ac:dyDescent="0.35">
      <c r="E719" s="1" t="s">
        <v>2065</v>
      </c>
      <c r="F719" s="1" t="s">
        <v>364</v>
      </c>
      <c r="G719" s="1">
        <v>1</v>
      </c>
      <c r="H719" s="1" t="s">
        <v>197</v>
      </c>
      <c r="I719" s="1" t="s">
        <v>357</v>
      </c>
      <c r="K719" s="8" t="s">
        <v>201</v>
      </c>
      <c r="L719" s="8" t="s">
        <v>1149</v>
      </c>
      <c r="M719" s="8">
        <v>0</v>
      </c>
      <c r="N719" s="8"/>
    </row>
    <row r="720" spans="5:14" x14ac:dyDescent="0.35">
      <c r="E720" s="1" t="s">
        <v>2065</v>
      </c>
      <c r="F720" s="1" t="s">
        <v>363</v>
      </c>
      <c r="G720" s="1">
        <v>1</v>
      </c>
      <c r="H720" s="1" t="s">
        <v>197</v>
      </c>
      <c r="I720" s="1" t="s">
        <v>356</v>
      </c>
      <c r="K720" s="8" t="s">
        <v>201</v>
      </c>
      <c r="L720" s="8" t="s">
        <v>1150</v>
      </c>
      <c r="M720" s="8">
        <v>0</v>
      </c>
      <c r="N720" s="8"/>
    </row>
    <row r="721" spans="5:14" x14ac:dyDescent="0.35">
      <c r="E721" s="1" t="s">
        <v>2065</v>
      </c>
      <c r="F721" s="1" t="s">
        <v>362</v>
      </c>
      <c r="G721" s="1">
        <v>1</v>
      </c>
      <c r="H721" s="1" t="s">
        <v>197</v>
      </c>
      <c r="I721" s="1" t="s">
        <v>355</v>
      </c>
      <c r="K721" s="8" t="s">
        <v>201</v>
      </c>
      <c r="L721" s="8" t="s">
        <v>1151</v>
      </c>
      <c r="M721" s="8">
        <v>0</v>
      </c>
      <c r="N721" s="8"/>
    </row>
    <row r="722" spans="5:14" x14ac:dyDescent="0.35">
      <c r="E722" s="1" t="s">
        <v>2065</v>
      </c>
      <c r="F722" s="1" t="s">
        <v>358</v>
      </c>
      <c r="G722" s="1">
        <v>1</v>
      </c>
      <c r="H722" s="1" t="s">
        <v>197</v>
      </c>
      <c r="I722" s="1" t="s">
        <v>358</v>
      </c>
      <c r="K722" s="8" t="s">
        <v>201</v>
      </c>
      <c r="L722" s="8" t="s">
        <v>480</v>
      </c>
      <c r="M722" s="8">
        <v>0</v>
      </c>
      <c r="N722" s="8"/>
    </row>
    <row r="723" spans="5:14" x14ac:dyDescent="0.35">
      <c r="E723" s="1" t="s">
        <v>2065</v>
      </c>
      <c r="F723" s="1" t="s">
        <v>357</v>
      </c>
      <c r="G723" s="1">
        <v>1</v>
      </c>
      <c r="H723" s="1" t="s">
        <v>197</v>
      </c>
      <c r="I723" s="1" t="s">
        <v>357</v>
      </c>
      <c r="K723" s="8" t="s">
        <v>201</v>
      </c>
      <c r="L723" s="8" t="s">
        <v>481</v>
      </c>
      <c r="M723" s="8">
        <v>0</v>
      </c>
      <c r="N723" s="8"/>
    </row>
    <row r="724" spans="5:14" x14ac:dyDescent="0.35">
      <c r="E724" s="1" t="s">
        <v>2065</v>
      </c>
      <c r="F724" s="1" t="s">
        <v>369</v>
      </c>
      <c r="G724" s="1">
        <v>1</v>
      </c>
      <c r="H724" s="1" t="s">
        <v>225</v>
      </c>
      <c r="I724" s="1" t="s">
        <v>369</v>
      </c>
      <c r="K724" s="8" t="s">
        <v>201</v>
      </c>
      <c r="L724" s="8" t="s">
        <v>482</v>
      </c>
      <c r="M724" s="8">
        <v>0</v>
      </c>
      <c r="N724" s="8"/>
    </row>
    <row r="725" spans="5:14" x14ac:dyDescent="0.35">
      <c r="E725" s="1" t="s">
        <v>2065</v>
      </c>
      <c r="F725" s="1" t="s">
        <v>356</v>
      </c>
      <c r="G725" s="1">
        <v>1</v>
      </c>
      <c r="H725" s="1" t="s">
        <v>197</v>
      </c>
      <c r="I725" s="1" t="s">
        <v>356</v>
      </c>
      <c r="K725" s="8" t="s">
        <v>201</v>
      </c>
      <c r="L725" s="8" t="s">
        <v>483</v>
      </c>
      <c r="M725" s="8">
        <v>0</v>
      </c>
      <c r="N725" s="8"/>
    </row>
    <row r="726" spans="5:14" x14ac:dyDescent="0.35">
      <c r="E726" s="1" t="s">
        <v>2065</v>
      </c>
      <c r="F726" s="1" t="s">
        <v>355</v>
      </c>
      <c r="G726" s="1">
        <v>1</v>
      </c>
      <c r="H726" s="1" t="s">
        <v>197</v>
      </c>
      <c r="I726" s="1" t="s">
        <v>355</v>
      </c>
      <c r="K726" s="8" t="s">
        <v>201</v>
      </c>
      <c r="L726" s="8" t="s">
        <v>484</v>
      </c>
      <c r="M726" s="8">
        <v>0</v>
      </c>
      <c r="N726" s="8"/>
    </row>
    <row r="727" spans="5:14" x14ac:dyDescent="0.35">
      <c r="E727" s="1" t="s">
        <v>2066</v>
      </c>
      <c r="F727" s="1" t="s">
        <v>368</v>
      </c>
      <c r="G727" s="1">
        <v>1</v>
      </c>
      <c r="H727" s="1" t="s">
        <v>198</v>
      </c>
      <c r="I727" s="1" t="s">
        <v>361</v>
      </c>
      <c r="K727" s="8" t="s">
        <v>201</v>
      </c>
      <c r="L727" s="8" t="s">
        <v>486</v>
      </c>
      <c r="M727" s="8">
        <v>0</v>
      </c>
      <c r="N727" s="8"/>
    </row>
    <row r="728" spans="5:14" x14ac:dyDescent="0.35">
      <c r="E728" s="1" t="s">
        <v>2066</v>
      </c>
      <c r="F728" s="1" t="s">
        <v>367</v>
      </c>
      <c r="G728" s="1">
        <v>1</v>
      </c>
      <c r="H728" s="1" t="s">
        <v>198</v>
      </c>
      <c r="I728" s="1" t="s">
        <v>360</v>
      </c>
      <c r="K728" s="8" t="s">
        <v>201</v>
      </c>
      <c r="L728" s="8" t="s">
        <v>487</v>
      </c>
      <c r="M728" s="8">
        <v>0</v>
      </c>
      <c r="N728" s="8"/>
    </row>
    <row r="729" spans="5:14" x14ac:dyDescent="0.35">
      <c r="E729" s="1" t="s">
        <v>2066</v>
      </c>
      <c r="F729" s="1" t="s">
        <v>366</v>
      </c>
      <c r="G729" s="1">
        <v>1</v>
      </c>
      <c r="H729" s="1" t="s">
        <v>198</v>
      </c>
      <c r="I729" s="1" t="s">
        <v>359</v>
      </c>
      <c r="K729" s="8" t="s">
        <v>201</v>
      </c>
      <c r="L729" s="8" t="s">
        <v>488</v>
      </c>
      <c r="M729" s="8">
        <v>0</v>
      </c>
      <c r="N729" s="8"/>
    </row>
    <row r="730" spans="5:14" x14ac:dyDescent="0.35">
      <c r="E730" s="1" t="s">
        <v>2066</v>
      </c>
      <c r="F730" s="1" t="s">
        <v>362</v>
      </c>
      <c r="G730" s="1">
        <v>1</v>
      </c>
      <c r="H730" s="1" t="s">
        <v>198</v>
      </c>
      <c r="I730" s="1" t="s">
        <v>355</v>
      </c>
      <c r="K730" s="8" t="s">
        <v>201</v>
      </c>
      <c r="L730" s="8" t="s">
        <v>489</v>
      </c>
      <c r="M730" s="8">
        <v>0</v>
      </c>
      <c r="N730" s="8"/>
    </row>
    <row r="731" spans="5:14" x14ac:dyDescent="0.35">
      <c r="E731" s="1" t="s">
        <v>2066</v>
      </c>
      <c r="F731" s="1" t="s">
        <v>361</v>
      </c>
      <c r="G731" s="1">
        <v>1</v>
      </c>
      <c r="H731" s="1" t="s">
        <v>198</v>
      </c>
      <c r="I731" s="1" t="s">
        <v>361</v>
      </c>
      <c r="K731" s="8" t="s">
        <v>201</v>
      </c>
      <c r="L731" s="8" t="s">
        <v>490</v>
      </c>
      <c r="M731" s="8">
        <v>0</v>
      </c>
      <c r="N731" s="8"/>
    </row>
    <row r="732" spans="5:14" x14ac:dyDescent="0.35">
      <c r="E732" s="1" t="s">
        <v>2066</v>
      </c>
      <c r="F732" s="1" t="s">
        <v>360</v>
      </c>
      <c r="G732" s="1">
        <v>1</v>
      </c>
      <c r="H732" s="1" t="s">
        <v>198</v>
      </c>
      <c r="I732" s="1" t="s">
        <v>360</v>
      </c>
      <c r="K732" s="8" t="s">
        <v>201</v>
      </c>
      <c r="L732" s="8" t="s">
        <v>491</v>
      </c>
      <c r="M732" s="8">
        <v>0</v>
      </c>
      <c r="N732" s="8"/>
    </row>
    <row r="733" spans="5:14" x14ac:dyDescent="0.35">
      <c r="E733" s="1" t="s">
        <v>2066</v>
      </c>
      <c r="F733" s="1" t="s">
        <v>369</v>
      </c>
      <c r="G733" s="1">
        <v>1</v>
      </c>
      <c r="H733" s="1" t="s">
        <v>225</v>
      </c>
      <c r="I733" s="1" t="s">
        <v>369</v>
      </c>
      <c r="K733" s="8" t="s">
        <v>201</v>
      </c>
      <c r="L733" s="8" t="s">
        <v>492</v>
      </c>
      <c r="M733" s="8">
        <v>0</v>
      </c>
      <c r="N733" s="8"/>
    </row>
    <row r="734" spans="5:14" x14ac:dyDescent="0.35">
      <c r="E734" s="1" t="s">
        <v>2066</v>
      </c>
      <c r="F734" s="1" t="s">
        <v>359</v>
      </c>
      <c r="G734" s="1">
        <v>1</v>
      </c>
      <c r="H734" s="1" t="s">
        <v>198</v>
      </c>
      <c r="I734" s="1" t="s">
        <v>359</v>
      </c>
      <c r="K734" s="8" t="s">
        <v>201</v>
      </c>
      <c r="L734" s="8" t="s">
        <v>493</v>
      </c>
      <c r="M734" s="8">
        <v>0</v>
      </c>
      <c r="N734" s="8"/>
    </row>
    <row r="735" spans="5:14" x14ac:dyDescent="0.35">
      <c r="E735" s="1" t="s">
        <v>2066</v>
      </c>
      <c r="F735" s="1" t="s">
        <v>355</v>
      </c>
      <c r="G735" s="1">
        <v>1</v>
      </c>
      <c r="H735" s="1" t="s">
        <v>198</v>
      </c>
      <c r="I735" s="1" t="s">
        <v>355</v>
      </c>
      <c r="K735" s="8" t="s">
        <v>201</v>
      </c>
      <c r="L735" s="8" t="s">
        <v>494</v>
      </c>
      <c r="M735" s="8">
        <v>0</v>
      </c>
      <c r="N735" s="8"/>
    </row>
    <row r="736" spans="5:14" x14ac:dyDescent="0.35">
      <c r="E736" s="1" t="s">
        <v>2067</v>
      </c>
      <c r="F736" s="1" t="s">
        <v>356</v>
      </c>
      <c r="G736" s="1">
        <v>1</v>
      </c>
      <c r="H736" s="1" t="s">
        <v>290</v>
      </c>
      <c r="I736" s="1" t="s">
        <v>356</v>
      </c>
      <c r="K736" s="8" t="s">
        <v>201</v>
      </c>
      <c r="L736" s="8" t="s">
        <v>495</v>
      </c>
      <c r="M736" s="8">
        <v>0</v>
      </c>
      <c r="N736" s="8"/>
    </row>
    <row r="737" spans="5:14" x14ac:dyDescent="0.35">
      <c r="E737" s="1" t="s">
        <v>2067</v>
      </c>
      <c r="F737" s="1" t="s">
        <v>355</v>
      </c>
      <c r="G737" s="1">
        <v>1</v>
      </c>
      <c r="H737" s="1" t="s">
        <v>290</v>
      </c>
      <c r="I737" s="1" t="s">
        <v>355</v>
      </c>
      <c r="K737" s="8" t="s">
        <v>202</v>
      </c>
      <c r="L737" s="8" t="s">
        <v>1133</v>
      </c>
      <c r="M737" s="8">
        <v>0</v>
      </c>
      <c r="N737" s="8"/>
    </row>
    <row r="738" spans="5:14" x14ac:dyDescent="0.35">
      <c r="E738" s="1" t="s">
        <v>2067</v>
      </c>
      <c r="F738" s="1" t="s">
        <v>373</v>
      </c>
      <c r="G738" s="1">
        <v>1</v>
      </c>
      <c r="H738" s="1" t="s">
        <v>270</v>
      </c>
      <c r="I738" s="1" t="s">
        <v>373</v>
      </c>
      <c r="K738" s="8" t="s">
        <v>202</v>
      </c>
      <c r="L738" s="8" t="s">
        <v>1134</v>
      </c>
      <c r="M738" s="8">
        <v>0</v>
      </c>
      <c r="N738" s="8"/>
    </row>
    <row r="739" spans="5:14" x14ac:dyDescent="0.35">
      <c r="E739" s="1" t="s">
        <v>2068</v>
      </c>
      <c r="F739" s="1" t="s">
        <v>359</v>
      </c>
      <c r="G739" s="1">
        <v>1</v>
      </c>
      <c r="H739" s="1" t="s">
        <v>291</v>
      </c>
      <c r="I739" s="1" t="s">
        <v>359</v>
      </c>
      <c r="K739" s="8" t="s">
        <v>202</v>
      </c>
      <c r="L739" s="8" t="s">
        <v>1135</v>
      </c>
      <c r="M739" s="8">
        <v>0</v>
      </c>
      <c r="N739" s="8"/>
    </row>
    <row r="740" spans="5:14" x14ac:dyDescent="0.35">
      <c r="E740" s="1" t="s">
        <v>2068</v>
      </c>
      <c r="F740" s="1" t="s">
        <v>355</v>
      </c>
      <c r="G740" s="1">
        <v>1</v>
      </c>
      <c r="H740" s="1" t="s">
        <v>291</v>
      </c>
      <c r="I740" s="1" t="s">
        <v>355</v>
      </c>
      <c r="K740" s="8" t="s">
        <v>202</v>
      </c>
      <c r="L740" s="8" t="s">
        <v>1136</v>
      </c>
      <c r="M740" s="8">
        <v>0</v>
      </c>
      <c r="N740" s="8"/>
    </row>
    <row r="741" spans="5:14" x14ac:dyDescent="0.35">
      <c r="E741" s="1" t="s">
        <v>2068</v>
      </c>
      <c r="F741" s="1" t="s">
        <v>373</v>
      </c>
      <c r="G741" s="1">
        <v>1</v>
      </c>
      <c r="H741" s="1" t="s">
        <v>270</v>
      </c>
      <c r="I741" s="1" t="s">
        <v>373</v>
      </c>
      <c r="K741" s="8" t="s">
        <v>202</v>
      </c>
      <c r="L741" s="8" t="s">
        <v>397</v>
      </c>
      <c r="M741" s="8">
        <v>1</v>
      </c>
      <c r="N741" s="8"/>
    </row>
    <row r="742" spans="5:14" x14ac:dyDescent="0.35">
      <c r="E742" s="1" t="s">
        <v>2069</v>
      </c>
      <c r="F742" s="1" t="s">
        <v>365</v>
      </c>
      <c r="G742" s="1">
        <v>1</v>
      </c>
      <c r="H742" s="1" t="s">
        <v>197</v>
      </c>
      <c r="I742" s="1" t="s">
        <v>358</v>
      </c>
      <c r="K742" s="8" t="s">
        <v>202</v>
      </c>
      <c r="L742" s="8" t="s">
        <v>1137</v>
      </c>
      <c r="M742" s="8">
        <v>0</v>
      </c>
      <c r="N742" s="8" t="s">
        <v>517</v>
      </c>
    </row>
    <row r="743" spans="5:14" x14ac:dyDescent="0.35">
      <c r="E743" s="1" t="s">
        <v>2069</v>
      </c>
      <c r="F743" s="1" t="s">
        <v>364</v>
      </c>
      <c r="G743" s="1">
        <v>1</v>
      </c>
      <c r="H743" s="1" t="s">
        <v>197</v>
      </c>
      <c r="I743" s="1" t="s">
        <v>357</v>
      </c>
      <c r="K743" s="8" t="s">
        <v>202</v>
      </c>
      <c r="L743" s="8" t="s">
        <v>1138</v>
      </c>
      <c r="M743" s="8">
        <v>0</v>
      </c>
      <c r="N743" s="8"/>
    </row>
    <row r="744" spans="5:14" x14ac:dyDescent="0.35">
      <c r="E744" s="1" t="s">
        <v>2069</v>
      </c>
      <c r="F744" s="1" t="s">
        <v>363</v>
      </c>
      <c r="G744" s="1">
        <v>1</v>
      </c>
      <c r="H744" s="1" t="s">
        <v>197</v>
      </c>
      <c r="I744" s="1" t="s">
        <v>356</v>
      </c>
      <c r="K744" s="8" t="s">
        <v>202</v>
      </c>
      <c r="L744" s="8" t="s">
        <v>480</v>
      </c>
      <c r="M744" s="8">
        <v>0</v>
      </c>
      <c r="N744" s="8"/>
    </row>
    <row r="745" spans="5:14" x14ac:dyDescent="0.35">
      <c r="E745" s="1" t="s">
        <v>2069</v>
      </c>
      <c r="F745" s="1" t="s">
        <v>362</v>
      </c>
      <c r="G745" s="1">
        <v>1</v>
      </c>
      <c r="H745" s="1" t="s">
        <v>197</v>
      </c>
      <c r="I745" s="1" t="s">
        <v>355</v>
      </c>
      <c r="K745" s="8" t="s">
        <v>202</v>
      </c>
      <c r="L745" s="8" t="s">
        <v>481</v>
      </c>
      <c r="M745" s="8">
        <v>0</v>
      </c>
      <c r="N745" s="8"/>
    </row>
    <row r="746" spans="5:14" x14ac:dyDescent="0.35">
      <c r="E746" s="1" t="s">
        <v>2069</v>
      </c>
      <c r="F746" s="1" t="s">
        <v>358</v>
      </c>
      <c r="G746" s="1">
        <v>1</v>
      </c>
      <c r="H746" s="1" t="s">
        <v>197</v>
      </c>
      <c r="I746" s="1" t="s">
        <v>358</v>
      </c>
      <c r="K746" s="8" t="s">
        <v>202</v>
      </c>
      <c r="L746" s="8" t="s">
        <v>482</v>
      </c>
      <c r="M746" s="8">
        <v>0</v>
      </c>
      <c r="N746" s="8"/>
    </row>
    <row r="747" spans="5:14" x14ac:dyDescent="0.35">
      <c r="E747" s="1" t="s">
        <v>2069</v>
      </c>
      <c r="F747" s="1" t="s">
        <v>357</v>
      </c>
      <c r="G747" s="1">
        <v>1</v>
      </c>
      <c r="H747" s="1" t="s">
        <v>197</v>
      </c>
      <c r="I747" s="1" t="s">
        <v>357</v>
      </c>
      <c r="K747" s="8" t="s">
        <v>202</v>
      </c>
      <c r="L747" s="8" t="s">
        <v>483</v>
      </c>
      <c r="M747" s="8">
        <v>0</v>
      </c>
      <c r="N747" s="8"/>
    </row>
    <row r="748" spans="5:14" x14ac:dyDescent="0.35">
      <c r="E748" s="1" t="s">
        <v>2069</v>
      </c>
      <c r="F748" s="1" t="s">
        <v>356</v>
      </c>
      <c r="G748" s="1">
        <v>1</v>
      </c>
      <c r="H748" s="1" t="s">
        <v>197</v>
      </c>
      <c r="I748" s="1" t="s">
        <v>356</v>
      </c>
      <c r="K748" s="8" t="s">
        <v>202</v>
      </c>
      <c r="L748" s="8" t="s">
        <v>484</v>
      </c>
      <c r="M748" s="8">
        <v>0</v>
      </c>
      <c r="N748" s="8"/>
    </row>
    <row r="749" spans="5:14" x14ac:dyDescent="0.35">
      <c r="E749" s="1" t="s">
        <v>2069</v>
      </c>
      <c r="F749" s="1" t="s">
        <v>355</v>
      </c>
      <c r="G749" s="1">
        <v>1</v>
      </c>
      <c r="H749" s="1" t="s">
        <v>197</v>
      </c>
      <c r="I749" s="1" t="s">
        <v>355</v>
      </c>
      <c r="K749" s="8" t="s">
        <v>202</v>
      </c>
      <c r="L749" s="8" t="s">
        <v>486</v>
      </c>
      <c r="M749" s="8">
        <v>0</v>
      </c>
      <c r="N749" s="8"/>
    </row>
    <row r="750" spans="5:14" x14ac:dyDescent="0.35">
      <c r="E750" s="1" t="s">
        <v>2070</v>
      </c>
      <c r="F750" s="1" t="s">
        <v>356</v>
      </c>
      <c r="G750" s="1">
        <v>1</v>
      </c>
      <c r="K750" s="8" t="s">
        <v>202</v>
      </c>
      <c r="L750" s="8" t="s">
        <v>487</v>
      </c>
      <c r="M750" s="8">
        <v>0</v>
      </c>
      <c r="N750" s="8"/>
    </row>
    <row r="751" spans="5:14" x14ac:dyDescent="0.35">
      <c r="E751" s="1" t="s">
        <v>2070</v>
      </c>
      <c r="F751" s="1" t="s">
        <v>375</v>
      </c>
      <c r="G751" s="1">
        <v>1</v>
      </c>
      <c r="K751" s="8" t="s">
        <v>202</v>
      </c>
      <c r="L751" s="8" t="s">
        <v>488</v>
      </c>
      <c r="M751" s="8">
        <v>0</v>
      </c>
      <c r="N751" s="8"/>
    </row>
    <row r="752" spans="5:14" x14ac:dyDescent="0.35">
      <c r="E752" s="1" t="s">
        <v>2070</v>
      </c>
      <c r="F752" s="1" t="s">
        <v>376</v>
      </c>
      <c r="G752" s="1">
        <v>1</v>
      </c>
      <c r="K752" s="8" t="s">
        <v>202</v>
      </c>
      <c r="L752" s="8" t="s">
        <v>489</v>
      </c>
      <c r="M752" s="8">
        <v>0</v>
      </c>
      <c r="N752" s="8"/>
    </row>
    <row r="753" spans="5:14" x14ac:dyDescent="0.35">
      <c r="E753" s="1" t="s">
        <v>2070</v>
      </c>
      <c r="F753" s="1" t="s">
        <v>355</v>
      </c>
      <c r="G753" s="1">
        <v>1</v>
      </c>
      <c r="K753" s="8" t="s">
        <v>202</v>
      </c>
      <c r="L753" s="8" t="s">
        <v>490</v>
      </c>
      <c r="M753" s="8">
        <v>0</v>
      </c>
      <c r="N753" s="8"/>
    </row>
    <row r="754" spans="5:14" x14ac:dyDescent="0.35">
      <c r="E754" s="1" t="s">
        <v>2070</v>
      </c>
      <c r="F754" s="1" t="s">
        <v>2212</v>
      </c>
      <c r="G754" s="1">
        <v>1</v>
      </c>
      <c r="K754" s="8" t="s">
        <v>202</v>
      </c>
      <c r="L754" s="8" t="s">
        <v>1139</v>
      </c>
      <c r="M754" s="8">
        <v>1</v>
      </c>
      <c r="N754" s="8" t="s">
        <v>517</v>
      </c>
    </row>
    <row r="755" spans="5:14" x14ac:dyDescent="0.35">
      <c r="E755" s="1" t="s">
        <v>2071</v>
      </c>
      <c r="F755" s="1" t="s">
        <v>359</v>
      </c>
      <c r="G755" s="1">
        <v>1</v>
      </c>
      <c r="K755" s="8" t="s">
        <v>202</v>
      </c>
      <c r="L755" s="8" t="s">
        <v>491</v>
      </c>
      <c r="M755" s="8">
        <v>0</v>
      </c>
      <c r="N755" s="8"/>
    </row>
    <row r="756" spans="5:14" x14ac:dyDescent="0.35">
      <c r="E756" s="1" t="s">
        <v>2071</v>
      </c>
      <c r="F756" s="1" t="s">
        <v>355</v>
      </c>
      <c r="G756" s="1">
        <v>1</v>
      </c>
      <c r="K756" s="8" t="s">
        <v>202</v>
      </c>
      <c r="L756" s="8" t="s">
        <v>492</v>
      </c>
      <c r="M756" s="8">
        <v>0</v>
      </c>
      <c r="N756" s="8"/>
    </row>
    <row r="757" spans="5:14" x14ac:dyDescent="0.35">
      <c r="E757" s="1" t="s">
        <v>2071</v>
      </c>
      <c r="F757" s="1" t="s">
        <v>2213</v>
      </c>
      <c r="G757" s="1">
        <v>1</v>
      </c>
      <c r="K757" s="8" t="s">
        <v>202</v>
      </c>
      <c r="L757" s="8" t="s">
        <v>493</v>
      </c>
      <c r="M757" s="8">
        <v>0</v>
      </c>
      <c r="N757" s="8"/>
    </row>
    <row r="758" spans="5:14" x14ac:dyDescent="0.35">
      <c r="E758" s="1" t="s">
        <v>2072</v>
      </c>
      <c r="F758" s="1" t="s">
        <v>2162</v>
      </c>
      <c r="G758" s="1">
        <v>1</v>
      </c>
      <c r="K758" s="8" t="s">
        <v>202</v>
      </c>
      <c r="L758" s="8" t="s">
        <v>494</v>
      </c>
      <c r="M758" s="8">
        <v>0</v>
      </c>
      <c r="N758" s="8"/>
    </row>
    <row r="759" spans="5:14" x14ac:dyDescent="0.35">
      <c r="E759" s="1" t="s">
        <v>2072</v>
      </c>
      <c r="F759" s="1" t="s">
        <v>375</v>
      </c>
      <c r="G759" s="1">
        <v>1</v>
      </c>
      <c r="K759" s="8" t="s">
        <v>202</v>
      </c>
      <c r="L759" s="8" t="s">
        <v>495</v>
      </c>
      <c r="M759" s="8">
        <v>0</v>
      </c>
      <c r="N759" s="8"/>
    </row>
    <row r="760" spans="5:14" x14ac:dyDescent="0.35">
      <c r="E760" s="1" t="s">
        <v>2072</v>
      </c>
      <c r="F760" s="1" t="s">
        <v>376</v>
      </c>
      <c r="G760" s="1">
        <v>1</v>
      </c>
      <c r="K760" s="8" t="s">
        <v>203</v>
      </c>
      <c r="L760" s="8" t="s">
        <v>1152</v>
      </c>
      <c r="M760" s="8">
        <v>0</v>
      </c>
      <c r="N760" s="8"/>
    </row>
    <row r="761" spans="5:14" x14ac:dyDescent="0.35">
      <c r="E761" s="1" t="s">
        <v>2073</v>
      </c>
      <c r="F761" s="1" t="s">
        <v>2163</v>
      </c>
      <c r="G761" s="1">
        <v>1</v>
      </c>
      <c r="K761" s="8" t="s">
        <v>203</v>
      </c>
      <c r="L761" s="8" t="s">
        <v>1153</v>
      </c>
      <c r="M761" s="8">
        <v>0</v>
      </c>
      <c r="N761" s="8"/>
    </row>
    <row r="762" spans="5:14" x14ac:dyDescent="0.35">
      <c r="E762" s="1" t="s">
        <v>2073</v>
      </c>
      <c r="F762" s="1" t="s">
        <v>375</v>
      </c>
      <c r="G762" s="1">
        <v>1</v>
      </c>
      <c r="K762" s="8" t="s">
        <v>203</v>
      </c>
      <c r="L762" s="8" t="s">
        <v>1154</v>
      </c>
      <c r="M762" s="8">
        <v>0</v>
      </c>
      <c r="N762" s="8"/>
    </row>
    <row r="763" spans="5:14" x14ac:dyDescent="0.35">
      <c r="E763" s="1" t="s">
        <v>2073</v>
      </c>
      <c r="F763" s="1" t="s">
        <v>376</v>
      </c>
      <c r="G763" s="1">
        <v>1</v>
      </c>
      <c r="K763" s="8" t="s">
        <v>203</v>
      </c>
      <c r="L763" s="8" t="s">
        <v>1155</v>
      </c>
      <c r="M763" s="8">
        <v>0</v>
      </c>
      <c r="N763" s="8"/>
    </row>
    <row r="764" spans="5:14" x14ac:dyDescent="0.35">
      <c r="E764" s="1" t="s">
        <v>2073</v>
      </c>
      <c r="F764" s="1" t="s">
        <v>355</v>
      </c>
      <c r="G764" s="1">
        <v>1</v>
      </c>
      <c r="K764" s="8" t="s">
        <v>203</v>
      </c>
      <c r="L764" s="8" t="s">
        <v>1156</v>
      </c>
      <c r="M764" s="8">
        <v>1</v>
      </c>
      <c r="N764" s="8" t="s">
        <v>476</v>
      </c>
    </row>
    <row r="765" spans="5:14" x14ac:dyDescent="0.35">
      <c r="E765" s="1" t="s">
        <v>2074</v>
      </c>
      <c r="F765" s="1" t="s">
        <v>2164</v>
      </c>
      <c r="G765" s="1">
        <v>1</v>
      </c>
      <c r="K765" s="8" t="s">
        <v>203</v>
      </c>
      <c r="L765" s="8" t="s">
        <v>1157</v>
      </c>
      <c r="M765" s="8">
        <v>1</v>
      </c>
      <c r="N765" s="8" t="s">
        <v>476</v>
      </c>
    </row>
    <row r="766" spans="5:14" x14ac:dyDescent="0.35">
      <c r="E766" s="1" t="s">
        <v>2074</v>
      </c>
      <c r="F766" s="1" t="s">
        <v>372</v>
      </c>
      <c r="G766" s="1">
        <v>1</v>
      </c>
      <c r="K766" s="8" t="s">
        <v>203</v>
      </c>
      <c r="L766" s="8" t="s">
        <v>397</v>
      </c>
      <c r="M766" s="8">
        <v>1</v>
      </c>
      <c r="N766" s="8"/>
    </row>
    <row r="767" spans="5:14" x14ac:dyDescent="0.35">
      <c r="E767" s="1" t="s">
        <v>2075</v>
      </c>
      <c r="F767" s="1" t="s">
        <v>2166</v>
      </c>
      <c r="G767" s="1">
        <v>1</v>
      </c>
      <c r="K767" s="8" t="s">
        <v>203</v>
      </c>
      <c r="L767" s="8" t="s">
        <v>480</v>
      </c>
      <c r="M767" s="8">
        <v>0</v>
      </c>
      <c r="N767" s="8"/>
    </row>
    <row r="768" spans="5:14" x14ac:dyDescent="0.35">
      <c r="E768" s="1" t="s">
        <v>2075</v>
      </c>
      <c r="F768" s="1" t="s">
        <v>375</v>
      </c>
      <c r="G768" s="1">
        <v>1</v>
      </c>
      <c r="K768" s="8" t="s">
        <v>203</v>
      </c>
      <c r="L768" s="8" t="s">
        <v>481</v>
      </c>
      <c r="M768" s="8">
        <v>0</v>
      </c>
      <c r="N768" s="8"/>
    </row>
    <row r="769" spans="5:14" x14ac:dyDescent="0.35">
      <c r="E769" s="1" t="s">
        <v>2075</v>
      </c>
      <c r="F769" s="1" t="s">
        <v>376</v>
      </c>
      <c r="G769" s="1">
        <v>1</v>
      </c>
      <c r="K769" s="8" t="s">
        <v>203</v>
      </c>
      <c r="L769" s="8" t="s">
        <v>482</v>
      </c>
      <c r="M769" s="8">
        <v>0</v>
      </c>
      <c r="N769" s="8"/>
    </row>
    <row r="770" spans="5:14" x14ac:dyDescent="0.35">
      <c r="E770" s="1" t="s">
        <v>2075</v>
      </c>
      <c r="F770" s="1" t="s">
        <v>372</v>
      </c>
      <c r="G770" s="1">
        <v>1</v>
      </c>
      <c r="K770" s="8" t="s">
        <v>203</v>
      </c>
      <c r="L770" s="8" t="s">
        <v>483</v>
      </c>
      <c r="M770" s="8">
        <v>0</v>
      </c>
      <c r="N770" s="8"/>
    </row>
    <row r="771" spans="5:14" x14ac:dyDescent="0.35">
      <c r="E771" s="1" t="s">
        <v>2076</v>
      </c>
      <c r="F771" s="1" t="s">
        <v>2167</v>
      </c>
      <c r="G771" s="1">
        <v>1</v>
      </c>
      <c r="K771" s="8" t="s">
        <v>203</v>
      </c>
      <c r="L771" s="8" t="s">
        <v>484</v>
      </c>
      <c r="M771" s="8">
        <v>0</v>
      </c>
      <c r="N771" s="8"/>
    </row>
    <row r="772" spans="5:14" x14ac:dyDescent="0.35">
      <c r="E772" s="1" t="s">
        <v>2076</v>
      </c>
      <c r="F772" s="1" t="s">
        <v>375</v>
      </c>
      <c r="G772" s="1">
        <v>1</v>
      </c>
      <c r="K772" s="8" t="s">
        <v>203</v>
      </c>
      <c r="L772" s="8" t="s">
        <v>1158</v>
      </c>
      <c r="M772" s="8">
        <v>1</v>
      </c>
      <c r="N772" s="8" t="s">
        <v>517</v>
      </c>
    </row>
    <row r="773" spans="5:14" x14ac:dyDescent="0.35">
      <c r="E773" s="1" t="s">
        <v>2076</v>
      </c>
      <c r="F773" s="1" t="s">
        <v>376</v>
      </c>
      <c r="G773" s="1">
        <v>1</v>
      </c>
      <c r="K773" s="8" t="s">
        <v>203</v>
      </c>
      <c r="L773" s="8" t="s">
        <v>399</v>
      </c>
      <c r="M773" s="8">
        <v>1</v>
      </c>
      <c r="N773" s="8"/>
    </row>
    <row r="774" spans="5:14" x14ac:dyDescent="0.35">
      <c r="E774" s="1" t="s">
        <v>2076</v>
      </c>
      <c r="F774" s="1" t="s">
        <v>355</v>
      </c>
      <c r="G774" s="1">
        <v>1</v>
      </c>
      <c r="K774" s="8" t="s">
        <v>203</v>
      </c>
      <c r="L774" s="8" t="s">
        <v>1159</v>
      </c>
      <c r="M774" s="8">
        <v>1</v>
      </c>
      <c r="N774" s="8" t="s">
        <v>619</v>
      </c>
    </row>
    <row r="775" spans="5:14" x14ac:dyDescent="0.35">
      <c r="E775" s="1" t="s">
        <v>2076</v>
      </c>
      <c r="F775" s="1" t="s">
        <v>372</v>
      </c>
      <c r="G775" s="1">
        <v>1</v>
      </c>
      <c r="K775" s="8" t="s">
        <v>203</v>
      </c>
      <c r="L775" s="8" t="s">
        <v>486</v>
      </c>
      <c r="M775" s="8">
        <v>0</v>
      </c>
      <c r="N775" s="8"/>
    </row>
    <row r="776" spans="5:14" x14ac:dyDescent="0.35">
      <c r="E776" s="1" t="s">
        <v>2077</v>
      </c>
      <c r="F776" s="1" t="s">
        <v>355</v>
      </c>
      <c r="G776" s="1">
        <v>1</v>
      </c>
      <c r="K776" s="8" t="s">
        <v>203</v>
      </c>
      <c r="L776" s="8" t="s">
        <v>487</v>
      </c>
      <c r="M776" s="8">
        <v>0</v>
      </c>
      <c r="N776" s="8"/>
    </row>
    <row r="777" spans="5:14" x14ac:dyDescent="0.35">
      <c r="E777" s="1" t="s">
        <v>2077</v>
      </c>
      <c r="F777" s="1" t="s">
        <v>2165</v>
      </c>
      <c r="G777" s="1">
        <v>1</v>
      </c>
      <c r="K777" s="8" t="s">
        <v>203</v>
      </c>
      <c r="L777" s="8" t="s">
        <v>488</v>
      </c>
      <c r="M777" s="8">
        <v>0</v>
      </c>
      <c r="N777" s="8"/>
    </row>
    <row r="778" spans="5:14" x14ac:dyDescent="0.35">
      <c r="E778" s="1" t="s">
        <v>2077</v>
      </c>
      <c r="F778" s="1" t="s">
        <v>372</v>
      </c>
      <c r="G778" s="1">
        <v>1</v>
      </c>
      <c r="K778" s="8" t="s">
        <v>203</v>
      </c>
      <c r="L778" s="8" t="s">
        <v>489</v>
      </c>
      <c r="M778" s="8">
        <v>0</v>
      </c>
      <c r="N778" s="8"/>
    </row>
    <row r="779" spans="5:14" x14ac:dyDescent="0.35">
      <c r="E779" s="1" t="s">
        <v>2078</v>
      </c>
      <c r="F779" s="1" t="s">
        <v>2161</v>
      </c>
      <c r="G779" s="1">
        <v>1</v>
      </c>
      <c r="H779" s="1" t="s">
        <v>2031</v>
      </c>
      <c r="I779" s="1" t="s">
        <v>2161</v>
      </c>
      <c r="K779" s="8" t="s">
        <v>203</v>
      </c>
      <c r="L779" s="8" t="s">
        <v>490</v>
      </c>
      <c r="M779" s="8">
        <v>0</v>
      </c>
      <c r="N779" s="8"/>
    </row>
    <row r="780" spans="5:14" x14ac:dyDescent="0.35">
      <c r="E780" s="1" t="s">
        <v>2078</v>
      </c>
      <c r="F780" s="1" t="s">
        <v>2159</v>
      </c>
      <c r="G780" s="1">
        <v>1</v>
      </c>
      <c r="H780" s="1" t="s">
        <v>2031</v>
      </c>
      <c r="I780" s="1" t="s">
        <v>2159</v>
      </c>
      <c r="K780" s="8" t="s">
        <v>203</v>
      </c>
      <c r="L780" s="8" t="s">
        <v>491</v>
      </c>
      <c r="M780" s="8">
        <v>0</v>
      </c>
      <c r="N780" s="8"/>
    </row>
    <row r="781" spans="5:14" x14ac:dyDescent="0.35">
      <c r="E781" s="1" t="s">
        <v>2078</v>
      </c>
      <c r="F781" s="1" t="s">
        <v>2160</v>
      </c>
      <c r="G781" s="1">
        <v>1</v>
      </c>
      <c r="H781" s="1" t="s">
        <v>2031</v>
      </c>
      <c r="I781" s="1" t="s">
        <v>2160</v>
      </c>
      <c r="K781" s="8" t="s">
        <v>203</v>
      </c>
      <c r="L781" s="8" t="s">
        <v>492</v>
      </c>
      <c r="M781" s="8">
        <v>0</v>
      </c>
      <c r="N781" s="8"/>
    </row>
    <row r="782" spans="5:14" x14ac:dyDescent="0.35">
      <c r="E782" s="1" t="s">
        <v>2078</v>
      </c>
      <c r="F782" s="1" t="s">
        <v>2168</v>
      </c>
      <c r="G782" s="1">
        <v>1</v>
      </c>
      <c r="K782" s="8" t="s">
        <v>203</v>
      </c>
      <c r="L782" s="8" t="s">
        <v>493</v>
      </c>
      <c r="M782" s="8">
        <v>0</v>
      </c>
      <c r="N782" s="8"/>
    </row>
    <row r="783" spans="5:14" x14ac:dyDescent="0.35">
      <c r="E783" s="1" t="s">
        <v>2078</v>
      </c>
      <c r="F783" s="1" t="s">
        <v>2169</v>
      </c>
      <c r="G783" s="1">
        <v>1</v>
      </c>
      <c r="K783" s="8" t="s">
        <v>203</v>
      </c>
      <c r="L783" s="8" t="s">
        <v>494</v>
      </c>
      <c r="M783" s="8">
        <v>0</v>
      </c>
      <c r="N783" s="8"/>
    </row>
    <row r="784" spans="5:14" x14ac:dyDescent="0.35">
      <c r="E784" s="1" t="s">
        <v>2079</v>
      </c>
      <c r="F784" s="1" t="s">
        <v>358</v>
      </c>
      <c r="G784" s="1">
        <v>1</v>
      </c>
      <c r="H784" s="1" t="s">
        <v>197</v>
      </c>
      <c r="I784" s="1" t="s">
        <v>358</v>
      </c>
      <c r="K784" s="8" t="s">
        <v>203</v>
      </c>
      <c r="L784" s="8" t="s">
        <v>495</v>
      </c>
      <c r="M784" s="8">
        <v>0</v>
      </c>
      <c r="N784" s="8"/>
    </row>
    <row r="785" spans="5:14" x14ac:dyDescent="0.35">
      <c r="E785" s="1" t="s">
        <v>2079</v>
      </c>
      <c r="F785" s="1" t="s">
        <v>357</v>
      </c>
      <c r="G785" s="1">
        <v>1</v>
      </c>
      <c r="H785" s="1" t="s">
        <v>197</v>
      </c>
      <c r="I785" s="1" t="s">
        <v>357</v>
      </c>
      <c r="K785" s="8" t="s">
        <v>203</v>
      </c>
      <c r="L785" s="8" t="s">
        <v>1160</v>
      </c>
      <c r="M785" s="8">
        <v>0</v>
      </c>
      <c r="N785" s="8" t="s">
        <v>612</v>
      </c>
    </row>
    <row r="786" spans="5:14" x14ac:dyDescent="0.35">
      <c r="E786" s="1" t="s">
        <v>2079</v>
      </c>
      <c r="F786" s="1" t="s">
        <v>356</v>
      </c>
      <c r="G786" s="1">
        <v>1</v>
      </c>
      <c r="H786" s="1" t="s">
        <v>197</v>
      </c>
      <c r="I786" s="1" t="s">
        <v>356</v>
      </c>
      <c r="K786" s="8" t="s">
        <v>203</v>
      </c>
      <c r="L786" s="8" t="s">
        <v>380</v>
      </c>
      <c r="M786" s="8">
        <v>0</v>
      </c>
      <c r="N786" s="8"/>
    </row>
    <row r="787" spans="5:14" x14ac:dyDescent="0.35">
      <c r="E787" s="1" t="s">
        <v>2079</v>
      </c>
      <c r="F787" s="1" t="s">
        <v>375</v>
      </c>
      <c r="G787" s="1">
        <v>1</v>
      </c>
      <c r="H787" s="1" t="s">
        <v>226</v>
      </c>
      <c r="I787" s="1" t="s">
        <v>375</v>
      </c>
      <c r="K787" s="8" t="s">
        <v>204</v>
      </c>
      <c r="L787" s="8" t="s">
        <v>1186</v>
      </c>
      <c r="M787" s="8">
        <v>0</v>
      </c>
      <c r="N787" s="8"/>
    </row>
    <row r="788" spans="5:14" x14ac:dyDescent="0.35">
      <c r="E788" s="1" t="s">
        <v>2079</v>
      </c>
      <c r="F788" s="1" t="s">
        <v>376</v>
      </c>
      <c r="G788" s="1">
        <v>1</v>
      </c>
      <c r="H788" s="1" t="s">
        <v>226</v>
      </c>
      <c r="I788" s="1" t="s">
        <v>376</v>
      </c>
      <c r="K788" s="8" t="s">
        <v>204</v>
      </c>
      <c r="L788" s="8" t="s">
        <v>1187</v>
      </c>
      <c r="M788" s="8">
        <v>0</v>
      </c>
      <c r="N788" s="8"/>
    </row>
    <row r="789" spans="5:14" x14ac:dyDescent="0.35">
      <c r="E789" s="1" t="s">
        <v>2079</v>
      </c>
      <c r="F789" s="1" t="s">
        <v>355</v>
      </c>
      <c r="G789" s="1">
        <v>1</v>
      </c>
      <c r="H789" s="1" t="s">
        <v>197</v>
      </c>
      <c r="I789" s="1" t="s">
        <v>355</v>
      </c>
      <c r="K789" s="8" t="s">
        <v>204</v>
      </c>
      <c r="L789" s="8" t="s">
        <v>1188</v>
      </c>
      <c r="M789" s="8">
        <v>0</v>
      </c>
      <c r="N789" s="8"/>
    </row>
    <row r="790" spans="5:14" x14ac:dyDescent="0.35">
      <c r="E790" s="1" t="s">
        <v>2080</v>
      </c>
      <c r="F790" s="1" t="s">
        <v>358</v>
      </c>
      <c r="G790" s="1">
        <v>1</v>
      </c>
      <c r="H790" s="1" t="s">
        <v>2079</v>
      </c>
      <c r="I790" s="1" t="s">
        <v>358</v>
      </c>
      <c r="K790" s="8" t="s">
        <v>204</v>
      </c>
      <c r="L790" s="8" t="s">
        <v>1189</v>
      </c>
      <c r="M790" s="8">
        <v>0</v>
      </c>
      <c r="N790" s="8"/>
    </row>
    <row r="791" spans="5:14" x14ac:dyDescent="0.35">
      <c r="E791" s="1" t="s">
        <v>2080</v>
      </c>
      <c r="F791" s="1" t="s">
        <v>357</v>
      </c>
      <c r="G791" s="1">
        <v>1</v>
      </c>
      <c r="H791" s="1" t="s">
        <v>2079</v>
      </c>
      <c r="I791" s="1" t="s">
        <v>357</v>
      </c>
      <c r="K791" s="8" t="s">
        <v>204</v>
      </c>
      <c r="L791" s="8" t="s">
        <v>381</v>
      </c>
      <c r="M791" s="8">
        <v>1</v>
      </c>
      <c r="N791" s="8"/>
    </row>
    <row r="792" spans="5:14" x14ac:dyDescent="0.35">
      <c r="E792" s="1" t="s">
        <v>2080</v>
      </c>
      <c r="F792" s="1" t="s">
        <v>369</v>
      </c>
      <c r="G792" s="1">
        <v>1</v>
      </c>
      <c r="H792" s="1" t="s">
        <v>225</v>
      </c>
      <c r="I792" s="1" t="s">
        <v>369</v>
      </c>
      <c r="K792" s="8" t="s">
        <v>204</v>
      </c>
      <c r="L792" s="8" t="s">
        <v>1190</v>
      </c>
      <c r="M792" s="8">
        <v>0</v>
      </c>
      <c r="N792" s="8"/>
    </row>
    <row r="793" spans="5:14" x14ac:dyDescent="0.35">
      <c r="E793" s="1" t="s">
        <v>2080</v>
      </c>
      <c r="F793" s="1" t="s">
        <v>356</v>
      </c>
      <c r="G793" s="1">
        <v>1</v>
      </c>
      <c r="H793" s="1" t="s">
        <v>2079</v>
      </c>
      <c r="I793" s="1" t="s">
        <v>356</v>
      </c>
      <c r="K793" s="8" t="s">
        <v>204</v>
      </c>
      <c r="L793" s="8" t="s">
        <v>1191</v>
      </c>
      <c r="M793" s="8">
        <v>0</v>
      </c>
      <c r="N793" s="8"/>
    </row>
    <row r="794" spans="5:14" x14ac:dyDescent="0.35">
      <c r="E794" s="1" t="s">
        <v>2080</v>
      </c>
      <c r="F794" s="1" t="s">
        <v>375</v>
      </c>
      <c r="G794" s="1">
        <v>1</v>
      </c>
      <c r="H794" s="1" t="s">
        <v>2079</v>
      </c>
      <c r="I794" s="1" t="s">
        <v>375</v>
      </c>
      <c r="K794" s="8" t="s">
        <v>204</v>
      </c>
      <c r="L794" s="8" t="s">
        <v>480</v>
      </c>
      <c r="M794" s="8">
        <v>0</v>
      </c>
      <c r="N794" s="8"/>
    </row>
    <row r="795" spans="5:14" x14ac:dyDescent="0.35">
      <c r="E795" s="1" t="s">
        <v>2080</v>
      </c>
      <c r="F795" s="1" t="s">
        <v>376</v>
      </c>
      <c r="G795" s="1">
        <v>1</v>
      </c>
      <c r="H795" s="1" t="s">
        <v>2079</v>
      </c>
      <c r="I795" s="1" t="s">
        <v>376</v>
      </c>
      <c r="K795" s="8" t="s">
        <v>204</v>
      </c>
      <c r="L795" s="8" t="s">
        <v>481</v>
      </c>
      <c r="M795" s="8">
        <v>0</v>
      </c>
      <c r="N795" s="8"/>
    </row>
    <row r="796" spans="5:14" x14ac:dyDescent="0.35">
      <c r="E796" s="1" t="s">
        <v>2080</v>
      </c>
      <c r="F796" s="1" t="s">
        <v>355</v>
      </c>
      <c r="G796" s="1">
        <v>1</v>
      </c>
      <c r="H796" s="1" t="s">
        <v>2079</v>
      </c>
      <c r="I796" s="1" t="s">
        <v>355</v>
      </c>
      <c r="K796" s="8" t="s">
        <v>204</v>
      </c>
      <c r="L796" s="8" t="s">
        <v>482</v>
      </c>
      <c r="M796" s="8">
        <v>0</v>
      </c>
      <c r="N796" s="8"/>
    </row>
    <row r="797" spans="5:14" x14ac:dyDescent="0.35">
      <c r="E797" s="1" t="s">
        <v>2081</v>
      </c>
      <c r="F797" s="1" t="s">
        <v>361</v>
      </c>
      <c r="G797" s="1">
        <v>1</v>
      </c>
      <c r="H797" s="1" t="s">
        <v>2086</v>
      </c>
      <c r="I797" s="1" t="s">
        <v>361</v>
      </c>
      <c r="K797" s="8" t="s">
        <v>204</v>
      </c>
      <c r="L797" s="8" t="s">
        <v>483</v>
      </c>
      <c r="M797" s="8">
        <v>0</v>
      </c>
      <c r="N797" s="8"/>
    </row>
    <row r="798" spans="5:14" x14ac:dyDescent="0.35">
      <c r="E798" s="1" t="s">
        <v>2081</v>
      </c>
      <c r="F798" s="1" t="s">
        <v>360</v>
      </c>
      <c r="G798" s="1">
        <v>1</v>
      </c>
      <c r="H798" s="1" t="s">
        <v>2086</v>
      </c>
      <c r="I798" s="1" t="s">
        <v>360</v>
      </c>
      <c r="K798" s="8" t="s">
        <v>204</v>
      </c>
      <c r="L798" s="8" t="s">
        <v>484</v>
      </c>
      <c r="M798" s="8">
        <v>0</v>
      </c>
      <c r="N798" s="8"/>
    </row>
    <row r="799" spans="5:14" x14ac:dyDescent="0.35">
      <c r="E799" s="1" t="s">
        <v>2081</v>
      </c>
      <c r="F799" s="1" t="s">
        <v>369</v>
      </c>
      <c r="G799" s="1">
        <v>1</v>
      </c>
      <c r="H799" s="1" t="s">
        <v>225</v>
      </c>
      <c r="I799" s="1" t="s">
        <v>369</v>
      </c>
      <c r="K799" s="8" t="s">
        <v>204</v>
      </c>
      <c r="L799" s="8" t="s">
        <v>486</v>
      </c>
      <c r="M799" s="8">
        <v>0</v>
      </c>
      <c r="N799" s="8"/>
    </row>
    <row r="800" spans="5:14" x14ac:dyDescent="0.35">
      <c r="E800" s="1" t="s">
        <v>2081</v>
      </c>
      <c r="F800" s="1" t="s">
        <v>359</v>
      </c>
      <c r="G800" s="1">
        <v>1</v>
      </c>
      <c r="H800" s="1" t="s">
        <v>2086</v>
      </c>
      <c r="I800" s="1" t="s">
        <v>359</v>
      </c>
      <c r="K800" s="8" t="s">
        <v>204</v>
      </c>
      <c r="L800" s="8" t="s">
        <v>487</v>
      </c>
      <c r="M800" s="8">
        <v>0</v>
      </c>
      <c r="N800" s="8"/>
    </row>
    <row r="801" spans="5:14" x14ac:dyDescent="0.35">
      <c r="E801" s="1" t="s">
        <v>2081</v>
      </c>
      <c r="F801" s="1" t="s">
        <v>375</v>
      </c>
      <c r="G801" s="1">
        <v>1</v>
      </c>
      <c r="H801" s="1" t="s">
        <v>2086</v>
      </c>
      <c r="I801" s="1" t="s">
        <v>375</v>
      </c>
      <c r="K801" s="8" t="s">
        <v>204</v>
      </c>
      <c r="L801" s="8" t="s">
        <v>488</v>
      </c>
      <c r="M801" s="8">
        <v>0</v>
      </c>
      <c r="N801" s="8"/>
    </row>
    <row r="802" spans="5:14" x14ac:dyDescent="0.35">
      <c r="E802" s="1" t="s">
        <v>2081</v>
      </c>
      <c r="F802" s="1" t="s">
        <v>376</v>
      </c>
      <c r="G802" s="1">
        <v>1</v>
      </c>
      <c r="H802" s="1" t="s">
        <v>2086</v>
      </c>
      <c r="I802" s="1" t="s">
        <v>376</v>
      </c>
      <c r="K802" s="8" t="s">
        <v>204</v>
      </c>
      <c r="L802" s="8" t="s">
        <v>489</v>
      </c>
      <c r="M802" s="8">
        <v>0</v>
      </c>
      <c r="N802" s="8"/>
    </row>
    <row r="803" spans="5:14" x14ac:dyDescent="0.35">
      <c r="E803" s="1" t="s">
        <v>2081</v>
      </c>
      <c r="F803" s="1" t="s">
        <v>355</v>
      </c>
      <c r="G803" s="1">
        <v>1</v>
      </c>
      <c r="H803" s="1" t="s">
        <v>2086</v>
      </c>
      <c r="I803" s="1" t="s">
        <v>355</v>
      </c>
      <c r="K803" s="8" t="s">
        <v>204</v>
      </c>
      <c r="L803" s="8" t="s">
        <v>490</v>
      </c>
      <c r="M803" s="8">
        <v>0</v>
      </c>
      <c r="N803" s="8"/>
    </row>
    <row r="804" spans="5:14" x14ac:dyDescent="0.35">
      <c r="E804" s="1" t="s">
        <v>2082</v>
      </c>
      <c r="F804" s="1" t="s">
        <v>358</v>
      </c>
      <c r="G804" s="1">
        <v>1</v>
      </c>
      <c r="H804" s="1" t="s">
        <v>2079</v>
      </c>
      <c r="I804" s="1" t="s">
        <v>358</v>
      </c>
      <c r="K804" s="8" t="s">
        <v>204</v>
      </c>
      <c r="L804" s="8" t="s">
        <v>1192</v>
      </c>
      <c r="M804" s="8">
        <v>0</v>
      </c>
      <c r="N804" s="8"/>
    </row>
    <row r="805" spans="5:14" x14ac:dyDescent="0.35">
      <c r="E805" s="1" t="s">
        <v>2082</v>
      </c>
      <c r="F805" s="1" t="s">
        <v>357</v>
      </c>
      <c r="G805" s="1">
        <v>1</v>
      </c>
      <c r="H805" s="1" t="s">
        <v>2079</v>
      </c>
      <c r="I805" s="1" t="s">
        <v>357</v>
      </c>
      <c r="K805" s="8" t="s">
        <v>204</v>
      </c>
      <c r="L805" s="8" t="s">
        <v>491</v>
      </c>
      <c r="M805" s="8">
        <v>0</v>
      </c>
      <c r="N805" s="8"/>
    </row>
    <row r="806" spans="5:14" x14ac:dyDescent="0.35">
      <c r="E806" s="1" t="s">
        <v>2082</v>
      </c>
      <c r="F806" s="1" t="s">
        <v>356</v>
      </c>
      <c r="G806" s="1">
        <v>1</v>
      </c>
      <c r="H806" s="1" t="s">
        <v>2079</v>
      </c>
      <c r="I806" s="1" t="s">
        <v>356</v>
      </c>
      <c r="K806" s="8" t="s">
        <v>204</v>
      </c>
      <c r="L806" s="8" t="s">
        <v>492</v>
      </c>
      <c r="M806" s="8">
        <v>0</v>
      </c>
      <c r="N806" s="8"/>
    </row>
    <row r="807" spans="5:14" x14ac:dyDescent="0.35">
      <c r="E807" s="1" t="s">
        <v>2082</v>
      </c>
      <c r="F807" s="1" t="s">
        <v>375</v>
      </c>
      <c r="G807" s="1">
        <v>1</v>
      </c>
      <c r="H807" s="1" t="s">
        <v>2079</v>
      </c>
      <c r="I807" s="1" t="s">
        <v>375</v>
      </c>
      <c r="K807" s="8" t="s">
        <v>204</v>
      </c>
      <c r="L807" s="8" t="s">
        <v>493</v>
      </c>
      <c r="M807" s="8">
        <v>0</v>
      </c>
      <c r="N807" s="8"/>
    </row>
    <row r="808" spans="5:14" x14ac:dyDescent="0.35">
      <c r="E808" s="1" t="s">
        <v>2082</v>
      </c>
      <c r="F808" s="1" t="s">
        <v>376</v>
      </c>
      <c r="G808" s="1">
        <v>1</v>
      </c>
      <c r="H808" s="1" t="s">
        <v>2079</v>
      </c>
      <c r="I808" s="1" t="s">
        <v>376</v>
      </c>
      <c r="K808" s="8" t="s">
        <v>204</v>
      </c>
      <c r="L808" s="8" t="s">
        <v>494</v>
      </c>
      <c r="M808" s="8">
        <v>0</v>
      </c>
      <c r="N808" s="8"/>
    </row>
    <row r="809" spans="5:14" x14ac:dyDescent="0.35">
      <c r="E809" s="1" t="s">
        <v>2082</v>
      </c>
      <c r="F809" s="1" t="s">
        <v>355</v>
      </c>
      <c r="G809" s="1">
        <v>1</v>
      </c>
      <c r="H809" s="1" t="s">
        <v>2079</v>
      </c>
      <c r="I809" s="1" t="s">
        <v>355</v>
      </c>
      <c r="K809" s="8" t="s">
        <v>204</v>
      </c>
      <c r="L809" s="8" t="s">
        <v>495</v>
      </c>
      <c r="M809" s="8">
        <v>0</v>
      </c>
      <c r="N809" s="8"/>
    </row>
    <row r="810" spans="5:14" x14ac:dyDescent="0.35">
      <c r="E810" s="1" t="s">
        <v>2082</v>
      </c>
      <c r="F810" s="1" t="s">
        <v>372</v>
      </c>
      <c r="G810" s="1">
        <v>1</v>
      </c>
      <c r="H810" s="1" t="s">
        <v>264</v>
      </c>
      <c r="I810" s="1" t="s">
        <v>372</v>
      </c>
      <c r="K810" s="8" t="s">
        <v>205</v>
      </c>
      <c r="L810" s="8" t="s">
        <v>400</v>
      </c>
      <c r="M810" s="8">
        <v>1</v>
      </c>
      <c r="N810" s="8"/>
    </row>
    <row r="811" spans="5:14" x14ac:dyDescent="0.35">
      <c r="E811" s="1" t="s">
        <v>2083</v>
      </c>
      <c r="F811" s="1" t="s">
        <v>358</v>
      </c>
      <c r="G811" s="1">
        <v>1</v>
      </c>
      <c r="H811" s="1" t="s">
        <v>2079</v>
      </c>
      <c r="I811" s="1" t="s">
        <v>358</v>
      </c>
      <c r="K811" s="8" t="s">
        <v>205</v>
      </c>
      <c r="L811" s="8" t="s">
        <v>401</v>
      </c>
      <c r="M811" s="8">
        <v>1</v>
      </c>
      <c r="N811" s="8"/>
    </row>
    <row r="812" spans="5:14" x14ac:dyDescent="0.35">
      <c r="E812" s="1" t="s">
        <v>2083</v>
      </c>
      <c r="F812" s="1" t="s">
        <v>357</v>
      </c>
      <c r="G812" s="1">
        <v>1</v>
      </c>
      <c r="H812" s="1" t="s">
        <v>2079</v>
      </c>
      <c r="I812" s="1" t="s">
        <v>357</v>
      </c>
      <c r="K812" s="8" t="s">
        <v>205</v>
      </c>
      <c r="L812" s="8" t="s">
        <v>402</v>
      </c>
      <c r="M812" s="8">
        <v>1</v>
      </c>
      <c r="N812" s="8"/>
    </row>
    <row r="813" spans="5:14" x14ac:dyDescent="0.35">
      <c r="E813" s="1" t="s">
        <v>2083</v>
      </c>
      <c r="F813" s="1" t="s">
        <v>356</v>
      </c>
      <c r="G813" s="1">
        <v>1</v>
      </c>
      <c r="H813" s="1" t="s">
        <v>2079</v>
      </c>
      <c r="I813" s="1" t="s">
        <v>356</v>
      </c>
      <c r="K813" s="8" t="s">
        <v>205</v>
      </c>
      <c r="L813" s="8" t="s">
        <v>610</v>
      </c>
      <c r="M813" s="8">
        <v>1</v>
      </c>
      <c r="N813" s="8" t="s">
        <v>476</v>
      </c>
    </row>
    <row r="814" spans="5:14" x14ac:dyDescent="0.35">
      <c r="E814" s="1" t="s">
        <v>2083</v>
      </c>
      <c r="F814" s="1" t="s">
        <v>375</v>
      </c>
      <c r="G814" s="1">
        <v>1</v>
      </c>
      <c r="H814" s="1" t="s">
        <v>2079</v>
      </c>
      <c r="I814" s="1" t="s">
        <v>375</v>
      </c>
      <c r="K814" s="8" t="s">
        <v>205</v>
      </c>
      <c r="L814" s="8" t="s">
        <v>611</v>
      </c>
      <c r="M814" s="8">
        <v>1</v>
      </c>
      <c r="N814" s="8" t="s">
        <v>612</v>
      </c>
    </row>
    <row r="815" spans="5:14" x14ac:dyDescent="0.35">
      <c r="E815" s="1" t="s">
        <v>2083</v>
      </c>
      <c r="F815" s="1" t="s">
        <v>376</v>
      </c>
      <c r="G815" s="1">
        <v>1</v>
      </c>
      <c r="H815" s="1" t="s">
        <v>2079</v>
      </c>
      <c r="I815" s="1" t="s">
        <v>376</v>
      </c>
      <c r="K815" s="8" t="s">
        <v>205</v>
      </c>
      <c r="L815" s="8" t="s">
        <v>613</v>
      </c>
      <c r="M815" s="8">
        <v>1</v>
      </c>
      <c r="N815" s="8" t="s">
        <v>517</v>
      </c>
    </row>
    <row r="816" spans="5:14" x14ac:dyDescent="0.35">
      <c r="E816" s="1" t="s">
        <v>2083</v>
      </c>
      <c r="F816" s="1" t="s">
        <v>355</v>
      </c>
      <c r="G816" s="1">
        <v>1</v>
      </c>
      <c r="H816" s="1" t="s">
        <v>2079</v>
      </c>
      <c r="I816" s="1" t="s">
        <v>355</v>
      </c>
      <c r="K816" s="8" t="s">
        <v>205</v>
      </c>
      <c r="L816" s="8" t="s">
        <v>614</v>
      </c>
      <c r="M816" s="8">
        <v>0</v>
      </c>
      <c r="N816" s="8"/>
    </row>
    <row r="817" spans="5:14" x14ac:dyDescent="0.35">
      <c r="E817" s="1" t="s">
        <v>2083</v>
      </c>
      <c r="F817" s="1" t="s">
        <v>372</v>
      </c>
      <c r="G817" s="1">
        <v>1</v>
      </c>
      <c r="H817" s="1" t="s">
        <v>266</v>
      </c>
      <c r="I817" s="1" t="s">
        <v>372</v>
      </c>
      <c r="K817" s="8" t="s">
        <v>205</v>
      </c>
      <c r="L817" s="8" t="s">
        <v>480</v>
      </c>
      <c r="M817" s="8">
        <v>0</v>
      </c>
      <c r="N817" s="8"/>
    </row>
    <row r="818" spans="5:14" x14ac:dyDescent="0.35">
      <c r="E818" s="1" t="s">
        <v>2084</v>
      </c>
      <c r="F818" s="1" t="s">
        <v>361</v>
      </c>
      <c r="G818" s="1">
        <v>1</v>
      </c>
      <c r="H818" s="1" t="s">
        <v>2086</v>
      </c>
      <c r="I818" s="1" t="s">
        <v>361</v>
      </c>
      <c r="K818" s="8" t="s">
        <v>205</v>
      </c>
      <c r="L818" s="8" t="s">
        <v>481</v>
      </c>
      <c r="M818" s="8">
        <v>0</v>
      </c>
      <c r="N818" s="8"/>
    </row>
    <row r="819" spans="5:14" x14ac:dyDescent="0.35">
      <c r="E819" s="1" t="s">
        <v>2084</v>
      </c>
      <c r="F819" s="1" t="s">
        <v>360</v>
      </c>
      <c r="G819" s="1">
        <v>1</v>
      </c>
      <c r="H819" s="1" t="s">
        <v>2086</v>
      </c>
      <c r="I819" s="1" t="s">
        <v>360</v>
      </c>
      <c r="K819" s="8" t="s">
        <v>205</v>
      </c>
      <c r="L819" s="8" t="s">
        <v>482</v>
      </c>
      <c r="M819" s="8">
        <v>0</v>
      </c>
      <c r="N819" s="8"/>
    </row>
    <row r="820" spans="5:14" x14ac:dyDescent="0.35">
      <c r="E820" s="1" t="s">
        <v>2084</v>
      </c>
      <c r="F820" s="1" t="s">
        <v>359</v>
      </c>
      <c r="G820" s="1">
        <v>1</v>
      </c>
      <c r="H820" s="1" t="s">
        <v>2086</v>
      </c>
      <c r="I820" s="1" t="s">
        <v>359</v>
      </c>
      <c r="K820" s="8" t="s">
        <v>205</v>
      </c>
      <c r="L820" s="8" t="s">
        <v>483</v>
      </c>
      <c r="M820" s="8">
        <v>0</v>
      </c>
      <c r="N820" s="8"/>
    </row>
    <row r="821" spans="5:14" x14ac:dyDescent="0.35">
      <c r="E821" s="1" t="s">
        <v>2084</v>
      </c>
      <c r="F821" s="1" t="s">
        <v>375</v>
      </c>
      <c r="G821" s="1">
        <v>1</v>
      </c>
      <c r="H821" s="1" t="s">
        <v>2086</v>
      </c>
      <c r="I821" s="1" t="s">
        <v>375</v>
      </c>
      <c r="K821" s="8" t="s">
        <v>205</v>
      </c>
      <c r="L821" s="8" t="s">
        <v>484</v>
      </c>
      <c r="M821" s="8">
        <v>0</v>
      </c>
      <c r="N821" s="8"/>
    </row>
    <row r="822" spans="5:14" x14ac:dyDescent="0.35">
      <c r="E822" s="1" t="s">
        <v>2084</v>
      </c>
      <c r="F822" s="1" t="s">
        <v>376</v>
      </c>
      <c r="G822" s="1">
        <v>1</v>
      </c>
      <c r="H822" s="1" t="s">
        <v>2086</v>
      </c>
      <c r="I822" s="1" t="s">
        <v>376</v>
      </c>
      <c r="K822" s="8" t="s">
        <v>205</v>
      </c>
      <c r="L822" s="8" t="s">
        <v>375</v>
      </c>
      <c r="M822" s="8">
        <v>1</v>
      </c>
      <c r="N822" s="8"/>
    </row>
    <row r="823" spans="5:14" x14ac:dyDescent="0.35">
      <c r="E823" s="1" t="s">
        <v>2084</v>
      </c>
      <c r="F823" s="1" t="s">
        <v>355</v>
      </c>
      <c r="G823" s="1">
        <v>1</v>
      </c>
      <c r="H823" s="1" t="s">
        <v>2086</v>
      </c>
      <c r="I823" s="1" t="s">
        <v>355</v>
      </c>
      <c r="K823" s="8" t="s">
        <v>205</v>
      </c>
      <c r="L823" s="8" t="s">
        <v>376</v>
      </c>
      <c r="M823" s="8">
        <v>1</v>
      </c>
      <c r="N823" s="8"/>
    </row>
    <row r="824" spans="5:14" x14ac:dyDescent="0.35">
      <c r="E824" s="1" t="s">
        <v>2084</v>
      </c>
      <c r="F824" s="1" t="s">
        <v>372</v>
      </c>
      <c r="G824" s="1">
        <v>1</v>
      </c>
      <c r="H824" s="1" t="s">
        <v>266</v>
      </c>
      <c r="I824" s="1" t="s">
        <v>372</v>
      </c>
      <c r="K824" s="8" t="s">
        <v>205</v>
      </c>
      <c r="L824" s="8" t="s">
        <v>615</v>
      </c>
      <c r="M824" s="8">
        <v>0</v>
      </c>
      <c r="N824" s="8"/>
    </row>
    <row r="825" spans="5:14" x14ac:dyDescent="0.35">
      <c r="E825" s="1" t="s">
        <v>2085</v>
      </c>
      <c r="F825" s="1" t="s">
        <v>361</v>
      </c>
      <c r="G825" s="1">
        <v>1</v>
      </c>
      <c r="H825" s="1" t="s">
        <v>2086</v>
      </c>
      <c r="I825" s="1" t="s">
        <v>361</v>
      </c>
      <c r="K825" s="8" t="s">
        <v>205</v>
      </c>
      <c r="L825" s="8" t="s">
        <v>616</v>
      </c>
      <c r="M825" s="8">
        <v>1</v>
      </c>
      <c r="N825" s="8" t="s">
        <v>476</v>
      </c>
    </row>
    <row r="826" spans="5:14" x14ac:dyDescent="0.35">
      <c r="E826" s="1" t="s">
        <v>2085</v>
      </c>
      <c r="F826" s="1" t="s">
        <v>360</v>
      </c>
      <c r="G826" s="1">
        <v>1</v>
      </c>
      <c r="H826" s="1" t="s">
        <v>2086</v>
      </c>
      <c r="I826" s="1" t="s">
        <v>360</v>
      </c>
      <c r="K826" s="8" t="s">
        <v>205</v>
      </c>
      <c r="L826" s="8" t="s">
        <v>617</v>
      </c>
      <c r="M826" s="8">
        <v>1</v>
      </c>
      <c r="N826" s="8" t="s">
        <v>612</v>
      </c>
    </row>
    <row r="827" spans="5:14" x14ac:dyDescent="0.35">
      <c r="E827" s="1" t="s">
        <v>2085</v>
      </c>
      <c r="F827" s="1" t="s">
        <v>359</v>
      </c>
      <c r="G827" s="1">
        <v>1</v>
      </c>
      <c r="H827" s="1" t="s">
        <v>2086</v>
      </c>
      <c r="I827" s="1" t="s">
        <v>359</v>
      </c>
      <c r="K827" s="8" t="s">
        <v>205</v>
      </c>
      <c r="L827" s="8" t="s">
        <v>618</v>
      </c>
      <c r="M827" s="8">
        <v>1</v>
      </c>
      <c r="N827" s="8" t="s">
        <v>619</v>
      </c>
    </row>
    <row r="828" spans="5:14" x14ac:dyDescent="0.35">
      <c r="E828" s="1" t="s">
        <v>2085</v>
      </c>
      <c r="F828" s="1" t="s">
        <v>375</v>
      </c>
      <c r="G828" s="1">
        <v>1</v>
      </c>
      <c r="H828" s="1" t="s">
        <v>2086</v>
      </c>
      <c r="I828" s="1" t="s">
        <v>375</v>
      </c>
      <c r="K828" s="8" t="s">
        <v>205</v>
      </c>
      <c r="L828" s="8" t="s">
        <v>486</v>
      </c>
      <c r="M828" s="8">
        <v>0</v>
      </c>
      <c r="N828" s="8"/>
    </row>
    <row r="829" spans="5:14" x14ac:dyDescent="0.35">
      <c r="E829" s="1" t="s">
        <v>2085</v>
      </c>
      <c r="F829" s="1" t="s">
        <v>376</v>
      </c>
      <c r="G829" s="1">
        <v>1</v>
      </c>
      <c r="H829" s="1" t="s">
        <v>2086</v>
      </c>
      <c r="I829" s="1" t="s">
        <v>376</v>
      </c>
      <c r="K829" s="8" t="s">
        <v>205</v>
      </c>
      <c r="L829" s="8" t="s">
        <v>487</v>
      </c>
      <c r="M829" s="8">
        <v>0</v>
      </c>
      <c r="N829" s="8"/>
    </row>
    <row r="830" spans="5:14" x14ac:dyDescent="0.35">
      <c r="E830" s="1" t="s">
        <v>2085</v>
      </c>
      <c r="F830" s="1" t="s">
        <v>355</v>
      </c>
      <c r="G830" s="1">
        <v>1</v>
      </c>
      <c r="H830" s="1" t="s">
        <v>2086</v>
      </c>
      <c r="I830" s="1" t="s">
        <v>355</v>
      </c>
      <c r="K830" s="8" t="s">
        <v>205</v>
      </c>
      <c r="L830" s="8" t="s">
        <v>488</v>
      </c>
      <c r="M830" s="8">
        <v>0</v>
      </c>
      <c r="N830" s="8"/>
    </row>
    <row r="831" spans="5:14" x14ac:dyDescent="0.35">
      <c r="E831" s="1" t="s">
        <v>2085</v>
      </c>
      <c r="F831" s="1" t="s">
        <v>372</v>
      </c>
      <c r="G831" s="1">
        <v>1</v>
      </c>
      <c r="H831" s="1" t="s">
        <v>264</v>
      </c>
      <c r="I831" s="1" t="s">
        <v>372</v>
      </c>
      <c r="K831" s="8" t="s">
        <v>205</v>
      </c>
      <c r="L831" s="8" t="s">
        <v>489</v>
      </c>
      <c r="M831" s="8">
        <v>0</v>
      </c>
      <c r="N831" s="8"/>
    </row>
    <row r="832" spans="5:14" x14ac:dyDescent="0.35">
      <c r="E832" s="1" t="s">
        <v>2086</v>
      </c>
      <c r="F832" s="1" t="s">
        <v>361</v>
      </c>
      <c r="G832" s="1">
        <v>1</v>
      </c>
      <c r="H832" s="1" t="s">
        <v>198</v>
      </c>
      <c r="I832" s="1" t="s">
        <v>361</v>
      </c>
      <c r="K832" s="8" t="s">
        <v>205</v>
      </c>
      <c r="L832" s="8" t="s">
        <v>490</v>
      </c>
      <c r="M832" s="8">
        <v>0</v>
      </c>
      <c r="N832" s="8"/>
    </row>
    <row r="833" spans="5:14" x14ac:dyDescent="0.35">
      <c r="E833" s="1" t="s">
        <v>2086</v>
      </c>
      <c r="F833" s="1" t="s">
        <v>360</v>
      </c>
      <c r="G833" s="1">
        <v>1</v>
      </c>
      <c r="H833" s="1" t="s">
        <v>198</v>
      </c>
      <c r="I833" s="1" t="s">
        <v>360</v>
      </c>
      <c r="K833" s="8" t="s">
        <v>205</v>
      </c>
      <c r="L833" s="8" t="s">
        <v>491</v>
      </c>
      <c r="M833" s="8">
        <v>0</v>
      </c>
      <c r="N833" s="8"/>
    </row>
    <row r="834" spans="5:14" x14ac:dyDescent="0.35">
      <c r="E834" s="1" t="s">
        <v>2086</v>
      </c>
      <c r="F834" s="1" t="s">
        <v>359</v>
      </c>
      <c r="G834" s="1">
        <v>1</v>
      </c>
      <c r="H834" s="1" t="s">
        <v>198</v>
      </c>
      <c r="I834" s="1" t="s">
        <v>359</v>
      </c>
      <c r="K834" s="8" t="s">
        <v>205</v>
      </c>
      <c r="L834" s="8" t="s">
        <v>492</v>
      </c>
      <c r="M834" s="8">
        <v>0</v>
      </c>
      <c r="N834" s="8"/>
    </row>
    <row r="835" spans="5:14" x14ac:dyDescent="0.35">
      <c r="E835" s="1" t="s">
        <v>2086</v>
      </c>
      <c r="F835" s="1" t="s">
        <v>375</v>
      </c>
      <c r="G835" s="1">
        <v>1</v>
      </c>
      <c r="H835" s="1" t="s">
        <v>226</v>
      </c>
      <c r="I835" s="1" t="s">
        <v>375</v>
      </c>
      <c r="K835" s="8" t="s">
        <v>205</v>
      </c>
      <c r="L835" s="8" t="s">
        <v>493</v>
      </c>
      <c r="M835" s="8">
        <v>0</v>
      </c>
      <c r="N835" s="8"/>
    </row>
    <row r="836" spans="5:14" x14ac:dyDescent="0.35">
      <c r="E836" s="1" t="s">
        <v>2086</v>
      </c>
      <c r="F836" s="1" t="s">
        <v>376</v>
      </c>
      <c r="G836" s="1">
        <v>1</v>
      </c>
      <c r="H836" s="1" t="s">
        <v>226</v>
      </c>
      <c r="I836" s="1" t="s">
        <v>376</v>
      </c>
      <c r="K836" s="8" t="s">
        <v>205</v>
      </c>
      <c r="L836" s="8" t="s">
        <v>494</v>
      </c>
      <c r="M836" s="8">
        <v>0</v>
      </c>
      <c r="N836" s="8"/>
    </row>
    <row r="837" spans="5:14" x14ac:dyDescent="0.35">
      <c r="E837" s="1" t="s">
        <v>2086</v>
      </c>
      <c r="F837" s="1" t="s">
        <v>355</v>
      </c>
      <c r="G837" s="1">
        <v>1</v>
      </c>
      <c r="H837" s="1" t="s">
        <v>198</v>
      </c>
      <c r="I837" s="1" t="s">
        <v>355</v>
      </c>
      <c r="K837" s="8" t="s">
        <v>205</v>
      </c>
      <c r="L837" s="8" t="s">
        <v>495</v>
      </c>
      <c r="M837" s="8">
        <v>0</v>
      </c>
      <c r="N837" s="8"/>
    </row>
    <row r="838" spans="5:14" x14ac:dyDescent="0.35">
      <c r="E838" s="1" t="s">
        <v>2087</v>
      </c>
      <c r="F838" s="1" t="s">
        <v>358</v>
      </c>
      <c r="G838" s="1">
        <v>1</v>
      </c>
      <c r="H838" s="1" t="s">
        <v>197</v>
      </c>
      <c r="I838" s="1" t="s">
        <v>358</v>
      </c>
      <c r="K838" s="8" t="s">
        <v>206</v>
      </c>
      <c r="L838" s="8" t="s">
        <v>403</v>
      </c>
      <c r="M838" s="8">
        <v>1</v>
      </c>
      <c r="N838" s="8"/>
    </row>
    <row r="839" spans="5:14" x14ac:dyDescent="0.35">
      <c r="E839" s="1" t="s">
        <v>2087</v>
      </c>
      <c r="F839" s="1" t="s">
        <v>357</v>
      </c>
      <c r="G839" s="1">
        <v>1</v>
      </c>
      <c r="H839" s="1" t="s">
        <v>197</v>
      </c>
      <c r="I839" s="1" t="s">
        <v>357</v>
      </c>
      <c r="K839" s="8" t="s">
        <v>206</v>
      </c>
      <c r="L839" s="8" t="s">
        <v>404</v>
      </c>
      <c r="M839" s="8">
        <v>1</v>
      </c>
      <c r="N839" s="8"/>
    </row>
    <row r="840" spans="5:14" x14ac:dyDescent="0.35">
      <c r="E840" s="1" t="s">
        <v>2087</v>
      </c>
      <c r="F840" s="1" t="s">
        <v>369</v>
      </c>
      <c r="G840" s="1">
        <v>1</v>
      </c>
      <c r="H840" s="1" t="s">
        <v>225</v>
      </c>
      <c r="I840" s="1" t="s">
        <v>369</v>
      </c>
      <c r="K840" s="8" t="s">
        <v>206</v>
      </c>
      <c r="L840" s="8" t="s">
        <v>621</v>
      </c>
      <c r="M840" s="8">
        <v>1</v>
      </c>
      <c r="N840" s="8" t="s">
        <v>612</v>
      </c>
    </row>
    <row r="841" spans="5:14" x14ac:dyDescent="0.35">
      <c r="E841" s="1" t="s">
        <v>2087</v>
      </c>
      <c r="F841" s="1" t="s">
        <v>356</v>
      </c>
      <c r="G841" s="1">
        <v>1</v>
      </c>
      <c r="H841" s="1" t="s">
        <v>197</v>
      </c>
      <c r="I841" s="1" t="s">
        <v>356</v>
      </c>
      <c r="K841" s="8" t="s">
        <v>206</v>
      </c>
      <c r="L841" s="8" t="s">
        <v>620</v>
      </c>
      <c r="M841" s="8">
        <v>1</v>
      </c>
      <c r="N841" s="8" t="s">
        <v>476</v>
      </c>
    </row>
    <row r="842" spans="5:14" x14ac:dyDescent="0.35">
      <c r="E842" s="1" t="s">
        <v>2087</v>
      </c>
      <c r="F842" s="1" t="s">
        <v>2170</v>
      </c>
      <c r="G842" s="1">
        <v>1</v>
      </c>
      <c r="K842" s="8" t="s">
        <v>206</v>
      </c>
      <c r="L842" s="8" t="s">
        <v>375</v>
      </c>
      <c r="M842" s="8">
        <v>1</v>
      </c>
      <c r="N842" s="8"/>
    </row>
    <row r="843" spans="5:14" x14ac:dyDescent="0.35">
      <c r="E843" s="1" t="s">
        <v>2087</v>
      </c>
      <c r="F843" s="1" t="s">
        <v>355</v>
      </c>
      <c r="G843" s="1">
        <v>1</v>
      </c>
      <c r="H843" s="1" t="s">
        <v>197</v>
      </c>
      <c r="I843" s="1" t="s">
        <v>355</v>
      </c>
      <c r="K843" s="8" t="s">
        <v>206</v>
      </c>
      <c r="L843" s="8" t="s">
        <v>376</v>
      </c>
      <c r="M843" s="8">
        <v>1</v>
      </c>
      <c r="N843" s="8"/>
    </row>
    <row r="844" spans="5:14" x14ac:dyDescent="0.35">
      <c r="E844" s="1" t="s">
        <v>2088</v>
      </c>
      <c r="F844" s="1" t="s">
        <v>361</v>
      </c>
      <c r="G844" s="1">
        <v>1</v>
      </c>
      <c r="H844" s="1" t="s">
        <v>198</v>
      </c>
      <c r="I844" s="1" t="s">
        <v>361</v>
      </c>
      <c r="K844" s="8" t="s">
        <v>207</v>
      </c>
      <c r="L844" s="8" t="s">
        <v>1056</v>
      </c>
      <c r="M844" s="8">
        <v>0</v>
      </c>
      <c r="N844" s="8"/>
    </row>
    <row r="845" spans="5:14" x14ac:dyDescent="0.35">
      <c r="E845" s="1" t="s">
        <v>2088</v>
      </c>
      <c r="F845" s="1" t="s">
        <v>360</v>
      </c>
      <c r="G845" s="1">
        <v>1</v>
      </c>
      <c r="H845" s="1" t="s">
        <v>198</v>
      </c>
      <c r="I845" s="1" t="s">
        <v>360</v>
      </c>
      <c r="K845" s="8" t="s">
        <v>207</v>
      </c>
      <c r="L845" s="8" t="s">
        <v>1057</v>
      </c>
      <c r="M845" s="8">
        <v>0</v>
      </c>
      <c r="N845" s="8"/>
    </row>
    <row r="846" spans="5:14" x14ac:dyDescent="0.35">
      <c r="E846" s="1" t="s">
        <v>2088</v>
      </c>
      <c r="F846" s="1" t="s">
        <v>369</v>
      </c>
      <c r="G846" s="1">
        <v>1</v>
      </c>
      <c r="H846" s="1" t="s">
        <v>225</v>
      </c>
      <c r="I846" s="1" t="s">
        <v>369</v>
      </c>
      <c r="K846" s="8" t="s">
        <v>207</v>
      </c>
      <c r="L846" s="8" t="s">
        <v>1058</v>
      </c>
      <c r="M846" s="8">
        <v>0</v>
      </c>
      <c r="N846" s="8"/>
    </row>
    <row r="847" spans="5:14" x14ac:dyDescent="0.35">
      <c r="E847" s="1" t="s">
        <v>2088</v>
      </c>
      <c r="F847" s="1" t="s">
        <v>359</v>
      </c>
      <c r="G847" s="1">
        <v>1</v>
      </c>
      <c r="H847" s="1" t="s">
        <v>198</v>
      </c>
      <c r="I847" s="1" t="s">
        <v>359</v>
      </c>
      <c r="K847" s="8" t="s">
        <v>207</v>
      </c>
      <c r="L847" s="8" t="s">
        <v>1059</v>
      </c>
      <c r="M847" s="8">
        <v>0</v>
      </c>
      <c r="N847" s="8"/>
    </row>
    <row r="848" spans="5:14" x14ac:dyDescent="0.35">
      <c r="E848" s="1" t="s">
        <v>2088</v>
      </c>
      <c r="F848" s="1" t="s">
        <v>2171</v>
      </c>
      <c r="G848" s="1">
        <v>1</v>
      </c>
      <c r="K848" s="8" t="s">
        <v>207</v>
      </c>
      <c r="L848" s="8" t="s">
        <v>405</v>
      </c>
      <c r="M848" s="8">
        <v>1</v>
      </c>
      <c r="N848" s="8"/>
    </row>
    <row r="849" spans="5:14" x14ac:dyDescent="0.35">
      <c r="E849" s="1" t="s">
        <v>2088</v>
      </c>
      <c r="F849" s="1" t="s">
        <v>355</v>
      </c>
      <c r="G849" s="1">
        <v>1</v>
      </c>
      <c r="H849" s="1" t="s">
        <v>198</v>
      </c>
      <c r="I849" s="1" t="s">
        <v>355</v>
      </c>
      <c r="K849" s="8" t="s">
        <v>207</v>
      </c>
      <c r="L849" s="8" t="s">
        <v>1060</v>
      </c>
      <c r="M849" s="8">
        <v>0</v>
      </c>
      <c r="N849" s="8"/>
    </row>
    <row r="850" spans="5:14" x14ac:dyDescent="0.35">
      <c r="E850" s="1" t="s">
        <v>2089</v>
      </c>
      <c r="F850" s="1" t="s">
        <v>358</v>
      </c>
      <c r="G850" s="1">
        <v>1</v>
      </c>
      <c r="H850" s="1" t="s">
        <v>197</v>
      </c>
      <c r="I850" s="1" t="s">
        <v>358</v>
      </c>
      <c r="K850" s="8" t="s">
        <v>207</v>
      </c>
      <c r="L850" s="8" t="s">
        <v>480</v>
      </c>
      <c r="M850" s="8">
        <v>0</v>
      </c>
      <c r="N850" s="8"/>
    </row>
    <row r="851" spans="5:14" x14ac:dyDescent="0.35">
      <c r="E851" s="1" t="s">
        <v>2089</v>
      </c>
      <c r="F851" s="1" t="s">
        <v>357</v>
      </c>
      <c r="G851" s="1">
        <v>1</v>
      </c>
      <c r="H851" s="1" t="s">
        <v>197</v>
      </c>
      <c r="I851" s="1" t="s">
        <v>357</v>
      </c>
      <c r="K851" s="8" t="s">
        <v>207</v>
      </c>
      <c r="L851" s="8" t="s">
        <v>481</v>
      </c>
      <c r="M851" s="8">
        <v>0</v>
      </c>
      <c r="N851" s="8"/>
    </row>
    <row r="852" spans="5:14" x14ac:dyDescent="0.35">
      <c r="E852" s="1" t="s">
        <v>2089</v>
      </c>
      <c r="F852" s="1" t="s">
        <v>356</v>
      </c>
      <c r="G852" s="1">
        <v>1</v>
      </c>
      <c r="H852" s="1" t="s">
        <v>197</v>
      </c>
      <c r="I852" s="1" t="s">
        <v>356</v>
      </c>
      <c r="K852" s="8" t="s">
        <v>207</v>
      </c>
      <c r="L852" s="8" t="s">
        <v>482</v>
      </c>
      <c r="M852" s="8">
        <v>0</v>
      </c>
      <c r="N852" s="8"/>
    </row>
    <row r="853" spans="5:14" x14ac:dyDescent="0.35">
      <c r="E853" s="1" t="s">
        <v>2089</v>
      </c>
      <c r="F853" s="1" t="s">
        <v>375</v>
      </c>
      <c r="G853" s="1">
        <v>1</v>
      </c>
      <c r="H853" s="1" t="s">
        <v>226</v>
      </c>
      <c r="I853" s="1" t="s">
        <v>375</v>
      </c>
      <c r="K853" s="8" t="s">
        <v>207</v>
      </c>
      <c r="L853" s="8" t="s">
        <v>483</v>
      </c>
      <c r="M853" s="8">
        <v>0</v>
      </c>
      <c r="N853" s="8"/>
    </row>
    <row r="854" spans="5:14" x14ac:dyDescent="0.35">
      <c r="E854" s="1" t="s">
        <v>2089</v>
      </c>
      <c r="F854" s="1" t="s">
        <v>376</v>
      </c>
      <c r="G854" s="1">
        <v>1</v>
      </c>
      <c r="H854" s="1" t="s">
        <v>226</v>
      </c>
      <c r="I854" s="1" t="s">
        <v>376</v>
      </c>
      <c r="K854" s="8" t="s">
        <v>207</v>
      </c>
      <c r="L854" s="8" t="s">
        <v>484</v>
      </c>
      <c r="M854" s="8">
        <v>0</v>
      </c>
      <c r="N854" s="8"/>
    </row>
    <row r="855" spans="5:14" x14ac:dyDescent="0.35">
      <c r="E855" s="1" t="s">
        <v>2089</v>
      </c>
      <c r="F855" s="1" t="s">
        <v>355</v>
      </c>
      <c r="G855" s="1">
        <v>1</v>
      </c>
      <c r="H855" s="1" t="s">
        <v>197</v>
      </c>
      <c r="I855" s="1" t="s">
        <v>355</v>
      </c>
      <c r="K855" s="8" t="s">
        <v>207</v>
      </c>
      <c r="L855" s="8" t="s">
        <v>486</v>
      </c>
      <c r="M855" s="8">
        <v>0</v>
      </c>
      <c r="N855" s="8"/>
    </row>
    <row r="856" spans="5:14" x14ac:dyDescent="0.35">
      <c r="E856" s="1" t="s">
        <v>2089</v>
      </c>
      <c r="F856" s="1" t="s">
        <v>438</v>
      </c>
      <c r="G856" s="1">
        <v>1</v>
      </c>
      <c r="H856" s="1" t="s">
        <v>240</v>
      </c>
      <c r="I856" s="1" t="s">
        <v>438</v>
      </c>
      <c r="K856" s="8" t="s">
        <v>207</v>
      </c>
      <c r="L856" s="8" t="s">
        <v>487</v>
      </c>
      <c r="M856" s="8">
        <v>0</v>
      </c>
      <c r="N856" s="8"/>
    </row>
    <row r="857" spans="5:14" x14ac:dyDescent="0.35">
      <c r="E857" s="1" t="s">
        <v>2090</v>
      </c>
      <c r="F857" s="1" t="s">
        <v>375</v>
      </c>
      <c r="G857" s="1">
        <v>1</v>
      </c>
      <c r="H857" s="1" t="s">
        <v>226</v>
      </c>
      <c r="I857" s="1" t="s">
        <v>375</v>
      </c>
      <c r="K857" s="8" t="s">
        <v>207</v>
      </c>
      <c r="L857" s="8" t="s">
        <v>488</v>
      </c>
      <c r="M857" s="8">
        <v>0</v>
      </c>
      <c r="N857" s="8"/>
    </row>
    <row r="858" spans="5:14" x14ac:dyDescent="0.35">
      <c r="E858" s="1" t="s">
        <v>2090</v>
      </c>
      <c r="F858" s="1" t="s">
        <v>376</v>
      </c>
      <c r="G858" s="1">
        <v>1</v>
      </c>
      <c r="H858" s="1" t="s">
        <v>226</v>
      </c>
      <c r="I858" s="1" t="s">
        <v>376</v>
      </c>
      <c r="K858" s="8" t="s">
        <v>207</v>
      </c>
      <c r="L858" s="8" t="s">
        <v>489</v>
      </c>
      <c r="M858" s="8">
        <v>0</v>
      </c>
      <c r="N858" s="8"/>
    </row>
    <row r="859" spans="5:14" x14ac:dyDescent="0.35">
      <c r="E859" s="1" t="s">
        <v>2090</v>
      </c>
      <c r="F859" s="1" t="s">
        <v>355</v>
      </c>
      <c r="G859" s="1">
        <v>1</v>
      </c>
      <c r="H859" s="1" t="s">
        <v>292</v>
      </c>
      <c r="I859" s="1" t="s">
        <v>355</v>
      </c>
      <c r="K859" s="8" t="s">
        <v>207</v>
      </c>
      <c r="L859" s="8" t="s">
        <v>490</v>
      </c>
      <c r="M859" s="8">
        <v>0</v>
      </c>
      <c r="N859" s="8"/>
    </row>
    <row r="860" spans="5:14" x14ac:dyDescent="0.35">
      <c r="E860" s="1" t="s">
        <v>2090</v>
      </c>
      <c r="F860" s="1" t="s">
        <v>438</v>
      </c>
      <c r="G860" s="1">
        <v>1</v>
      </c>
      <c r="H860" s="1" t="s">
        <v>240</v>
      </c>
      <c r="I860" s="1" t="s">
        <v>438</v>
      </c>
      <c r="K860" s="8" t="s">
        <v>207</v>
      </c>
      <c r="L860" s="8" t="s">
        <v>491</v>
      </c>
      <c r="M860" s="8">
        <v>0</v>
      </c>
      <c r="N860" s="8"/>
    </row>
    <row r="861" spans="5:14" x14ac:dyDescent="0.35">
      <c r="E861" s="1" t="s">
        <v>292</v>
      </c>
      <c r="F861" s="1" t="s">
        <v>355</v>
      </c>
      <c r="G861" s="1">
        <v>1</v>
      </c>
      <c r="K861" s="8" t="s">
        <v>207</v>
      </c>
      <c r="L861" s="8" t="s">
        <v>492</v>
      </c>
      <c r="M861" s="8">
        <v>0</v>
      </c>
      <c r="N861" s="8"/>
    </row>
    <row r="862" spans="5:14" x14ac:dyDescent="0.35">
      <c r="E862" s="1" t="s">
        <v>292</v>
      </c>
      <c r="F862" s="1" t="s">
        <v>2120</v>
      </c>
      <c r="G862" s="1">
        <v>0</v>
      </c>
      <c r="H862" s="1" t="s">
        <v>2120</v>
      </c>
      <c r="I862" s="1" t="s">
        <v>2120</v>
      </c>
      <c r="K862" s="8" t="s">
        <v>207</v>
      </c>
      <c r="L862" s="8" t="s">
        <v>493</v>
      </c>
      <c r="M862" s="8">
        <v>0</v>
      </c>
      <c r="N862" s="8"/>
    </row>
    <row r="863" spans="5:14" x14ac:dyDescent="0.35">
      <c r="E863" s="1" t="s">
        <v>2091</v>
      </c>
      <c r="F863" s="1" t="s">
        <v>2172</v>
      </c>
      <c r="G863" s="1">
        <v>1</v>
      </c>
      <c r="K863" s="8" t="s">
        <v>208</v>
      </c>
      <c r="L863" s="8" t="s">
        <v>393</v>
      </c>
      <c r="M863" s="8">
        <v>1</v>
      </c>
      <c r="N863" s="8"/>
    </row>
    <row r="864" spans="5:14" x14ac:dyDescent="0.35">
      <c r="E864" s="1" t="s">
        <v>2092</v>
      </c>
      <c r="F864" s="1" t="s">
        <v>2172</v>
      </c>
      <c r="G864" s="1">
        <v>0</v>
      </c>
      <c r="H864" s="1" t="s">
        <v>2091</v>
      </c>
      <c r="I864" s="1" t="s">
        <v>2172</v>
      </c>
      <c r="K864" s="8" t="s">
        <v>208</v>
      </c>
      <c r="L864" s="8" t="s">
        <v>394</v>
      </c>
      <c r="M864" s="8">
        <v>1</v>
      </c>
      <c r="N864" s="8"/>
    </row>
    <row r="865" spans="5:14" x14ac:dyDescent="0.35">
      <c r="E865" s="1" t="s">
        <v>2093</v>
      </c>
      <c r="F865" s="1" t="s">
        <v>431</v>
      </c>
      <c r="G865" s="1">
        <v>1</v>
      </c>
      <c r="K865" s="8" t="s">
        <v>208</v>
      </c>
      <c r="L865" s="8" t="s">
        <v>480</v>
      </c>
      <c r="M865" s="8">
        <v>0</v>
      </c>
      <c r="N865" s="8"/>
    </row>
    <row r="866" spans="5:14" x14ac:dyDescent="0.35">
      <c r="E866" s="1" t="s">
        <v>2093</v>
      </c>
      <c r="F866" s="1" t="s">
        <v>350</v>
      </c>
      <c r="G866" s="1">
        <v>1</v>
      </c>
      <c r="H866" s="1" t="s">
        <v>190</v>
      </c>
      <c r="I866" s="1" t="s">
        <v>350</v>
      </c>
      <c r="K866" s="8" t="s">
        <v>208</v>
      </c>
      <c r="L866" s="8" t="s">
        <v>481</v>
      </c>
      <c r="M866" s="8">
        <v>0</v>
      </c>
      <c r="N866" s="8"/>
    </row>
    <row r="867" spans="5:14" x14ac:dyDescent="0.35">
      <c r="E867" s="1" t="s">
        <v>2093</v>
      </c>
      <c r="F867" s="1" t="s">
        <v>412</v>
      </c>
      <c r="G867" s="1">
        <v>1</v>
      </c>
      <c r="H867" s="1" t="s">
        <v>254</v>
      </c>
      <c r="I867" s="1" t="s">
        <v>412</v>
      </c>
      <c r="K867" s="8" t="s">
        <v>208</v>
      </c>
      <c r="L867" s="8" t="s">
        <v>482</v>
      </c>
      <c r="M867" s="8">
        <v>0</v>
      </c>
      <c r="N867" s="8"/>
    </row>
    <row r="868" spans="5:14" x14ac:dyDescent="0.35">
      <c r="E868" s="1" t="s">
        <v>2093</v>
      </c>
      <c r="F868" s="1" t="s">
        <v>435</v>
      </c>
      <c r="G868" s="1">
        <v>1</v>
      </c>
      <c r="H868" s="1" t="s">
        <v>254</v>
      </c>
      <c r="I868" s="1" t="s">
        <v>435</v>
      </c>
      <c r="K868" s="8" t="s">
        <v>208</v>
      </c>
      <c r="L868" s="8" t="s">
        <v>483</v>
      </c>
      <c r="M868" s="8">
        <v>0</v>
      </c>
      <c r="N868" s="8"/>
    </row>
    <row r="869" spans="5:14" x14ac:dyDescent="0.35">
      <c r="E869" s="1" t="s">
        <v>2093</v>
      </c>
      <c r="F869" s="1" t="s">
        <v>432</v>
      </c>
      <c r="G869" s="1">
        <v>1</v>
      </c>
      <c r="K869" s="8" t="s">
        <v>208</v>
      </c>
      <c r="L869" s="8" t="s">
        <v>484</v>
      </c>
      <c r="M869" s="8">
        <v>0</v>
      </c>
      <c r="N869" s="8"/>
    </row>
    <row r="870" spans="5:14" x14ac:dyDescent="0.35">
      <c r="E870" s="1" t="s">
        <v>2093</v>
      </c>
      <c r="F870" s="1" t="s">
        <v>433</v>
      </c>
      <c r="G870" s="1">
        <v>1</v>
      </c>
      <c r="K870" s="8" t="s">
        <v>208</v>
      </c>
      <c r="L870" s="8" t="s">
        <v>375</v>
      </c>
      <c r="M870" s="8">
        <v>1</v>
      </c>
      <c r="N870" s="8"/>
    </row>
    <row r="871" spans="5:14" x14ac:dyDescent="0.35">
      <c r="E871" s="1" t="s">
        <v>2093</v>
      </c>
      <c r="F871" s="1" t="s">
        <v>434</v>
      </c>
      <c r="G871" s="1">
        <v>1</v>
      </c>
      <c r="K871" s="8" t="s">
        <v>208</v>
      </c>
      <c r="L871" s="8" t="s">
        <v>376</v>
      </c>
      <c r="M871" s="8">
        <v>1</v>
      </c>
      <c r="N871" s="8"/>
    </row>
    <row r="872" spans="5:14" x14ac:dyDescent="0.35">
      <c r="E872" s="1" t="s">
        <v>2094</v>
      </c>
      <c r="F872" s="1" t="s">
        <v>350</v>
      </c>
      <c r="G872" s="1">
        <v>1</v>
      </c>
      <c r="K872" s="8" t="s">
        <v>208</v>
      </c>
      <c r="L872" s="8" t="s">
        <v>486</v>
      </c>
      <c r="M872" s="8">
        <v>0</v>
      </c>
      <c r="N872" s="8"/>
    </row>
    <row r="873" spans="5:14" x14ac:dyDescent="0.35">
      <c r="E873" s="1" t="s">
        <v>2094</v>
      </c>
      <c r="F873" s="1" t="s">
        <v>412</v>
      </c>
      <c r="G873" s="1">
        <v>1</v>
      </c>
      <c r="K873" s="8" t="s">
        <v>208</v>
      </c>
      <c r="L873" s="8" t="s">
        <v>487</v>
      </c>
      <c r="M873" s="8">
        <v>0</v>
      </c>
      <c r="N873" s="8"/>
    </row>
    <row r="874" spans="5:14" x14ac:dyDescent="0.35">
      <c r="E874" s="1" t="s">
        <v>2094</v>
      </c>
      <c r="F874" s="1" t="s">
        <v>435</v>
      </c>
      <c r="G874" s="1">
        <v>1</v>
      </c>
      <c r="K874" s="8" t="s">
        <v>208</v>
      </c>
      <c r="L874" s="8" t="s">
        <v>488</v>
      </c>
      <c r="M874" s="8">
        <v>0</v>
      </c>
      <c r="N874" s="8"/>
    </row>
    <row r="875" spans="5:14" x14ac:dyDescent="0.35">
      <c r="E875" s="1" t="s">
        <v>2094</v>
      </c>
      <c r="F875" s="1" t="s">
        <v>370</v>
      </c>
      <c r="G875" s="1">
        <v>1</v>
      </c>
      <c r="K875" s="8" t="s">
        <v>208</v>
      </c>
      <c r="L875" s="8" t="s">
        <v>489</v>
      </c>
      <c r="M875" s="8">
        <v>0</v>
      </c>
      <c r="N875" s="8"/>
    </row>
    <row r="876" spans="5:14" x14ac:dyDescent="0.35">
      <c r="E876" s="1" t="s">
        <v>2094</v>
      </c>
      <c r="F876" s="1" t="s">
        <v>432</v>
      </c>
      <c r="G876" s="1">
        <v>1</v>
      </c>
      <c r="K876" s="8" t="s">
        <v>208</v>
      </c>
      <c r="L876" s="8" t="s">
        <v>490</v>
      </c>
      <c r="M876" s="8">
        <v>0</v>
      </c>
      <c r="N876" s="8"/>
    </row>
    <row r="877" spans="5:14" x14ac:dyDescent="0.35">
      <c r="E877" s="1" t="s">
        <v>2094</v>
      </c>
      <c r="F877" s="1" t="s">
        <v>433</v>
      </c>
      <c r="G877" s="1">
        <v>1</v>
      </c>
      <c r="K877" s="8" t="s">
        <v>208</v>
      </c>
      <c r="L877" s="8" t="s">
        <v>491</v>
      </c>
      <c r="M877" s="8">
        <v>0</v>
      </c>
      <c r="N877" s="8"/>
    </row>
    <row r="878" spans="5:14" x14ac:dyDescent="0.35">
      <c r="E878" s="1" t="s">
        <v>2094</v>
      </c>
      <c r="F878" s="1" t="s">
        <v>434</v>
      </c>
      <c r="G878" s="1">
        <v>1</v>
      </c>
      <c r="K878" s="8" t="s">
        <v>208</v>
      </c>
      <c r="L878" s="8" t="s">
        <v>492</v>
      </c>
      <c r="M878" s="8">
        <v>0</v>
      </c>
      <c r="N878" s="8"/>
    </row>
    <row r="879" spans="5:14" x14ac:dyDescent="0.35">
      <c r="E879" s="1" t="s">
        <v>2095</v>
      </c>
      <c r="F879" s="1" t="s">
        <v>350</v>
      </c>
      <c r="G879" s="1">
        <v>1</v>
      </c>
      <c r="K879" s="8" t="s">
        <v>208</v>
      </c>
      <c r="L879" s="8" t="s">
        <v>493</v>
      </c>
      <c r="M879" s="8">
        <v>0</v>
      </c>
      <c r="N879" s="8"/>
    </row>
    <row r="880" spans="5:14" x14ac:dyDescent="0.35">
      <c r="E880" s="1" t="s">
        <v>2095</v>
      </c>
      <c r="F880" s="1" t="s">
        <v>412</v>
      </c>
      <c r="G880" s="1">
        <v>1</v>
      </c>
      <c r="K880" s="8" t="s">
        <v>208</v>
      </c>
      <c r="L880" s="8" t="s">
        <v>494</v>
      </c>
      <c r="M880" s="8">
        <v>0</v>
      </c>
      <c r="N880" s="8"/>
    </row>
    <row r="881" spans="5:14" x14ac:dyDescent="0.35">
      <c r="E881" s="1" t="s">
        <v>2095</v>
      </c>
      <c r="F881" s="1" t="s">
        <v>435</v>
      </c>
      <c r="G881" s="1">
        <v>1</v>
      </c>
      <c r="K881" s="8" t="s">
        <v>208</v>
      </c>
      <c r="L881" s="8" t="s">
        <v>495</v>
      </c>
      <c r="M881" s="8">
        <v>0</v>
      </c>
      <c r="N881" s="8"/>
    </row>
    <row r="882" spans="5:14" x14ac:dyDescent="0.35">
      <c r="E882" s="1" t="s">
        <v>2095</v>
      </c>
      <c r="F882" s="1" t="s">
        <v>370</v>
      </c>
      <c r="G882" s="1">
        <v>1</v>
      </c>
      <c r="K882" s="8" t="s">
        <v>209</v>
      </c>
      <c r="L882" s="8" t="s">
        <v>1216</v>
      </c>
      <c r="M882" s="8">
        <v>0</v>
      </c>
      <c r="N882" s="8"/>
    </row>
    <row r="883" spans="5:14" x14ac:dyDescent="0.35">
      <c r="E883" s="1" t="s">
        <v>2095</v>
      </c>
      <c r="F883" s="1" t="s">
        <v>432</v>
      </c>
      <c r="G883" s="1">
        <v>1</v>
      </c>
      <c r="K883" s="8" t="s">
        <v>209</v>
      </c>
      <c r="L883" s="8" t="s">
        <v>1217</v>
      </c>
      <c r="M883" s="8">
        <v>1</v>
      </c>
      <c r="N883" s="8" t="s">
        <v>746</v>
      </c>
    </row>
    <row r="884" spans="5:14" x14ac:dyDescent="0.35">
      <c r="E884" s="1" t="s">
        <v>2095</v>
      </c>
      <c r="F884" s="1" t="s">
        <v>433</v>
      </c>
      <c r="G884" s="1">
        <v>1</v>
      </c>
      <c r="K884" s="8" t="s">
        <v>209</v>
      </c>
      <c r="L884" s="8" t="s">
        <v>1218</v>
      </c>
      <c r="M884" s="8">
        <v>1</v>
      </c>
      <c r="N884" s="8"/>
    </row>
    <row r="885" spans="5:14" x14ac:dyDescent="0.35">
      <c r="E885" s="1" t="s">
        <v>2095</v>
      </c>
      <c r="F885" s="1" t="s">
        <v>434</v>
      </c>
      <c r="G885" s="1">
        <v>1</v>
      </c>
      <c r="K885" s="8" t="s">
        <v>209</v>
      </c>
      <c r="L885" s="8" t="s">
        <v>406</v>
      </c>
      <c r="M885" s="8">
        <v>1</v>
      </c>
      <c r="N885" s="8"/>
    </row>
    <row r="886" spans="5:14" x14ac:dyDescent="0.35">
      <c r="E886" s="1" t="s">
        <v>2096</v>
      </c>
      <c r="F886" s="1" t="s">
        <v>365</v>
      </c>
      <c r="G886" s="1">
        <v>1</v>
      </c>
      <c r="K886" s="8" t="s">
        <v>209</v>
      </c>
      <c r="L886" s="8" t="s">
        <v>1219</v>
      </c>
      <c r="M886" s="8">
        <v>0</v>
      </c>
      <c r="N886" s="8"/>
    </row>
    <row r="887" spans="5:14" x14ac:dyDescent="0.35">
      <c r="E887" s="1" t="s">
        <v>2096</v>
      </c>
      <c r="F887" s="1" t="s">
        <v>364</v>
      </c>
      <c r="G887" s="1">
        <v>1</v>
      </c>
      <c r="K887" s="8" t="s">
        <v>209</v>
      </c>
      <c r="L887" s="8" t="s">
        <v>480</v>
      </c>
      <c r="M887" s="8">
        <v>0</v>
      </c>
      <c r="N887" s="8"/>
    </row>
    <row r="888" spans="5:14" x14ac:dyDescent="0.35">
      <c r="E888" s="1" t="s">
        <v>2096</v>
      </c>
      <c r="F888" s="1" t="s">
        <v>363</v>
      </c>
      <c r="G888" s="1">
        <v>1</v>
      </c>
      <c r="K888" s="8" t="s">
        <v>209</v>
      </c>
      <c r="L888" s="8" t="s">
        <v>481</v>
      </c>
      <c r="M888" s="8">
        <v>0</v>
      </c>
      <c r="N888" s="8"/>
    </row>
    <row r="889" spans="5:14" x14ac:dyDescent="0.35">
      <c r="E889" s="1" t="s">
        <v>2096</v>
      </c>
      <c r="F889" s="1" t="s">
        <v>362</v>
      </c>
      <c r="G889" s="1">
        <v>1</v>
      </c>
      <c r="K889" s="8" t="s">
        <v>209</v>
      </c>
      <c r="L889" s="8" t="s">
        <v>482</v>
      </c>
      <c r="M889" s="8">
        <v>0</v>
      </c>
      <c r="N889" s="8"/>
    </row>
    <row r="890" spans="5:14" x14ac:dyDescent="0.35">
      <c r="E890" s="1" t="s">
        <v>2096</v>
      </c>
      <c r="F890" s="1" t="s">
        <v>358</v>
      </c>
      <c r="G890" s="1">
        <v>1</v>
      </c>
      <c r="K890" s="8" t="s">
        <v>209</v>
      </c>
      <c r="L890" s="8" t="s">
        <v>483</v>
      </c>
      <c r="M890" s="8">
        <v>0</v>
      </c>
      <c r="N890" s="8"/>
    </row>
    <row r="891" spans="5:14" x14ac:dyDescent="0.35">
      <c r="E891" s="1" t="s">
        <v>2096</v>
      </c>
      <c r="F891" s="1" t="s">
        <v>357</v>
      </c>
      <c r="G891" s="1">
        <v>1</v>
      </c>
      <c r="K891" s="8" t="s">
        <v>209</v>
      </c>
      <c r="L891" s="8" t="s">
        <v>484</v>
      </c>
      <c r="M891" s="8">
        <v>0</v>
      </c>
      <c r="N891" s="8"/>
    </row>
    <row r="892" spans="5:14" x14ac:dyDescent="0.35">
      <c r="E892" s="1" t="s">
        <v>2096</v>
      </c>
      <c r="F892" s="1" t="s">
        <v>450</v>
      </c>
      <c r="G892" s="1">
        <v>1</v>
      </c>
      <c r="K892" s="8" t="s">
        <v>209</v>
      </c>
      <c r="L892" s="8" t="s">
        <v>486</v>
      </c>
      <c r="M892" s="8">
        <v>0</v>
      </c>
      <c r="N892" s="8"/>
    </row>
    <row r="893" spans="5:14" x14ac:dyDescent="0.35">
      <c r="E893" s="1" t="s">
        <v>2096</v>
      </c>
      <c r="F893" s="1" t="s">
        <v>356</v>
      </c>
      <c r="G893" s="1">
        <v>1</v>
      </c>
      <c r="K893" s="8" t="s">
        <v>209</v>
      </c>
      <c r="L893" s="8" t="s">
        <v>487</v>
      </c>
      <c r="M893" s="8">
        <v>0</v>
      </c>
      <c r="N893" s="8"/>
    </row>
    <row r="894" spans="5:14" x14ac:dyDescent="0.35">
      <c r="E894" s="1" t="s">
        <v>2096</v>
      </c>
      <c r="F894" s="1" t="s">
        <v>452</v>
      </c>
      <c r="G894" s="1">
        <v>1</v>
      </c>
      <c r="K894" s="8" t="s">
        <v>209</v>
      </c>
      <c r="L894" s="8" t="s">
        <v>488</v>
      </c>
      <c r="M894" s="8">
        <v>0</v>
      </c>
      <c r="N894" s="8"/>
    </row>
    <row r="895" spans="5:14" x14ac:dyDescent="0.35">
      <c r="E895" s="1" t="s">
        <v>2096</v>
      </c>
      <c r="F895" s="1" t="s">
        <v>355</v>
      </c>
      <c r="G895" s="1">
        <v>1</v>
      </c>
      <c r="K895" s="8" t="s">
        <v>209</v>
      </c>
      <c r="L895" s="8" t="s">
        <v>489</v>
      </c>
      <c r="M895" s="8">
        <v>0</v>
      </c>
      <c r="N895" s="8"/>
    </row>
    <row r="896" spans="5:14" x14ac:dyDescent="0.35">
      <c r="E896" s="1" t="s">
        <v>2096</v>
      </c>
      <c r="F896" s="1" t="s">
        <v>451</v>
      </c>
      <c r="G896" s="1">
        <v>1</v>
      </c>
      <c r="K896" s="8" t="s">
        <v>209</v>
      </c>
      <c r="L896" s="8" t="s">
        <v>490</v>
      </c>
      <c r="M896" s="8">
        <v>0</v>
      </c>
      <c r="N896" s="8"/>
    </row>
    <row r="897" spans="5:14" x14ac:dyDescent="0.35">
      <c r="E897" s="1" t="s">
        <v>2097</v>
      </c>
      <c r="F897" s="1" t="s">
        <v>350</v>
      </c>
      <c r="G897" s="1">
        <v>1</v>
      </c>
      <c r="K897" s="8" t="s">
        <v>209</v>
      </c>
      <c r="L897" s="8" t="s">
        <v>491</v>
      </c>
      <c r="M897" s="8">
        <v>0</v>
      </c>
      <c r="N897" s="8"/>
    </row>
    <row r="898" spans="5:14" x14ac:dyDescent="0.35">
      <c r="E898" s="1" t="s">
        <v>2097</v>
      </c>
      <c r="F898" s="1" t="s">
        <v>2097</v>
      </c>
      <c r="G898" s="1">
        <v>1</v>
      </c>
      <c r="K898" s="8" t="s">
        <v>209</v>
      </c>
      <c r="L898" s="8" t="s">
        <v>492</v>
      </c>
      <c r="M898" s="8">
        <v>0</v>
      </c>
      <c r="N898" s="8"/>
    </row>
    <row r="899" spans="5:14" x14ac:dyDescent="0.35">
      <c r="E899" s="1" t="s">
        <v>2097</v>
      </c>
      <c r="F899" s="1" t="s">
        <v>2214</v>
      </c>
      <c r="G899" s="1">
        <v>1</v>
      </c>
      <c r="K899" s="8" t="s">
        <v>209</v>
      </c>
      <c r="L899" s="8" t="s">
        <v>493</v>
      </c>
      <c r="M899" s="8">
        <v>0</v>
      </c>
      <c r="N899" s="8"/>
    </row>
    <row r="900" spans="5:14" x14ac:dyDescent="0.35">
      <c r="E900" s="1" t="s">
        <v>2097</v>
      </c>
      <c r="F900" s="1" t="s">
        <v>2215</v>
      </c>
      <c r="G900" s="1">
        <v>1</v>
      </c>
      <c r="K900" s="8" t="s">
        <v>209</v>
      </c>
      <c r="L900" s="8" t="s">
        <v>494</v>
      </c>
      <c r="M900" s="8">
        <v>0</v>
      </c>
      <c r="N900" s="8"/>
    </row>
    <row r="901" spans="5:14" x14ac:dyDescent="0.35">
      <c r="E901" s="1" t="s">
        <v>2098</v>
      </c>
      <c r="F901" s="1" t="s">
        <v>375</v>
      </c>
      <c r="G901" s="1">
        <v>1</v>
      </c>
      <c r="H901" s="1" t="s">
        <v>222</v>
      </c>
      <c r="I901" s="1" t="s">
        <v>375</v>
      </c>
      <c r="K901" s="8" t="s">
        <v>209</v>
      </c>
      <c r="L901" s="8" t="s">
        <v>495</v>
      </c>
      <c r="M901" s="8">
        <v>0</v>
      </c>
      <c r="N901" s="8"/>
    </row>
    <row r="902" spans="5:14" x14ac:dyDescent="0.35">
      <c r="E902" s="1" t="s">
        <v>2098</v>
      </c>
      <c r="F902" s="1" t="s">
        <v>355</v>
      </c>
      <c r="G902" s="1">
        <v>1</v>
      </c>
      <c r="H902" s="1" t="s">
        <v>292</v>
      </c>
      <c r="I902" s="1" t="s">
        <v>355</v>
      </c>
      <c r="K902" s="8" t="s">
        <v>210</v>
      </c>
      <c r="L902" s="8" t="s">
        <v>350</v>
      </c>
      <c r="M902" s="8">
        <v>1</v>
      </c>
      <c r="N902" s="8"/>
    </row>
    <row r="903" spans="5:14" x14ac:dyDescent="0.35">
      <c r="E903" s="1" t="s">
        <v>2099</v>
      </c>
      <c r="F903" s="1" t="s">
        <v>350</v>
      </c>
      <c r="G903" s="1">
        <v>1</v>
      </c>
      <c r="K903" s="8" t="s">
        <v>210</v>
      </c>
      <c r="L903" s="8" t="s">
        <v>406</v>
      </c>
      <c r="M903" s="8">
        <v>1</v>
      </c>
      <c r="N903" s="8"/>
    </row>
    <row r="904" spans="5:14" x14ac:dyDescent="0.35">
      <c r="E904" s="1" t="s">
        <v>2100</v>
      </c>
      <c r="F904" s="1" t="s">
        <v>375</v>
      </c>
      <c r="G904" s="1">
        <v>1</v>
      </c>
      <c r="K904" s="8" t="s">
        <v>210</v>
      </c>
      <c r="L904" s="8" t="s">
        <v>1220</v>
      </c>
      <c r="M904" s="8">
        <v>0</v>
      </c>
      <c r="N904" s="8"/>
    </row>
    <row r="905" spans="5:14" x14ac:dyDescent="0.35">
      <c r="E905" s="1" t="s">
        <v>2100</v>
      </c>
      <c r="F905" s="1" t="s">
        <v>376</v>
      </c>
      <c r="G905" s="1">
        <v>1</v>
      </c>
      <c r="K905" s="8" t="s">
        <v>210</v>
      </c>
      <c r="L905" s="8" t="s">
        <v>1221</v>
      </c>
      <c r="M905" s="8">
        <v>1</v>
      </c>
      <c r="N905" s="8"/>
    </row>
    <row r="906" spans="5:14" x14ac:dyDescent="0.35">
      <c r="E906" s="1" t="s">
        <v>2101</v>
      </c>
      <c r="F906" s="1" t="s">
        <v>439</v>
      </c>
      <c r="G906" s="1">
        <v>1</v>
      </c>
      <c r="K906" s="8" t="s">
        <v>210</v>
      </c>
      <c r="L906" s="8" t="s">
        <v>480</v>
      </c>
      <c r="M906" s="8">
        <v>0</v>
      </c>
      <c r="N906" s="8"/>
    </row>
    <row r="907" spans="5:14" x14ac:dyDescent="0.35">
      <c r="E907" s="1" t="s">
        <v>2102</v>
      </c>
      <c r="F907" s="1" t="s">
        <v>373</v>
      </c>
      <c r="G907" s="1">
        <v>1</v>
      </c>
      <c r="K907" s="8" t="s">
        <v>210</v>
      </c>
      <c r="L907" s="8" t="s">
        <v>481</v>
      </c>
      <c r="M907" s="8">
        <v>0</v>
      </c>
      <c r="N907" s="8"/>
    </row>
    <row r="908" spans="5:14" x14ac:dyDescent="0.35">
      <c r="E908" s="1" t="s">
        <v>2103</v>
      </c>
      <c r="F908" s="1" t="s">
        <v>2216</v>
      </c>
      <c r="G908" s="1">
        <v>1</v>
      </c>
      <c r="K908" s="8" t="s">
        <v>210</v>
      </c>
      <c r="L908" s="8" t="s">
        <v>482</v>
      </c>
      <c r="M908" s="8">
        <v>0</v>
      </c>
      <c r="N908" s="8"/>
    </row>
    <row r="909" spans="5:14" x14ac:dyDescent="0.35">
      <c r="E909" s="1" t="s">
        <v>2104</v>
      </c>
      <c r="F909" s="1" t="s">
        <v>2217</v>
      </c>
      <c r="G909" s="1">
        <v>1</v>
      </c>
      <c r="H909" s="1" t="s">
        <v>2105</v>
      </c>
      <c r="I909" s="1" t="s">
        <v>2217</v>
      </c>
      <c r="K909" s="8" t="s">
        <v>210</v>
      </c>
      <c r="L909" s="8" t="s">
        <v>483</v>
      </c>
      <c r="M909" s="8">
        <v>0</v>
      </c>
      <c r="N909" s="8"/>
    </row>
    <row r="910" spans="5:14" x14ac:dyDescent="0.35">
      <c r="E910" s="1" t="s">
        <v>2104</v>
      </c>
      <c r="F910" s="1" t="s">
        <v>2218</v>
      </c>
      <c r="G910" s="1">
        <v>1</v>
      </c>
      <c r="K910" s="8" t="s">
        <v>210</v>
      </c>
      <c r="L910" s="8" t="s">
        <v>484</v>
      </c>
      <c r="M910" s="8">
        <v>0</v>
      </c>
      <c r="N910" s="8"/>
    </row>
    <row r="911" spans="5:14" x14ac:dyDescent="0.35">
      <c r="E911" s="1" t="s">
        <v>2105</v>
      </c>
      <c r="F911" s="1" t="s">
        <v>2217</v>
      </c>
      <c r="G911" s="1">
        <v>1</v>
      </c>
      <c r="K911" s="8" t="s">
        <v>210</v>
      </c>
      <c r="L911" s="8" t="s">
        <v>407</v>
      </c>
      <c r="M911" s="8">
        <v>1</v>
      </c>
      <c r="N911" s="8"/>
    </row>
    <row r="912" spans="5:14" x14ac:dyDescent="0.35">
      <c r="E912" s="1" t="s">
        <v>2106</v>
      </c>
      <c r="F912" s="1" t="s">
        <v>2219</v>
      </c>
      <c r="G912" s="1">
        <v>1</v>
      </c>
      <c r="K912" s="8" t="s">
        <v>210</v>
      </c>
      <c r="L912" s="8" t="s">
        <v>1222</v>
      </c>
      <c r="M912" s="8">
        <v>1</v>
      </c>
      <c r="N912" s="8"/>
    </row>
    <row r="913" spans="5:14" x14ac:dyDescent="0.35">
      <c r="E913" s="1" t="s">
        <v>2106</v>
      </c>
      <c r="F913" s="1" t="s">
        <v>2220</v>
      </c>
      <c r="G913" s="1">
        <v>1</v>
      </c>
      <c r="K913" s="8" t="s">
        <v>210</v>
      </c>
      <c r="L913" s="8" t="s">
        <v>486</v>
      </c>
      <c r="M913" s="8">
        <v>0</v>
      </c>
      <c r="N913" s="8"/>
    </row>
    <row r="914" spans="5:14" x14ac:dyDescent="0.35">
      <c r="E914" s="1" t="s">
        <v>2106</v>
      </c>
      <c r="F914" s="1" t="s">
        <v>2217</v>
      </c>
      <c r="G914" s="1">
        <v>1</v>
      </c>
      <c r="H914" s="1" t="s">
        <v>2105</v>
      </c>
      <c r="I914" s="1" t="s">
        <v>2217</v>
      </c>
      <c r="K914" s="8" t="s">
        <v>210</v>
      </c>
      <c r="L914" s="8" t="s">
        <v>487</v>
      </c>
      <c r="M914" s="8">
        <v>0</v>
      </c>
      <c r="N914" s="8"/>
    </row>
    <row r="915" spans="5:14" x14ac:dyDescent="0.35">
      <c r="E915" s="1" t="s">
        <v>2107</v>
      </c>
      <c r="F915" s="1" t="s">
        <v>375</v>
      </c>
      <c r="G915" s="1">
        <v>1</v>
      </c>
      <c r="H915" s="1" t="s">
        <v>226</v>
      </c>
      <c r="I915" s="1" t="s">
        <v>375</v>
      </c>
      <c r="K915" s="8" t="s">
        <v>210</v>
      </c>
      <c r="L915" s="8" t="s">
        <v>488</v>
      </c>
      <c r="M915" s="8">
        <v>0</v>
      </c>
      <c r="N915" s="8"/>
    </row>
    <row r="916" spans="5:14" x14ac:dyDescent="0.35">
      <c r="E916" s="1" t="s">
        <v>2107</v>
      </c>
      <c r="F916" s="1" t="s">
        <v>376</v>
      </c>
      <c r="G916" s="1">
        <v>1</v>
      </c>
      <c r="H916" s="1" t="s">
        <v>226</v>
      </c>
      <c r="I916" s="1" t="s">
        <v>376</v>
      </c>
      <c r="K916" s="8" t="s">
        <v>210</v>
      </c>
      <c r="L916" s="8" t="s">
        <v>489</v>
      </c>
      <c r="M916" s="8">
        <v>0</v>
      </c>
      <c r="N916" s="8"/>
    </row>
    <row r="917" spans="5:14" x14ac:dyDescent="0.35">
      <c r="E917" s="1" t="s">
        <v>2107</v>
      </c>
      <c r="F917" s="1" t="s">
        <v>355</v>
      </c>
      <c r="G917" s="1">
        <v>1</v>
      </c>
      <c r="H917" s="1" t="s">
        <v>292</v>
      </c>
      <c r="I917" s="1" t="s">
        <v>355</v>
      </c>
      <c r="K917" s="8" t="s">
        <v>210</v>
      </c>
      <c r="L917" s="8" t="s">
        <v>490</v>
      </c>
      <c r="M917" s="8">
        <v>0</v>
      </c>
      <c r="N917" s="8"/>
    </row>
    <row r="918" spans="5:14" x14ac:dyDescent="0.35">
      <c r="E918" s="1" t="s">
        <v>2108</v>
      </c>
      <c r="F918" s="1" t="s">
        <v>375</v>
      </c>
      <c r="G918" s="1">
        <v>1</v>
      </c>
      <c r="H918" s="1" t="s">
        <v>226</v>
      </c>
      <c r="I918" s="1" t="s">
        <v>375</v>
      </c>
      <c r="K918" s="8" t="s">
        <v>210</v>
      </c>
      <c r="L918" s="8" t="s">
        <v>491</v>
      </c>
      <c r="M918" s="8">
        <v>0</v>
      </c>
      <c r="N918" s="8"/>
    </row>
    <row r="919" spans="5:14" x14ac:dyDescent="0.35">
      <c r="E919" s="1" t="s">
        <v>2108</v>
      </c>
      <c r="F919" s="1" t="s">
        <v>376</v>
      </c>
      <c r="G919" s="1">
        <v>1</v>
      </c>
      <c r="H919" s="1" t="s">
        <v>226</v>
      </c>
      <c r="I919" s="1" t="s">
        <v>376</v>
      </c>
      <c r="K919" s="8" t="s">
        <v>210</v>
      </c>
      <c r="L919" s="8" t="s">
        <v>492</v>
      </c>
      <c r="M919" s="8">
        <v>0</v>
      </c>
      <c r="N919" s="8"/>
    </row>
    <row r="920" spans="5:14" x14ac:dyDescent="0.35">
      <c r="E920" s="1" t="s">
        <v>2108</v>
      </c>
      <c r="F920" s="1" t="s">
        <v>2120</v>
      </c>
      <c r="G920" s="1">
        <v>1</v>
      </c>
      <c r="H920" s="1" t="s">
        <v>2120</v>
      </c>
      <c r="I920" s="1" t="s">
        <v>2120</v>
      </c>
      <c r="K920" s="8" t="s">
        <v>210</v>
      </c>
      <c r="L920" s="8" t="s">
        <v>493</v>
      </c>
      <c r="M920" s="8">
        <v>0</v>
      </c>
      <c r="N920" s="8"/>
    </row>
    <row r="921" spans="5:14" x14ac:dyDescent="0.35">
      <c r="E921" s="1" t="s">
        <v>2109</v>
      </c>
      <c r="F921" s="1" t="s">
        <v>356</v>
      </c>
      <c r="G921" s="1">
        <v>1</v>
      </c>
      <c r="K921" s="8" t="s">
        <v>210</v>
      </c>
      <c r="L921" s="8" t="s">
        <v>494</v>
      </c>
      <c r="M921" s="8">
        <v>0</v>
      </c>
      <c r="N921" s="8"/>
    </row>
    <row r="922" spans="5:14" x14ac:dyDescent="0.35">
      <c r="E922" s="1" t="s">
        <v>2109</v>
      </c>
      <c r="F922" s="1" t="s">
        <v>355</v>
      </c>
      <c r="G922" s="1">
        <v>1</v>
      </c>
      <c r="K922" s="8" t="s">
        <v>210</v>
      </c>
      <c r="L922" s="8" t="s">
        <v>495</v>
      </c>
      <c r="M922" s="8">
        <v>0</v>
      </c>
      <c r="N922" s="8"/>
    </row>
    <row r="923" spans="5:14" x14ac:dyDescent="0.35">
      <c r="E923" s="1" t="s">
        <v>2110</v>
      </c>
      <c r="F923" s="1" t="s">
        <v>354</v>
      </c>
      <c r="G923" s="1">
        <v>0</v>
      </c>
      <c r="H923" s="1" t="s">
        <v>214</v>
      </c>
      <c r="I923" s="1" t="s">
        <v>352</v>
      </c>
      <c r="K923" s="8" t="s">
        <v>210</v>
      </c>
      <c r="L923" s="8" t="s">
        <v>380</v>
      </c>
      <c r="M923" s="8">
        <v>1</v>
      </c>
      <c r="N923" s="8"/>
    </row>
    <row r="924" spans="5:14" x14ac:dyDescent="0.35">
      <c r="E924" s="1" t="s">
        <v>2110</v>
      </c>
      <c r="F924" s="1" t="s">
        <v>351</v>
      </c>
      <c r="G924" s="1">
        <v>0</v>
      </c>
      <c r="H924" s="1" t="s">
        <v>214</v>
      </c>
      <c r="I924" s="1" t="s">
        <v>349</v>
      </c>
      <c r="K924" s="8" t="s">
        <v>210</v>
      </c>
      <c r="L924" s="8" t="s">
        <v>1223</v>
      </c>
      <c r="M924" s="8">
        <v>1</v>
      </c>
      <c r="N924" s="8" t="s">
        <v>1004</v>
      </c>
    </row>
    <row r="925" spans="5:14" x14ac:dyDescent="0.35">
      <c r="E925" s="1" t="s">
        <v>2110</v>
      </c>
      <c r="F925" s="1" t="s">
        <v>353</v>
      </c>
      <c r="G925" s="1">
        <v>0</v>
      </c>
      <c r="H925" s="1" t="s">
        <v>214</v>
      </c>
      <c r="I925" s="1" t="s">
        <v>349</v>
      </c>
      <c r="K925" s="8" t="s">
        <v>211</v>
      </c>
      <c r="L925" s="8" t="s">
        <v>409</v>
      </c>
      <c r="M925" s="8">
        <v>1</v>
      </c>
      <c r="N925" s="8"/>
    </row>
    <row r="926" spans="5:14" x14ac:dyDescent="0.35">
      <c r="E926" s="1" t="s">
        <v>2110</v>
      </c>
      <c r="F926" s="1" t="s">
        <v>352</v>
      </c>
      <c r="G926" s="1">
        <v>0</v>
      </c>
      <c r="H926" s="1" t="s">
        <v>214</v>
      </c>
      <c r="I926" s="1" t="s">
        <v>352</v>
      </c>
      <c r="K926" s="8" t="s">
        <v>211</v>
      </c>
      <c r="L926" s="8" t="s">
        <v>408</v>
      </c>
      <c r="M926" s="8">
        <v>1</v>
      </c>
      <c r="N926" s="8"/>
    </row>
    <row r="927" spans="5:14" x14ac:dyDescent="0.35">
      <c r="E927" s="1" t="s">
        <v>2110</v>
      </c>
      <c r="F927" s="1" t="s">
        <v>349</v>
      </c>
      <c r="G927" s="1">
        <v>1</v>
      </c>
      <c r="H927" s="1" t="s">
        <v>282</v>
      </c>
      <c r="I927" s="1" t="s">
        <v>349</v>
      </c>
      <c r="K927" s="8" t="s">
        <v>211</v>
      </c>
      <c r="L927" s="8" t="s">
        <v>395</v>
      </c>
      <c r="M927" s="8">
        <v>1</v>
      </c>
      <c r="N927" s="8"/>
    </row>
    <row r="928" spans="5:14" x14ac:dyDescent="0.35">
      <c r="E928" s="1" t="s">
        <v>2110</v>
      </c>
      <c r="F928" s="1" t="s">
        <v>439</v>
      </c>
      <c r="G928" s="1">
        <v>1</v>
      </c>
      <c r="H928" s="1" t="s">
        <v>243</v>
      </c>
      <c r="I928" s="1" t="s">
        <v>439</v>
      </c>
      <c r="K928" s="8" t="s">
        <v>211</v>
      </c>
      <c r="L928" s="8" t="s">
        <v>505</v>
      </c>
      <c r="M928" s="8">
        <v>1</v>
      </c>
      <c r="N928" s="8" t="s">
        <v>476</v>
      </c>
    </row>
    <row r="929" spans="5:14" x14ac:dyDescent="0.35">
      <c r="E929" s="1" t="s">
        <v>2111</v>
      </c>
      <c r="F929" s="1" t="s">
        <v>2221</v>
      </c>
      <c r="G929" s="1">
        <v>1</v>
      </c>
      <c r="K929" s="8" t="s">
        <v>212</v>
      </c>
      <c r="L929" s="8" t="s">
        <v>708</v>
      </c>
      <c r="M929" s="8">
        <v>1</v>
      </c>
      <c r="N929" s="8" t="s">
        <v>476</v>
      </c>
    </row>
    <row r="930" spans="5:14" x14ac:dyDescent="0.35">
      <c r="E930" s="1" t="s">
        <v>2111</v>
      </c>
      <c r="F930" s="1" t="s">
        <v>2222</v>
      </c>
      <c r="G930" s="1">
        <v>1</v>
      </c>
      <c r="K930" s="8" t="s">
        <v>212</v>
      </c>
      <c r="L930" s="8" t="s">
        <v>375</v>
      </c>
      <c r="M930" s="8">
        <v>1</v>
      </c>
      <c r="N930" s="8"/>
    </row>
    <row r="931" spans="5:14" x14ac:dyDescent="0.35">
      <c r="E931" s="1" t="s">
        <v>2111</v>
      </c>
      <c r="F931" s="1" t="s">
        <v>375</v>
      </c>
      <c r="G931" s="1">
        <v>1</v>
      </c>
      <c r="H931" s="1" t="s">
        <v>226</v>
      </c>
      <c r="I931" s="1" t="s">
        <v>375</v>
      </c>
      <c r="K931" s="8" t="s">
        <v>212</v>
      </c>
      <c r="L931" s="8" t="s">
        <v>376</v>
      </c>
      <c r="M931" s="8">
        <v>1</v>
      </c>
      <c r="N931" s="8"/>
    </row>
    <row r="932" spans="5:14" x14ac:dyDescent="0.35">
      <c r="E932" s="1" t="s">
        <v>2111</v>
      </c>
      <c r="F932" s="1" t="s">
        <v>376</v>
      </c>
      <c r="G932" s="1">
        <v>1</v>
      </c>
      <c r="H932" s="1" t="s">
        <v>226</v>
      </c>
      <c r="I932" s="1" t="s">
        <v>376</v>
      </c>
      <c r="K932" s="8" t="s">
        <v>212</v>
      </c>
      <c r="L932" s="8" t="s">
        <v>377</v>
      </c>
      <c r="M932" s="8">
        <v>1</v>
      </c>
      <c r="N932" s="8"/>
    </row>
    <row r="933" spans="5:14" x14ac:dyDescent="0.35">
      <c r="E933" s="1" t="s">
        <v>2111</v>
      </c>
      <c r="F933" s="1" t="s">
        <v>2120</v>
      </c>
      <c r="G933" s="1">
        <v>1</v>
      </c>
      <c r="H933" s="1" t="s">
        <v>2120</v>
      </c>
      <c r="I933" s="1" t="s">
        <v>2120</v>
      </c>
      <c r="K933" s="8" t="s">
        <v>212</v>
      </c>
      <c r="L933" s="8" t="s">
        <v>372</v>
      </c>
      <c r="M933" s="8">
        <v>1</v>
      </c>
      <c r="N933" s="8"/>
    </row>
    <row r="934" spans="5:14" x14ac:dyDescent="0.35">
      <c r="E934" s="1" t="s">
        <v>2112</v>
      </c>
      <c r="F934" s="1" t="s">
        <v>2223</v>
      </c>
      <c r="G934" s="1">
        <v>1</v>
      </c>
      <c r="K934" s="8" t="s">
        <v>213</v>
      </c>
      <c r="L934" s="8" t="s">
        <v>480</v>
      </c>
      <c r="M934" s="8">
        <v>0</v>
      </c>
      <c r="N934" s="8"/>
    </row>
    <row r="935" spans="5:14" x14ac:dyDescent="0.35">
      <c r="E935" s="1" t="s">
        <v>2112</v>
      </c>
      <c r="F935" s="1" t="s">
        <v>2224</v>
      </c>
      <c r="G935" s="1">
        <v>1</v>
      </c>
      <c r="K935" s="8" t="s">
        <v>213</v>
      </c>
      <c r="L935" s="8" t="s">
        <v>481</v>
      </c>
      <c r="M935" s="8">
        <v>0</v>
      </c>
      <c r="N935" s="8"/>
    </row>
    <row r="936" spans="5:14" x14ac:dyDescent="0.35">
      <c r="E936" s="1" t="s">
        <v>2112</v>
      </c>
      <c r="F936" s="1" t="s">
        <v>375</v>
      </c>
      <c r="G936" s="1">
        <v>1</v>
      </c>
      <c r="H936" s="1" t="s">
        <v>226</v>
      </c>
      <c r="I936" s="1" t="s">
        <v>375</v>
      </c>
      <c r="K936" s="8" t="s">
        <v>213</v>
      </c>
      <c r="L936" s="8" t="s">
        <v>482</v>
      </c>
      <c r="M936" s="8">
        <v>0</v>
      </c>
      <c r="N936" s="8"/>
    </row>
    <row r="937" spans="5:14" x14ac:dyDescent="0.35">
      <c r="E937" s="1" t="s">
        <v>2112</v>
      </c>
      <c r="F937" s="1" t="s">
        <v>376</v>
      </c>
      <c r="G937" s="1">
        <v>1</v>
      </c>
      <c r="H937" s="1" t="s">
        <v>226</v>
      </c>
      <c r="I937" s="1" t="s">
        <v>376</v>
      </c>
      <c r="K937" s="8" t="s">
        <v>213</v>
      </c>
      <c r="L937" s="8" t="s">
        <v>483</v>
      </c>
      <c r="M937" s="8">
        <v>0</v>
      </c>
      <c r="N937" s="8"/>
    </row>
    <row r="938" spans="5:14" x14ac:dyDescent="0.35">
      <c r="E938" s="1" t="s">
        <v>2112</v>
      </c>
      <c r="F938" s="1" t="s">
        <v>395</v>
      </c>
      <c r="G938" s="1">
        <v>0</v>
      </c>
      <c r="H938" s="1" t="s">
        <v>183</v>
      </c>
      <c r="I938" s="1" t="s">
        <v>395</v>
      </c>
      <c r="K938" s="8" t="s">
        <v>213</v>
      </c>
      <c r="L938" s="8" t="s">
        <v>484</v>
      </c>
      <c r="M938" s="8">
        <v>0</v>
      </c>
      <c r="N938" s="8"/>
    </row>
    <row r="939" spans="5:14" x14ac:dyDescent="0.35">
      <c r="E939" s="1" t="s">
        <v>2112</v>
      </c>
      <c r="F939" s="1" t="s">
        <v>2120</v>
      </c>
      <c r="G939" s="1">
        <v>1</v>
      </c>
      <c r="H939" s="1" t="s">
        <v>2120</v>
      </c>
      <c r="I939" s="1" t="s">
        <v>2120</v>
      </c>
      <c r="K939" s="8" t="s">
        <v>213</v>
      </c>
      <c r="L939" s="8" t="s">
        <v>1000</v>
      </c>
      <c r="M939" s="8">
        <v>0</v>
      </c>
      <c r="N939" s="8"/>
    </row>
    <row r="940" spans="5:14" x14ac:dyDescent="0.35">
      <c r="E940" s="1" t="s">
        <v>2113</v>
      </c>
      <c r="F940" s="1" t="s">
        <v>2225</v>
      </c>
      <c r="G940" s="1">
        <v>1</v>
      </c>
      <c r="K940" s="8" t="s">
        <v>213</v>
      </c>
      <c r="L940" s="8" t="s">
        <v>1001</v>
      </c>
      <c r="M940" s="8">
        <v>1</v>
      </c>
      <c r="N940" s="8" t="s">
        <v>768</v>
      </c>
    </row>
    <row r="941" spans="5:14" x14ac:dyDescent="0.35">
      <c r="E941" s="1" t="s">
        <v>2113</v>
      </c>
      <c r="F941" s="1" t="s">
        <v>2226</v>
      </c>
      <c r="G941" s="1">
        <v>1</v>
      </c>
      <c r="K941" s="8" t="s">
        <v>213</v>
      </c>
      <c r="L941" s="8" t="s">
        <v>1002</v>
      </c>
      <c r="M941" s="8">
        <v>1</v>
      </c>
      <c r="N941" s="8" t="s">
        <v>476</v>
      </c>
    </row>
    <row r="942" spans="5:14" x14ac:dyDescent="0.35">
      <c r="E942" s="1" t="s">
        <v>2113</v>
      </c>
      <c r="F942" s="1" t="s">
        <v>377</v>
      </c>
      <c r="G942" s="1">
        <v>1</v>
      </c>
      <c r="H942" s="1" t="s">
        <v>249</v>
      </c>
      <c r="I942" s="1" t="s">
        <v>377</v>
      </c>
      <c r="K942" s="8" t="s">
        <v>213</v>
      </c>
      <c r="L942" s="8" t="s">
        <v>486</v>
      </c>
      <c r="M942" s="8">
        <v>0</v>
      </c>
      <c r="N942" s="8"/>
    </row>
    <row r="943" spans="5:14" x14ac:dyDescent="0.35">
      <c r="E943" s="1" t="s">
        <v>2113</v>
      </c>
      <c r="F943" s="1" t="s">
        <v>395</v>
      </c>
      <c r="G943" s="1">
        <v>0</v>
      </c>
      <c r="H943" s="1" t="s">
        <v>183</v>
      </c>
      <c r="I943" s="1" t="s">
        <v>395</v>
      </c>
      <c r="K943" s="8" t="s">
        <v>213</v>
      </c>
      <c r="L943" s="8" t="s">
        <v>487</v>
      </c>
      <c r="M943" s="8">
        <v>0</v>
      </c>
      <c r="N943" s="8"/>
    </row>
    <row r="944" spans="5:14" x14ac:dyDescent="0.35">
      <c r="E944" s="1" t="s">
        <v>2113</v>
      </c>
      <c r="F944" s="1" t="s">
        <v>2120</v>
      </c>
      <c r="G944" s="1">
        <v>1</v>
      </c>
      <c r="H944" s="1" t="s">
        <v>2120</v>
      </c>
      <c r="I944" s="1" t="s">
        <v>2120</v>
      </c>
      <c r="K944" s="8" t="s">
        <v>213</v>
      </c>
      <c r="L944" s="8" t="s">
        <v>488</v>
      </c>
      <c r="M944" s="8">
        <v>0</v>
      </c>
      <c r="N944" s="8"/>
    </row>
    <row r="945" spans="5:14" x14ac:dyDescent="0.35">
      <c r="E945" s="1" t="s">
        <v>2114</v>
      </c>
      <c r="F945" s="1" t="s">
        <v>397</v>
      </c>
      <c r="G945" s="1">
        <v>1</v>
      </c>
      <c r="H945" s="1" t="s">
        <v>202</v>
      </c>
      <c r="I945" s="1" t="s">
        <v>397</v>
      </c>
      <c r="K945" s="8" t="s">
        <v>213</v>
      </c>
      <c r="L945" s="8" t="s">
        <v>489</v>
      </c>
      <c r="M945" s="8">
        <v>0</v>
      </c>
      <c r="N945" s="8"/>
    </row>
    <row r="946" spans="5:14" x14ac:dyDescent="0.35">
      <c r="E946" s="1" t="s">
        <v>2114</v>
      </c>
      <c r="F946" s="1" t="s">
        <v>2227</v>
      </c>
      <c r="G946" s="1">
        <v>1</v>
      </c>
      <c r="K946" s="8" t="s">
        <v>213</v>
      </c>
      <c r="L946" s="8" t="s">
        <v>490</v>
      </c>
      <c r="M946" s="8">
        <v>0</v>
      </c>
      <c r="N946" s="8"/>
    </row>
    <row r="947" spans="5:14" x14ac:dyDescent="0.35">
      <c r="E947" s="1" t="s">
        <v>2114</v>
      </c>
      <c r="F947" s="1" t="s">
        <v>2228</v>
      </c>
      <c r="G947" s="1">
        <v>1</v>
      </c>
      <c r="K947" s="8" t="s">
        <v>213</v>
      </c>
      <c r="L947" s="8" t="s">
        <v>1003</v>
      </c>
      <c r="M947" s="8">
        <v>1</v>
      </c>
      <c r="N947" s="8" t="s">
        <v>476</v>
      </c>
    </row>
    <row r="948" spans="5:14" x14ac:dyDescent="0.35">
      <c r="E948" s="1" t="s">
        <v>2114</v>
      </c>
      <c r="F948" s="1" t="s">
        <v>375</v>
      </c>
      <c r="G948" s="1">
        <v>1</v>
      </c>
      <c r="H948" s="1" t="s">
        <v>226</v>
      </c>
      <c r="I948" s="1" t="s">
        <v>375</v>
      </c>
      <c r="K948" s="8" t="s">
        <v>213</v>
      </c>
      <c r="L948" s="8" t="s">
        <v>378</v>
      </c>
      <c r="M948" s="8">
        <v>1</v>
      </c>
      <c r="N948" s="8"/>
    </row>
    <row r="949" spans="5:14" x14ac:dyDescent="0.35">
      <c r="E949" s="1" t="s">
        <v>2114</v>
      </c>
      <c r="F949" s="1" t="s">
        <v>376</v>
      </c>
      <c r="G949" s="1">
        <v>1</v>
      </c>
      <c r="H949" s="1" t="s">
        <v>226</v>
      </c>
      <c r="I949" s="1" t="s">
        <v>376</v>
      </c>
      <c r="K949" s="8" t="s">
        <v>213</v>
      </c>
      <c r="L949" s="8" t="s">
        <v>491</v>
      </c>
      <c r="M949" s="8">
        <v>0</v>
      </c>
      <c r="N949" s="8"/>
    </row>
    <row r="950" spans="5:14" x14ac:dyDescent="0.35">
      <c r="E950" s="1" t="s">
        <v>2114</v>
      </c>
      <c r="F950" s="1" t="s">
        <v>2120</v>
      </c>
      <c r="G950" s="1">
        <v>1</v>
      </c>
      <c r="H950" s="1" t="s">
        <v>2120</v>
      </c>
      <c r="I950" s="1" t="s">
        <v>2120</v>
      </c>
      <c r="K950" s="8" t="s">
        <v>213</v>
      </c>
      <c r="L950" s="8" t="s">
        <v>492</v>
      </c>
      <c r="M950" s="8">
        <v>0</v>
      </c>
      <c r="N950" s="8"/>
    </row>
    <row r="951" spans="5:14" x14ac:dyDescent="0.35">
      <c r="E951" s="1" t="s">
        <v>2115</v>
      </c>
      <c r="F951" s="1" t="s">
        <v>375</v>
      </c>
      <c r="G951" s="1">
        <v>1</v>
      </c>
      <c r="H951" s="1" t="s">
        <v>226</v>
      </c>
      <c r="I951" s="1" t="s">
        <v>375</v>
      </c>
      <c r="K951" s="8" t="s">
        <v>213</v>
      </c>
      <c r="L951" s="8" t="s">
        <v>493</v>
      </c>
      <c r="M951" s="8">
        <v>0</v>
      </c>
      <c r="N951" s="8"/>
    </row>
    <row r="952" spans="5:14" x14ac:dyDescent="0.35">
      <c r="E952" s="1" t="s">
        <v>2115</v>
      </c>
      <c r="F952" s="1" t="s">
        <v>2229</v>
      </c>
      <c r="G952" s="1">
        <v>1</v>
      </c>
      <c r="K952" s="8" t="s">
        <v>213</v>
      </c>
      <c r="L952" s="8" t="s">
        <v>494</v>
      </c>
      <c r="M952" s="8">
        <v>0</v>
      </c>
      <c r="N952" s="8"/>
    </row>
    <row r="953" spans="5:14" x14ac:dyDescent="0.35">
      <c r="E953" s="1" t="s">
        <v>2115</v>
      </c>
      <c r="F953" s="1" t="s">
        <v>2230</v>
      </c>
      <c r="G953" s="1">
        <v>1</v>
      </c>
      <c r="K953" s="8" t="s">
        <v>213</v>
      </c>
      <c r="L953" s="8" t="s">
        <v>495</v>
      </c>
      <c r="M953" s="8">
        <v>0</v>
      </c>
      <c r="N953" s="8"/>
    </row>
    <row r="954" spans="5:14" x14ac:dyDescent="0.35">
      <c r="E954" s="1" t="s">
        <v>2115</v>
      </c>
      <c r="F954" s="1" t="s">
        <v>376</v>
      </c>
      <c r="G954" s="1">
        <v>1</v>
      </c>
      <c r="H954" s="1" t="s">
        <v>226</v>
      </c>
      <c r="I954" s="1" t="s">
        <v>376</v>
      </c>
      <c r="K954" s="8" t="s">
        <v>214</v>
      </c>
      <c r="L954" s="8" t="s">
        <v>352</v>
      </c>
      <c r="M954" s="8">
        <v>1</v>
      </c>
      <c r="N954" s="8"/>
    </row>
    <row r="955" spans="5:14" x14ac:dyDescent="0.35">
      <c r="E955" s="1" t="s">
        <v>2115</v>
      </c>
      <c r="F955" s="1" t="s">
        <v>2120</v>
      </c>
      <c r="G955" s="1">
        <v>1</v>
      </c>
      <c r="H955" s="1" t="s">
        <v>2120</v>
      </c>
      <c r="I955" s="1" t="s">
        <v>2120</v>
      </c>
      <c r="K955" s="8" t="s">
        <v>214</v>
      </c>
      <c r="L955" s="8" t="s">
        <v>629</v>
      </c>
      <c r="M955" s="8">
        <v>0</v>
      </c>
      <c r="N955" s="8" t="s">
        <v>630</v>
      </c>
    </row>
    <row r="956" spans="5:14" x14ac:dyDescent="0.35">
      <c r="E956" s="1" t="s">
        <v>2116</v>
      </c>
      <c r="F956" s="1" t="s">
        <v>2231</v>
      </c>
      <c r="G956" s="1">
        <v>1</v>
      </c>
      <c r="K956" s="8" t="s">
        <v>214</v>
      </c>
      <c r="L956" s="8" t="s">
        <v>349</v>
      </c>
      <c r="M956" s="8">
        <v>1</v>
      </c>
      <c r="N956" s="8"/>
    </row>
    <row r="957" spans="5:14" x14ac:dyDescent="0.35">
      <c r="E957" s="1" t="s">
        <v>2116</v>
      </c>
      <c r="F957" s="1" t="s">
        <v>2232</v>
      </c>
      <c r="G957" s="1">
        <v>1</v>
      </c>
      <c r="K957" s="8" t="s">
        <v>214</v>
      </c>
      <c r="L957" s="8" t="s">
        <v>631</v>
      </c>
      <c r="M957" s="8">
        <v>0</v>
      </c>
      <c r="N957" s="8"/>
    </row>
    <row r="958" spans="5:14" x14ac:dyDescent="0.35">
      <c r="E958" s="1" t="s">
        <v>2116</v>
      </c>
      <c r="F958" s="1" t="s">
        <v>2120</v>
      </c>
      <c r="G958" s="1">
        <v>1</v>
      </c>
      <c r="H958" s="1" t="s">
        <v>2120</v>
      </c>
      <c r="I958" s="1" t="s">
        <v>2120</v>
      </c>
      <c r="K958" s="8" t="s">
        <v>214</v>
      </c>
      <c r="L958" s="8" t="s">
        <v>632</v>
      </c>
      <c r="M958" s="8">
        <v>0</v>
      </c>
      <c r="N958" s="8"/>
    </row>
    <row r="959" spans="5:14" x14ac:dyDescent="0.35">
      <c r="E959" s="1" t="s">
        <v>2116</v>
      </c>
      <c r="F959" s="1" t="s">
        <v>372</v>
      </c>
      <c r="G959" s="1">
        <v>1</v>
      </c>
      <c r="H959" s="1" t="s">
        <v>264</v>
      </c>
      <c r="I959" s="1" t="s">
        <v>372</v>
      </c>
      <c r="K959" s="8" t="s">
        <v>214</v>
      </c>
      <c r="L959" s="8" t="s">
        <v>633</v>
      </c>
      <c r="M959" s="8">
        <v>0</v>
      </c>
      <c r="N959" s="8"/>
    </row>
    <row r="960" spans="5:14" x14ac:dyDescent="0.35">
      <c r="E960" s="1" t="s">
        <v>2117</v>
      </c>
      <c r="F960" s="1" t="s">
        <v>397</v>
      </c>
      <c r="G960" s="1">
        <v>1</v>
      </c>
      <c r="H960" s="1" t="s">
        <v>202</v>
      </c>
      <c r="I960" s="1" t="s">
        <v>397</v>
      </c>
      <c r="K960" s="8" t="s">
        <v>214</v>
      </c>
      <c r="L960" s="8" t="s">
        <v>634</v>
      </c>
      <c r="M960" s="8">
        <v>0</v>
      </c>
      <c r="N960" s="8"/>
    </row>
    <row r="961" spans="5:14" x14ac:dyDescent="0.35">
      <c r="E961" s="1" t="s">
        <v>2117</v>
      </c>
      <c r="F961" s="1" t="s">
        <v>2233</v>
      </c>
      <c r="G961" s="1">
        <v>1</v>
      </c>
      <c r="K961" s="8" t="s">
        <v>214</v>
      </c>
      <c r="L961" s="8" t="s">
        <v>635</v>
      </c>
      <c r="M961" s="8">
        <v>1</v>
      </c>
      <c r="N961" s="8" t="s">
        <v>476</v>
      </c>
    </row>
    <row r="962" spans="5:14" x14ac:dyDescent="0.35">
      <c r="E962" s="1" t="s">
        <v>2117</v>
      </c>
      <c r="F962" s="1" t="s">
        <v>2234</v>
      </c>
      <c r="G962" s="1">
        <v>1</v>
      </c>
      <c r="K962" s="8" t="s">
        <v>214</v>
      </c>
      <c r="L962" s="8" t="s">
        <v>480</v>
      </c>
      <c r="M962" s="8">
        <v>0</v>
      </c>
      <c r="N962" s="8"/>
    </row>
    <row r="963" spans="5:14" x14ac:dyDescent="0.35">
      <c r="E963" s="1" t="s">
        <v>2117</v>
      </c>
      <c r="F963" s="1" t="s">
        <v>2120</v>
      </c>
      <c r="G963" s="1">
        <v>1</v>
      </c>
      <c r="H963" s="1" t="s">
        <v>2120</v>
      </c>
      <c r="I963" s="1" t="s">
        <v>2120</v>
      </c>
      <c r="K963" s="8" t="s">
        <v>214</v>
      </c>
      <c r="L963" s="8" t="s">
        <v>481</v>
      </c>
      <c r="M963" s="8">
        <v>0</v>
      </c>
      <c r="N963" s="8"/>
    </row>
    <row r="964" spans="5:14" x14ac:dyDescent="0.35">
      <c r="E964" s="1" t="s">
        <v>2117</v>
      </c>
      <c r="F964" s="1" t="s">
        <v>372</v>
      </c>
      <c r="G964" s="1">
        <v>1</v>
      </c>
      <c r="H964" s="1" t="s">
        <v>264</v>
      </c>
      <c r="I964" s="1" t="s">
        <v>372</v>
      </c>
      <c r="K964" s="8" t="s">
        <v>214</v>
      </c>
      <c r="L964" s="8" t="s">
        <v>482</v>
      </c>
      <c r="M964" s="8">
        <v>0</v>
      </c>
      <c r="N964" s="8"/>
    </row>
    <row r="965" spans="5:14" x14ac:dyDescent="0.35">
      <c r="E965" s="1" t="s">
        <v>2118</v>
      </c>
      <c r="F965" s="1" t="s">
        <v>2120</v>
      </c>
      <c r="G965" s="1">
        <v>1</v>
      </c>
      <c r="H965" s="1" t="s">
        <v>2120</v>
      </c>
      <c r="I965" s="1" t="s">
        <v>2120</v>
      </c>
      <c r="K965" s="8" t="s">
        <v>214</v>
      </c>
      <c r="L965" s="8" t="s">
        <v>483</v>
      </c>
      <c r="M965" s="8">
        <v>0</v>
      </c>
      <c r="N965" s="8"/>
    </row>
    <row r="966" spans="5:14" x14ac:dyDescent="0.35">
      <c r="E966" s="1" t="s">
        <v>2118</v>
      </c>
      <c r="F966" s="1" t="s">
        <v>2235</v>
      </c>
      <c r="G966" s="1">
        <v>1</v>
      </c>
      <c r="K966" s="8" t="s">
        <v>214</v>
      </c>
      <c r="L966" s="8" t="s">
        <v>484</v>
      </c>
      <c r="M966" s="8">
        <v>0</v>
      </c>
      <c r="N966" s="8"/>
    </row>
    <row r="967" spans="5:14" x14ac:dyDescent="0.35">
      <c r="E967" s="1" t="s">
        <v>2118</v>
      </c>
      <c r="F967" s="1" t="s">
        <v>2236</v>
      </c>
      <c r="G967" s="1">
        <v>1</v>
      </c>
      <c r="K967" s="8" t="s">
        <v>214</v>
      </c>
      <c r="L967" s="8" t="s">
        <v>636</v>
      </c>
      <c r="M967" s="8">
        <v>0</v>
      </c>
      <c r="N967" s="8"/>
    </row>
    <row r="968" spans="5:14" x14ac:dyDescent="0.35">
      <c r="E968" s="1" t="s">
        <v>2118</v>
      </c>
      <c r="F968" s="1" t="s">
        <v>372</v>
      </c>
      <c r="G968" s="1">
        <v>1</v>
      </c>
      <c r="H968" s="1" t="s">
        <v>264</v>
      </c>
      <c r="I968" s="1" t="s">
        <v>372</v>
      </c>
      <c r="K968" s="8" t="s">
        <v>214</v>
      </c>
      <c r="L968" s="8" t="s">
        <v>637</v>
      </c>
      <c r="M968" s="8">
        <v>0</v>
      </c>
      <c r="N968" s="8"/>
    </row>
    <row r="969" spans="5:14" x14ac:dyDescent="0.35">
      <c r="E969" s="1" t="s">
        <v>2119</v>
      </c>
      <c r="F969" s="1" t="s">
        <v>375</v>
      </c>
      <c r="G969" s="1">
        <v>1</v>
      </c>
      <c r="H969" s="1" t="s">
        <v>226</v>
      </c>
      <c r="I969" s="1" t="s">
        <v>375</v>
      </c>
      <c r="K969" s="8" t="s">
        <v>214</v>
      </c>
      <c r="L969" s="8" t="s">
        <v>486</v>
      </c>
      <c r="M969" s="8">
        <v>0</v>
      </c>
      <c r="N969" s="8"/>
    </row>
    <row r="970" spans="5:14" x14ac:dyDescent="0.35">
      <c r="E970" s="1" t="s">
        <v>2119</v>
      </c>
      <c r="F970" s="1" t="s">
        <v>376</v>
      </c>
      <c r="G970" s="1">
        <v>1</v>
      </c>
      <c r="H970" s="1" t="s">
        <v>226</v>
      </c>
      <c r="I970" s="1" t="s">
        <v>376</v>
      </c>
      <c r="K970" s="8" t="s">
        <v>214</v>
      </c>
      <c r="L970" s="8" t="s">
        <v>487</v>
      </c>
      <c r="M970" s="8">
        <v>0</v>
      </c>
      <c r="N970" s="8"/>
    </row>
    <row r="971" spans="5:14" x14ac:dyDescent="0.35">
      <c r="E971" s="1" t="s">
        <v>2119</v>
      </c>
      <c r="F971" s="1" t="s">
        <v>371</v>
      </c>
      <c r="G971" s="1">
        <v>1</v>
      </c>
      <c r="H971" s="1" t="s">
        <v>251</v>
      </c>
      <c r="I971" s="1" t="s">
        <v>371</v>
      </c>
      <c r="K971" s="8" t="s">
        <v>214</v>
      </c>
      <c r="L971" s="8" t="s">
        <v>488</v>
      </c>
      <c r="M971" s="8">
        <v>0</v>
      </c>
      <c r="N971" s="8"/>
    </row>
    <row r="972" spans="5:14" x14ac:dyDescent="0.35">
      <c r="E972" s="1" t="s">
        <v>2119</v>
      </c>
      <c r="F972" s="1" t="s">
        <v>370</v>
      </c>
      <c r="G972" s="1">
        <v>1</v>
      </c>
      <c r="H972" s="1" t="s">
        <v>251</v>
      </c>
      <c r="I972" s="1" t="s">
        <v>370</v>
      </c>
      <c r="K972" s="8" t="s">
        <v>214</v>
      </c>
      <c r="L972" s="8" t="s">
        <v>489</v>
      </c>
      <c r="M972" s="8">
        <v>0</v>
      </c>
      <c r="N972" s="8"/>
    </row>
    <row r="973" spans="5:14" x14ac:dyDescent="0.35">
      <c r="E973" s="1" t="s">
        <v>2120</v>
      </c>
      <c r="F973" s="1" t="s">
        <v>2120</v>
      </c>
      <c r="G973" s="1">
        <v>1</v>
      </c>
      <c r="K973" s="8" t="s">
        <v>214</v>
      </c>
      <c r="L973" s="8" t="s">
        <v>490</v>
      </c>
      <c r="M973" s="8">
        <v>0</v>
      </c>
      <c r="N973" s="8"/>
    </row>
    <row r="974" spans="5:14" x14ac:dyDescent="0.35">
      <c r="E974" s="1" t="s">
        <v>2121</v>
      </c>
      <c r="F974" s="1" t="s">
        <v>2239</v>
      </c>
      <c r="G974" s="1">
        <v>1</v>
      </c>
      <c r="K974" s="8" t="s">
        <v>214</v>
      </c>
      <c r="L974" s="8" t="s">
        <v>491</v>
      </c>
      <c r="M974" s="8">
        <v>0</v>
      </c>
      <c r="N974" s="8"/>
    </row>
    <row r="975" spans="5:14" x14ac:dyDescent="0.35">
      <c r="E975" s="1" t="s">
        <v>2122</v>
      </c>
      <c r="F975" s="1" t="s">
        <v>2240</v>
      </c>
      <c r="G975" s="1">
        <v>1</v>
      </c>
      <c r="K975" s="8" t="s">
        <v>214</v>
      </c>
      <c r="L975" s="8" t="s">
        <v>492</v>
      </c>
      <c r="M975" s="8">
        <v>0</v>
      </c>
      <c r="N975" s="8"/>
    </row>
    <row r="976" spans="5:14" x14ac:dyDescent="0.35">
      <c r="E976" s="1" t="s">
        <v>2122</v>
      </c>
      <c r="F976" s="1" t="s">
        <v>2242</v>
      </c>
      <c r="G976" s="1">
        <v>0</v>
      </c>
      <c r="H976" s="1" t="s">
        <v>2122</v>
      </c>
      <c r="I976" s="1" t="s">
        <v>2240</v>
      </c>
      <c r="K976" s="8" t="s">
        <v>214</v>
      </c>
      <c r="L976" s="8" t="s">
        <v>493</v>
      </c>
      <c r="M976" s="8">
        <v>0</v>
      </c>
      <c r="N976" s="8"/>
    </row>
    <row r="977" spans="5:14" x14ac:dyDescent="0.35">
      <c r="E977" s="1" t="s">
        <v>2122</v>
      </c>
      <c r="F977" s="1" t="s">
        <v>2241</v>
      </c>
      <c r="G977" s="1">
        <v>0</v>
      </c>
      <c r="H977" s="1" t="s">
        <v>2122</v>
      </c>
      <c r="I977" s="1" t="s">
        <v>2237</v>
      </c>
      <c r="K977" s="8" t="s">
        <v>214</v>
      </c>
      <c r="L977" s="8" t="s">
        <v>494</v>
      </c>
      <c r="M977" s="8">
        <v>0</v>
      </c>
      <c r="N977" s="8"/>
    </row>
    <row r="978" spans="5:14" x14ac:dyDescent="0.35">
      <c r="E978" s="1" t="s">
        <v>2122</v>
      </c>
      <c r="F978" s="1" t="s">
        <v>2237</v>
      </c>
      <c r="G978" s="1">
        <v>1</v>
      </c>
      <c r="H978" s="1" t="s">
        <v>2124</v>
      </c>
      <c r="I978" s="1" t="s">
        <v>2237</v>
      </c>
      <c r="K978" s="8" t="s">
        <v>214</v>
      </c>
      <c r="L978" s="8" t="s">
        <v>495</v>
      </c>
      <c r="M978" s="8">
        <v>0</v>
      </c>
      <c r="N978" s="8"/>
    </row>
    <row r="979" spans="5:14" x14ac:dyDescent="0.35">
      <c r="E979" s="1" t="s">
        <v>2123</v>
      </c>
      <c r="F979" s="1" t="s">
        <v>2238</v>
      </c>
      <c r="G979" s="1">
        <v>1</v>
      </c>
      <c r="K979" s="8" t="s">
        <v>215</v>
      </c>
      <c r="L979" s="8" t="s">
        <v>384</v>
      </c>
      <c r="M979" s="8">
        <v>1</v>
      </c>
      <c r="N979" s="8"/>
    </row>
    <row r="980" spans="5:14" x14ac:dyDescent="0.35">
      <c r="E980" s="1" t="s">
        <v>2124</v>
      </c>
      <c r="F980" s="1" t="s">
        <v>2237</v>
      </c>
      <c r="G980" s="1">
        <v>1</v>
      </c>
      <c r="K980" s="8" t="s">
        <v>215</v>
      </c>
      <c r="L980" s="8" t="s">
        <v>907</v>
      </c>
      <c r="M980" s="8">
        <v>0</v>
      </c>
      <c r="N980" s="8" t="s">
        <v>517</v>
      </c>
    </row>
    <row r="981" spans="5:14" x14ac:dyDescent="0.35">
      <c r="E981" s="1" t="s">
        <v>2124</v>
      </c>
      <c r="F981" s="1" t="s">
        <v>2238</v>
      </c>
      <c r="G981" s="1">
        <v>0</v>
      </c>
      <c r="H981" s="1" t="s">
        <v>2123</v>
      </c>
      <c r="I981" s="1" t="s">
        <v>2238</v>
      </c>
      <c r="K981" s="8" t="s">
        <v>215</v>
      </c>
      <c r="L981" s="8" t="s">
        <v>480</v>
      </c>
      <c r="M981" s="8">
        <v>0</v>
      </c>
      <c r="N981" s="8"/>
    </row>
    <row r="982" spans="5:14" x14ac:dyDescent="0.35">
      <c r="E982" s="1" t="s">
        <v>2126</v>
      </c>
      <c r="F982" s="1" t="s">
        <v>446</v>
      </c>
      <c r="G982" s="1">
        <v>1</v>
      </c>
      <c r="H982" s="1" t="s">
        <v>254</v>
      </c>
      <c r="I982" s="1" t="s">
        <v>412</v>
      </c>
      <c r="K982" s="8" t="s">
        <v>215</v>
      </c>
      <c r="L982" s="8" t="s">
        <v>481</v>
      </c>
      <c r="M982" s="8">
        <v>0</v>
      </c>
      <c r="N982" s="8"/>
    </row>
    <row r="983" spans="5:14" x14ac:dyDescent="0.35">
      <c r="E983" s="1" t="s">
        <v>2126</v>
      </c>
      <c r="F983" s="1" t="s">
        <v>447</v>
      </c>
      <c r="G983" s="1">
        <v>1</v>
      </c>
      <c r="H983" s="1" t="s">
        <v>254</v>
      </c>
      <c r="I983" s="1" t="s">
        <v>435</v>
      </c>
      <c r="K983" s="8" t="s">
        <v>215</v>
      </c>
      <c r="L983" s="8" t="s">
        <v>482</v>
      </c>
      <c r="M983" s="8">
        <v>0</v>
      </c>
      <c r="N983" s="8"/>
    </row>
    <row r="984" spans="5:14" x14ac:dyDescent="0.35">
      <c r="E984" s="1" t="s">
        <v>2126</v>
      </c>
      <c r="F984" s="1" t="s">
        <v>369</v>
      </c>
      <c r="G984" s="1">
        <v>1</v>
      </c>
      <c r="H984" s="1" t="s">
        <v>225</v>
      </c>
      <c r="I984" s="1" t="s">
        <v>369</v>
      </c>
      <c r="K984" s="8" t="s">
        <v>215</v>
      </c>
      <c r="L984" s="8" t="s">
        <v>483</v>
      </c>
      <c r="M984" s="8">
        <v>0</v>
      </c>
      <c r="N984" s="8"/>
    </row>
    <row r="985" spans="5:14" x14ac:dyDescent="0.35">
      <c r="E985" s="1" t="s">
        <v>2126</v>
      </c>
      <c r="F985" s="1" t="s">
        <v>412</v>
      </c>
      <c r="G985" s="1">
        <v>1</v>
      </c>
      <c r="H985" s="1" t="s">
        <v>254</v>
      </c>
      <c r="I985" s="1" t="s">
        <v>412</v>
      </c>
      <c r="K985" s="8" t="s">
        <v>215</v>
      </c>
      <c r="L985" s="8" t="s">
        <v>484</v>
      </c>
      <c r="M985" s="8">
        <v>0</v>
      </c>
      <c r="N985" s="8"/>
    </row>
    <row r="986" spans="5:14" x14ac:dyDescent="0.35">
      <c r="E986" s="1" t="s">
        <v>2126</v>
      </c>
      <c r="F986" s="1" t="s">
        <v>435</v>
      </c>
      <c r="G986" s="1">
        <v>1</v>
      </c>
      <c r="H986" s="1" t="s">
        <v>254</v>
      </c>
      <c r="I986" s="1" t="s">
        <v>435</v>
      </c>
      <c r="K986" s="8" t="s">
        <v>215</v>
      </c>
      <c r="L986" s="8" t="s">
        <v>1164</v>
      </c>
      <c r="M986" s="8">
        <v>0</v>
      </c>
      <c r="N986" s="8"/>
    </row>
    <row r="987" spans="5:14" x14ac:dyDescent="0.35">
      <c r="E987" s="1" t="s">
        <v>2127</v>
      </c>
      <c r="F987" s="1" t="s">
        <v>350</v>
      </c>
      <c r="G987" s="1">
        <v>1</v>
      </c>
      <c r="H987" s="1" t="s">
        <v>190</v>
      </c>
      <c r="I987" s="1" t="s">
        <v>350</v>
      </c>
      <c r="K987" s="8" t="s">
        <v>215</v>
      </c>
      <c r="L987" s="8" t="s">
        <v>1165</v>
      </c>
      <c r="M987" s="8">
        <v>0</v>
      </c>
      <c r="N987" s="8"/>
    </row>
    <row r="988" spans="5:14" x14ac:dyDescent="0.35">
      <c r="E988" s="1" t="s">
        <v>2127</v>
      </c>
      <c r="F988" s="1" t="s">
        <v>355</v>
      </c>
      <c r="G988" s="1">
        <v>1</v>
      </c>
      <c r="H988" s="1" t="s">
        <v>292</v>
      </c>
      <c r="I988" s="1" t="s">
        <v>355</v>
      </c>
      <c r="K988" s="8" t="s">
        <v>215</v>
      </c>
      <c r="L988" s="8" t="s">
        <v>1171</v>
      </c>
      <c r="M988" s="8">
        <v>0</v>
      </c>
      <c r="N988" s="8"/>
    </row>
    <row r="989" spans="5:14" x14ac:dyDescent="0.35">
      <c r="E989" s="1" t="s">
        <v>2128</v>
      </c>
      <c r="F989" s="1" t="s">
        <v>2244</v>
      </c>
      <c r="G989" s="1">
        <v>1</v>
      </c>
      <c r="K989" s="8" t="s">
        <v>215</v>
      </c>
      <c r="L989" s="8" t="s">
        <v>410</v>
      </c>
      <c r="M989" s="8">
        <v>1</v>
      </c>
      <c r="N989" s="8"/>
    </row>
    <row r="990" spans="5:14" x14ac:dyDescent="0.35">
      <c r="E990" s="1" t="s">
        <v>2128</v>
      </c>
      <c r="F990" s="1" t="s">
        <v>2243</v>
      </c>
      <c r="G990" s="1">
        <v>1</v>
      </c>
      <c r="K990" s="8" t="s">
        <v>215</v>
      </c>
      <c r="L990" s="8" t="s">
        <v>1065</v>
      </c>
      <c r="M990" s="8">
        <v>0</v>
      </c>
      <c r="N990" s="8"/>
    </row>
    <row r="991" spans="5:14" x14ac:dyDescent="0.35">
      <c r="E991" s="1" t="s">
        <v>2129</v>
      </c>
      <c r="F991" s="1" t="s">
        <v>2245</v>
      </c>
      <c r="G991" s="1">
        <v>1</v>
      </c>
      <c r="K991" s="8" t="s">
        <v>215</v>
      </c>
      <c r="L991" s="8" t="s">
        <v>411</v>
      </c>
      <c r="M991" s="8">
        <v>1</v>
      </c>
      <c r="N991" s="8"/>
    </row>
    <row r="992" spans="5:14" x14ac:dyDescent="0.35">
      <c r="E992" s="1" t="s">
        <v>2130</v>
      </c>
      <c r="F992" s="1" t="s">
        <v>365</v>
      </c>
      <c r="G992" s="1">
        <v>1</v>
      </c>
      <c r="K992" s="8" t="s">
        <v>215</v>
      </c>
      <c r="L992" s="8" t="s">
        <v>922</v>
      </c>
      <c r="M992" s="8">
        <v>1</v>
      </c>
      <c r="N992" s="8" t="s">
        <v>476</v>
      </c>
    </row>
    <row r="993" spans="5:14" x14ac:dyDescent="0.35">
      <c r="E993" s="1" t="s">
        <v>2130</v>
      </c>
      <c r="F993" s="1" t="s">
        <v>364</v>
      </c>
      <c r="G993" s="1">
        <v>1</v>
      </c>
      <c r="K993" s="8" t="s">
        <v>215</v>
      </c>
      <c r="L993" s="8" t="s">
        <v>923</v>
      </c>
      <c r="M993" s="8">
        <v>1</v>
      </c>
      <c r="N993" s="8" t="s">
        <v>476</v>
      </c>
    </row>
    <row r="994" spans="5:14" x14ac:dyDescent="0.35">
      <c r="E994" s="1" t="s">
        <v>2130</v>
      </c>
      <c r="F994" s="1" t="s">
        <v>363</v>
      </c>
      <c r="G994" s="1">
        <v>1</v>
      </c>
      <c r="K994" s="8" t="s">
        <v>215</v>
      </c>
      <c r="L994" s="8" t="s">
        <v>486</v>
      </c>
      <c r="M994" s="8">
        <v>0</v>
      </c>
      <c r="N994" s="8"/>
    </row>
    <row r="995" spans="5:14" x14ac:dyDescent="0.35">
      <c r="E995" s="1" t="s">
        <v>2130</v>
      </c>
      <c r="F995" s="1" t="s">
        <v>362</v>
      </c>
      <c r="G995" s="1">
        <v>1</v>
      </c>
      <c r="K995" s="8" t="s">
        <v>215</v>
      </c>
      <c r="L995" s="8" t="s">
        <v>487</v>
      </c>
      <c r="M995" s="8">
        <v>0</v>
      </c>
      <c r="N995" s="8"/>
    </row>
    <row r="996" spans="5:14" x14ac:dyDescent="0.35">
      <c r="E996" s="1" t="s">
        <v>2130</v>
      </c>
      <c r="F996" s="1" t="s">
        <v>358</v>
      </c>
      <c r="G996" s="1">
        <v>1</v>
      </c>
      <c r="K996" s="8" t="s">
        <v>215</v>
      </c>
      <c r="L996" s="8" t="s">
        <v>488</v>
      </c>
      <c r="M996" s="8">
        <v>0</v>
      </c>
      <c r="N996" s="8"/>
    </row>
    <row r="997" spans="5:14" x14ac:dyDescent="0.35">
      <c r="E997" s="1" t="s">
        <v>2130</v>
      </c>
      <c r="F997" s="1" t="s">
        <v>357</v>
      </c>
      <c r="G997" s="1">
        <v>1</v>
      </c>
      <c r="K997" s="8" t="s">
        <v>215</v>
      </c>
      <c r="L997" s="8" t="s">
        <v>489</v>
      </c>
      <c r="M997" s="8">
        <v>0</v>
      </c>
      <c r="N997" s="8"/>
    </row>
    <row r="998" spans="5:14" x14ac:dyDescent="0.35">
      <c r="E998" s="1" t="s">
        <v>2130</v>
      </c>
      <c r="F998" s="1" t="s">
        <v>356</v>
      </c>
      <c r="G998" s="1">
        <v>1</v>
      </c>
      <c r="K998" s="8" t="s">
        <v>215</v>
      </c>
      <c r="L998" s="8" t="s">
        <v>490</v>
      </c>
      <c r="M998" s="8">
        <v>0</v>
      </c>
      <c r="N998" s="8"/>
    </row>
    <row r="999" spans="5:14" x14ac:dyDescent="0.35">
      <c r="E999" s="1" t="s">
        <v>2130</v>
      </c>
      <c r="F999" s="1" t="s">
        <v>355</v>
      </c>
      <c r="G999" s="1">
        <v>1</v>
      </c>
      <c r="K999" s="8" t="s">
        <v>215</v>
      </c>
      <c r="L999" s="8" t="s">
        <v>903</v>
      </c>
      <c r="M999" s="8">
        <v>1</v>
      </c>
      <c r="N999" s="8" t="s">
        <v>476</v>
      </c>
    </row>
    <row r="1000" spans="5:14" x14ac:dyDescent="0.35">
      <c r="E1000" s="1" t="s">
        <v>2130</v>
      </c>
      <c r="F1000" s="1" t="s">
        <v>2246</v>
      </c>
      <c r="G1000" s="1">
        <v>1</v>
      </c>
      <c r="K1000" s="8" t="s">
        <v>215</v>
      </c>
      <c r="L1000" s="8" t="s">
        <v>491</v>
      </c>
      <c r="M1000" s="8">
        <v>0</v>
      </c>
      <c r="N1000" s="8"/>
    </row>
    <row r="1001" spans="5:14" x14ac:dyDescent="0.35">
      <c r="E1001" s="1" t="s">
        <v>2130</v>
      </c>
      <c r="F1001" s="1" t="s">
        <v>2247</v>
      </c>
      <c r="G1001" s="1">
        <v>1</v>
      </c>
      <c r="K1001" s="8" t="s">
        <v>215</v>
      </c>
      <c r="L1001" s="8" t="s">
        <v>492</v>
      </c>
      <c r="M1001" s="8">
        <v>0</v>
      </c>
      <c r="N1001" s="8"/>
    </row>
    <row r="1002" spans="5:14" x14ac:dyDescent="0.35">
      <c r="E1002" s="1" t="s">
        <v>2131</v>
      </c>
      <c r="F1002" s="1" t="s">
        <v>375</v>
      </c>
      <c r="G1002" s="1">
        <v>1</v>
      </c>
      <c r="H1002" s="1" t="s">
        <v>222</v>
      </c>
      <c r="I1002" s="1" t="s">
        <v>375</v>
      </c>
      <c r="K1002" s="8" t="s">
        <v>215</v>
      </c>
      <c r="L1002" s="8" t="s">
        <v>493</v>
      </c>
      <c r="M1002" s="8">
        <v>0</v>
      </c>
      <c r="N1002" s="8"/>
    </row>
    <row r="1003" spans="5:14" x14ac:dyDescent="0.35">
      <c r="E1003" s="1" t="s">
        <v>2131</v>
      </c>
      <c r="F1003" s="1" t="s">
        <v>370</v>
      </c>
      <c r="G1003" s="1">
        <v>1</v>
      </c>
      <c r="H1003" s="1" t="s">
        <v>281</v>
      </c>
      <c r="I1003" s="1" t="s">
        <v>370</v>
      </c>
      <c r="K1003" s="8" t="s">
        <v>215</v>
      </c>
      <c r="L1003" s="8" t="s">
        <v>905</v>
      </c>
      <c r="M1003" s="8">
        <v>1</v>
      </c>
      <c r="N1003" s="8" t="s">
        <v>612</v>
      </c>
    </row>
    <row r="1004" spans="5:14" x14ac:dyDescent="0.35">
      <c r="E1004" s="1" t="s">
        <v>2132</v>
      </c>
      <c r="F1004" s="1" t="s">
        <v>375</v>
      </c>
      <c r="G1004" s="1">
        <v>1</v>
      </c>
      <c r="H1004" s="1" t="s">
        <v>226</v>
      </c>
      <c r="I1004" s="1" t="s">
        <v>375</v>
      </c>
      <c r="K1004" s="8" t="s">
        <v>216</v>
      </c>
      <c r="L1004" s="8" t="s">
        <v>716</v>
      </c>
      <c r="M1004" s="8">
        <v>1</v>
      </c>
      <c r="N1004" s="8"/>
    </row>
    <row r="1005" spans="5:14" x14ac:dyDescent="0.35">
      <c r="E1005" s="1" t="s">
        <v>2132</v>
      </c>
      <c r="F1005" s="1" t="s">
        <v>376</v>
      </c>
      <c r="G1005" s="1">
        <v>1</v>
      </c>
      <c r="H1005" s="1" t="s">
        <v>226</v>
      </c>
      <c r="I1005" s="1" t="s">
        <v>376</v>
      </c>
      <c r="K1005" s="8" t="s">
        <v>216</v>
      </c>
      <c r="L1005" s="8" t="s">
        <v>717</v>
      </c>
      <c r="M1005" s="8">
        <v>0</v>
      </c>
      <c r="N1005" s="8"/>
    </row>
    <row r="1006" spans="5:14" x14ac:dyDescent="0.35">
      <c r="E1006" s="1" t="s">
        <v>2132</v>
      </c>
      <c r="F1006" s="1" t="s">
        <v>370</v>
      </c>
      <c r="G1006" s="1">
        <v>1</v>
      </c>
      <c r="H1006" s="1" t="s">
        <v>281</v>
      </c>
      <c r="I1006" s="1" t="s">
        <v>370</v>
      </c>
      <c r="K1006" s="8" t="s">
        <v>216</v>
      </c>
      <c r="L1006" s="8" t="s">
        <v>718</v>
      </c>
      <c r="M1006" s="8">
        <v>0</v>
      </c>
      <c r="N1006" s="8"/>
    </row>
    <row r="1007" spans="5:14" x14ac:dyDescent="0.35">
      <c r="E1007" s="1" t="s">
        <v>2133</v>
      </c>
      <c r="F1007" s="1" t="s">
        <v>375</v>
      </c>
      <c r="G1007" s="1">
        <v>1</v>
      </c>
      <c r="H1007" s="1" t="s">
        <v>222</v>
      </c>
      <c r="I1007" s="1" t="s">
        <v>375</v>
      </c>
      <c r="K1007" s="8" t="s">
        <v>216</v>
      </c>
      <c r="L1007" s="8" t="s">
        <v>719</v>
      </c>
      <c r="M1007" s="8">
        <v>0</v>
      </c>
      <c r="N1007" s="8"/>
    </row>
    <row r="1008" spans="5:14" x14ac:dyDescent="0.35">
      <c r="E1008" s="1" t="s">
        <v>2133</v>
      </c>
      <c r="F1008" s="1" t="s">
        <v>370</v>
      </c>
      <c r="G1008" s="1">
        <v>1</v>
      </c>
      <c r="H1008" s="1" t="s">
        <v>281</v>
      </c>
      <c r="I1008" s="1" t="s">
        <v>370</v>
      </c>
      <c r="K1008" s="8" t="s">
        <v>216</v>
      </c>
      <c r="L1008" s="8" t="s">
        <v>720</v>
      </c>
      <c r="M1008" s="8">
        <v>1</v>
      </c>
      <c r="N1008" s="8"/>
    </row>
    <row r="1009" spans="5:14" x14ac:dyDescent="0.35">
      <c r="E1009" s="1" t="s">
        <v>2134</v>
      </c>
      <c r="F1009" s="1" t="s">
        <v>2248</v>
      </c>
      <c r="G1009" s="1">
        <v>1</v>
      </c>
      <c r="K1009" s="8" t="s">
        <v>216</v>
      </c>
      <c r="L1009" s="8" t="s">
        <v>721</v>
      </c>
      <c r="M1009" s="8">
        <v>0</v>
      </c>
      <c r="N1009" s="8"/>
    </row>
    <row r="1010" spans="5:14" x14ac:dyDescent="0.35">
      <c r="F1010" s="1"/>
      <c r="K1010" s="8" t="s">
        <v>216</v>
      </c>
      <c r="L1010" s="8" t="s">
        <v>722</v>
      </c>
      <c r="M1010" s="8">
        <v>0</v>
      </c>
      <c r="N1010" s="8"/>
    </row>
    <row r="1011" spans="5:14" x14ac:dyDescent="0.35">
      <c r="F1011" s="1"/>
      <c r="K1011" s="8" t="s">
        <v>216</v>
      </c>
      <c r="L1011" s="8" t="s">
        <v>723</v>
      </c>
      <c r="M1011" s="8">
        <v>0</v>
      </c>
      <c r="N1011" s="8"/>
    </row>
    <row r="1012" spans="5:14" x14ac:dyDescent="0.35">
      <c r="F1012" s="1"/>
      <c r="K1012" s="8" t="s">
        <v>216</v>
      </c>
      <c r="L1012" s="8" t="s">
        <v>724</v>
      </c>
      <c r="M1012" s="8">
        <v>0</v>
      </c>
      <c r="N1012" s="8"/>
    </row>
    <row r="1013" spans="5:14" x14ac:dyDescent="0.35">
      <c r="F1013" s="1"/>
      <c r="K1013" s="8" t="s">
        <v>216</v>
      </c>
      <c r="L1013" s="8" t="s">
        <v>715</v>
      </c>
      <c r="M1013" s="8">
        <v>1</v>
      </c>
      <c r="N1013" s="8"/>
    </row>
    <row r="1014" spans="5:14" x14ac:dyDescent="0.35">
      <c r="F1014" s="1"/>
      <c r="K1014" s="8" t="s">
        <v>216</v>
      </c>
      <c r="L1014" s="8" t="s">
        <v>725</v>
      </c>
      <c r="M1014" s="8">
        <v>0</v>
      </c>
      <c r="N1014" s="8"/>
    </row>
    <row r="1015" spans="5:14" x14ac:dyDescent="0.35">
      <c r="F1015" s="1"/>
      <c r="K1015" s="8" t="s">
        <v>216</v>
      </c>
      <c r="L1015" s="8" t="s">
        <v>726</v>
      </c>
      <c r="M1015" s="8">
        <v>1</v>
      </c>
      <c r="N1015" s="8" t="s">
        <v>476</v>
      </c>
    </row>
    <row r="1016" spans="5:14" x14ac:dyDescent="0.35">
      <c r="F1016" s="1"/>
      <c r="K1016" s="8" t="s">
        <v>216</v>
      </c>
      <c r="L1016" s="8" t="s">
        <v>727</v>
      </c>
      <c r="M1016" s="8">
        <v>0</v>
      </c>
      <c r="N1016" s="8"/>
    </row>
    <row r="1017" spans="5:14" x14ac:dyDescent="0.35">
      <c r="F1017" s="1"/>
      <c r="K1017" s="8" t="s">
        <v>216</v>
      </c>
      <c r="L1017" s="8" t="s">
        <v>728</v>
      </c>
      <c r="M1017" s="8">
        <v>0</v>
      </c>
      <c r="N1017" s="8"/>
    </row>
    <row r="1018" spans="5:14" x14ac:dyDescent="0.35">
      <c r="F1018" s="1"/>
      <c r="K1018" s="8" t="s">
        <v>216</v>
      </c>
      <c r="L1018" s="8" t="s">
        <v>729</v>
      </c>
      <c r="M1018" s="8">
        <v>0</v>
      </c>
      <c r="N1018" s="8"/>
    </row>
    <row r="1019" spans="5:14" x14ac:dyDescent="0.35">
      <c r="F1019" s="1"/>
      <c r="K1019" s="8" t="s">
        <v>216</v>
      </c>
      <c r="L1019" s="8" t="s">
        <v>730</v>
      </c>
      <c r="M1019" s="8">
        <v>0</v>
      </c>
      <c r="N1019" s="8"/>
    </row>
    <row r="1020" spans="5:14" x14ac:dyDescent="0.35">
      <c r="F1020" s="1"/>
      <c r="K1020" s="8" t="s">
        <v>216</v>
      </c>
      <c r="L1020" s="8" t="s">
        <v>731</v>
      </c>
      <c r="M1020" s="8">
        <v>0</v>
      </c>
      <c r="N1020" s="8"/>
    </row>
    <row r="1021" spans="5:14" x14ac:dyDescent="0.35">
      <c r="F1021" s="1"/>
      <c r="K1021" s="8" t="s">
        <v>216</v>
      </c>
      <c r="L1021" s="8" t="s">
        <v>732</v>
      </c>
      <c r="M1021" s="8">
        <v>0</v>
      </c>
      <c r="N1021" s="8"/>
    </row>
    <row r="1022" spans="5:14" x14ac:dyDescent="0.35">
      <c r="F1022" s="1"/>
      <c r="K1022" s="8" t="s">
        <v>216</v>
      </c>
      <c r="L1022" s="8" t="s">
        <v>733</v>
      </c>
      <c r="M1022" s="8">
        <v>0</v>
      </c>
      <c r="N1022" s="8"/>
    </row>
    <row r="1023" spans="5:14" x14ac:dyDescent="0.35">
      <c r="F1023" s="1"/>
      <c r="K1023" s="8" t="s">
        <v>216</v>
      </c>
      <c r="L1023" s="8" t="s">
        <v>734</v>
      </c>
      <c r="M1023" s="8">
        <v>0</v>
      </c>
      <c r="N1023" s="8"/>
    </row>
    <row r="1024" spans="5:14" x14ac:dyDescent="0.35">
      <c r="F1024" s="1"/>
      <c r="K1024" s="8" t="s">
        <v>216</v>
      </c>
      <c r="L1024" s="8" t="s">
        <v>735</v>
      </c>
      <c r="M1024" s="8">
        <v>0</v>
      </c>
      <c r="N1024" s="8"/>
    </row>
    <row r="1025" spans="6:14" x14ac:dyDescent="0.35">
      <c r="F1025" s="1"/>
      <c r="K1025" s="8" t="s">
        <v>216</v>
      </c>
      <c r="L1025" s="8" t="s">
        <v>736</v>
      </c>
      <c r="M1025" s="8">
        <v>0</v>
      </c>
      <c r="N1025" s="8"/>
    </row>
    <row r="1026" spans="6:14" x14ac:dyDescent="0.35">
      <c r="F1026" s="1"/>
      <c r="K1026" s="8" t="s">
        <v>216</v>
      </c>
      <c r="L1026" s="8" t="s">
        <v>737</v>
      </c>
      <c r="M1026" s="8">
        <v>0</v>
      </c>
      <c r="N1026" s="8"/>
    </row>
    <row r="1027" spans="6:14" x14ac:dyDescent="0.35">
      <c r="F1027" s="1"/>
      <c r="K1027" s="8" t="s">
        <v>216</v>
      </c>
      <c r="L1027" s="8" t="s">
        <v>738</v>
      </c>
      <c r="M1027" s="8">
        <v>0</v>
      </c>
      <c r="N1027" s="8"/>
    </row>
    <row r="1028" spans="6:14" x14ac:dyDescent="0.35">
      <c r="F1028" s="1"/>
      <c r="K1028" s="8" t="s">
        <v>216</v>
      </c>
      <c r="L1028" s="8" t="s">
        <v>739</v>
      </c>
      <c r="M1028" s="8">
        <v>0</v>
      </c>
      <c r="N1028" s="8"/>
    </row>
    <row r="1029" spans="6:14" x14ac:dyDescent="0.35">
      <c r="F1029" s="1"/>
      <c r="K1029" s="8" t="s">
        <v>216</v>
      </c>
      <c r="L1029" s="8" t="s">
        <v>740</v>
      </c>
      <c r="M1029" s="8">
        <v>0</v>
      </c>
      <c r="N1029" s="8"/>
    </row>
    <row r="1030" spans="6:14" x14ac:dyDescent="0.35">
      <c r="F1030" s="1"/>
      <c r="K1030" s="8" t="s">
        <v>216</v>
      </c>
      <c r="L1030" s="8" t="s">
        <v>741</v>
      </c>
      <c r="M1030" s="8">
        <v>0</v>
      </c>
      <c r="N1030" s="8"/>
    </row>
    <row r="1031" spans="6:14" x14ac:dyDescent="0.35">
      <c r="F1031" s="1"/>
      <c r="K1031" s="8" t="s">
        <v>216</v>
      </c>
      <c r="L1031" s="8" t="s">
        <v>480</v>
      </c>
      <c r="M1031" s="8">
        <v>0</v>
      </c>
      <c r="N1031" s="8"/>
    </row>
    <row r="1032" spans="6:14" x14ac:dyDescent="0.35">
      <c r="F1032" s="1"/>
      <c r="K1032" s="8" t="s">
        <v>216</v>
      </c>
      <c r="L1032" s="8" t="s">
        <v>481</v>
      </c>
      <c r="M1032" s="8">
        <v>0</v>
      </c>
      <c r="N1032" s="8"/>
    </row>
    <row r="1033" spans="6:14" x14ac:dyDescent="0.35">
      <c r="F1033" s="1"/>
      <c r="K1033" s="8" t="s">
        <v>216</v>
      </c>
      <c r="L1033" s="8" t="s">
        <v>482</v>
      </c>
      <c r="M1033" s="8">
        <v>0</v>
      </c>
      <c r="N1033" s="8"/>
    </row>
    <row r="1034" spans="6:14" x14ac:dyDescent="0.35">
      <c r="F1034" s="1"/>
      <c r="K1034" s="8" t="s">
        <v>216</v>
      </c>
      <c r="L1034" s="8" t="s">
        <v>483</v>
      </c>
      <c r="M1034" s="8">
        <v>0</v>
      </c>
      <c r="N1034" s="8"/>
    </row>
    <row r="1035" spans="6:14" x14ac:dyDescent="0.35">
      <c r="F1035" s="1"/>
      <c r="K1035" s="8" t="s">
        <v>216</v>
      </c>
      <c r="L1035" s="8" t="s">
        <v>484</v>
      </c>
      <c r="M1035" s="8">
        <v>0</v>
      </c>
      <c r="N1035" s="8"/>
    </row>
    <row r="1036" spans="6:14" x14ac:dyDescent="0.35">
      <c r="F1036" s="1"/>
      <c r="K1036" s="8" t="s">
        <v>216</v>
      </c>
      <c r="L1036" s="8" t="s">
        <v>742</v>
      </c>
      <c r="M1036" s="8">
        <v>0</v>
      </c>
      <c r="N1036" s="8"/>
    </row>
    <row r="1037" spans="6:14" x14ac:dyDescent="0.35">
      <c r="F1037" s="1"/>
      <c r="K1037" s="8" t="s">
        <v>216</v>
      </c>
      <c r="L1037" s="8" t="s">
        <v>486</v>
      </c>
      <c r="M1037" s="8">
        <v>0</v>
      </c>
      <c r="N1037" s="8"/>
    </row>
    <row r="1038" spans="6:14" x14ac:dyDescent="0.35">
      <c r="F1038" s="1"/>
      <c r="K1038" s="8" t="s">
        <v>216</v>
      </c>
      <c r="L1038" s="8" t="s">
        <v>487</v>
      </c>
      <c r="M1038" s="8">
        <v>0</v>
      </c>
      <c r="N1038" s="8"/>
    </row>
    <row r="1039" spans="6:14" x14ac:dyDescent="0.35">
      <c r="F1039" s="1"/>
      <c r="K1039" s="8" t="s">
        <v>216</v>
      </c>
      <c r="L1039" s="8" t="s">
        <v>488</v>
      </c>
      <c r="M1039" s="8">
        <v>0</v>
      </c>
      <c r="N1039" s="8"/>
    </row>
    <row r="1040" spans="6:14" x14ac:dyDescent="0.35">
      <c r="F1040" s="1"/>
      <c r="K1040" s="8" t="s">
        <v>216</v>
      </c>
      <c r="L1040" s="8" t="s">
        <v>489</v>
      </c>
      <c r="M1040" s="8">
        <v>0</v>
      </c>
      <c r="N1040" s="8"/>
    </row>
    <row r="1041" spans="6:14" x14ac:dyDescent="0.35">
      <c r="F1041" s="1"/>
      <c r="K1041" s="8" t="s">
        <v>216</v>
      </c>
      <c r="L1041" s="8" t="s">
        <v>490</v>
      </c>
      <c r="M1041" s="8">
        <v>0</v>
      </c>
      <c r="N1041" s="8"/>
    </row>
    <row r="1042" spans="6:14" x14ac:dyDescent="0.35">
      <c r="F1042" s="1"/>
      <c r="K1042" s="8" t="s">
        <v>216</v>
      </c>
      <c r="L1042" s="8" t="s">
        <v>491</v>
      </c>
      <c r="M1042" s="8">
        <v>0</v>
      </c>
      <c r="N1042" s="8"/>
    </row>
    <row r="1043" spans="6:14" x14ac:dyDescent="0.35">
      <c r="F1043" s="1"/>
      <c r="K1043" s="8" t="s">
        <v>216</v>
      </c>
      <c r="L1043" s="8" t="s">
        <v>492</v>
      </c>
      <c r="M1043" s="8">
        <v>0</v>
      </c>
      <c r="N1043" s="8"/>
    </row>
    <row r="1044" spans="6:14" x14ac:dyDescent="0.35">
      <c r="F1044" s="1"/>
      <c r="K1044" s="8" t="s">
        <v>714</v>
      </c>
      <c r="L1044" s="8" t="s">
        <v>716</v>
      </c>
      <c r="M1044" s="8">
        <v>1</v>
      </c>
      <c r="N1044" s="8"/>
    </row>
    <row r="1045" spans="6:14" x14ac:dyDescent="0.35">
      <c r="F1045" s="1"/>
      <c r="K1045" s="8" t="s">
        <v>714</v>
      </c>
      <c r="L1045" s="8" t="s">
        <v>717</v>
      </c>
      <c r="M1045" s="8">
        <v>0</v>
      </c>
      <c r="N1045" s="8"/>
    </row>
    <row r="1046" spans="6:14" x14ac:dyDescent="0.35">
      <c r="F1046" s="1"/>
      <c r="K1046" s="8" t="s">
        <v>714</v>
      </c>
      <c r="L1046" s="8" t="s">
        <v>718</v>
      </c>
      <c r="M1046" s="8">
        <v>0</v>
      </c>
      <c r="N1046" s="8"/>
    </row>
    <row r="1047" spans="6:14" x14ac:dyDescent="0.35">
      <c r="F1047" s="1"/>
      <c r="K1047" s="8" t="s">
        <v>714</v>
      </c>
      <c r="L1047" s="8" t="s">
        <v>719</v>
      </c>
      <c r="M1047" s="8">
        <v>0</v>
      </c>
      <c r="N1047" s="8"/>
    </row>
    <row r="1048" spans="6:14" x14ac:dyDescent="0.35">
      <c r="F1048" s="1"/>
      <c r="K1048" s="8" t="s">
        <v>714</v>
      </c>
      <c r="L1048" s="8" t="s">
        <v>720</v>
      </c>
      <c r="M1048" s="8">
        <v>1</v>
      </c>
      <c r="N1048" s="8"/>
    </row>
    <row r="1049" spans="6:14" x14ac:dyDescent="0.35">
      <c r="F1049" s="1"/>
      <c r="K1049" s="8" t="s">
        <v>714</v>
      </c>
      <c r="L1049" s="8" t="s">
        <v>721</v>
      </c>
      <c r="M1049" s="8">
        <v>0</v>
      </c>
      <c r="N1049" s="8"/>
    </row>
    <row r="1050" spans="6:14" x14ac:dyDescent="0.35">
      <c r="F1050" s="1"/>
      <c r="K1050" s="8" t="s">
        <v>714</v>
      </c>
      <c r="L1050" s="8" t="s">
        <v>722</v>
      </c>
      <c r="M1050" s="8">
        <v>0</v>
      </c>
      <c r="N1050" s="8"/>
    </row>
    <row r="1051" spans="6:14" x14ac:dyDescent="0.35">
      <c r="F1051" s="1"/>
      <c r="K1051" s="8" t="s">
        <v>714</v>
      </c>
      <c r="L1051" s="8" t="s">
        <v>723</v>
      </c>
      <c r="M1051" s="8">
        <v>0</v>
      </c>
      <c r="N1051" s="8"/>
    </row>
    <row r="1052" spans="6:14" x14ac:dyDescent="0.35">
      <c r="F1052" s="1"/>
      <c r="K1052" s="8" t="s">
        <v>714</v>
      </c>
      <c r="L1052" s="8" t="s">
        <v>724</v>
      </c>
      <c r="M1052" s="8">
        <v>0</v>
      </c>
      <c r="N1052" s="8"/>
    </row>
    <row r="1053" spans="6:14" x14ac:dyDescent="0.35">
      <c r="F1053" s="1"/>
      <c r="K1053" s="8" t="s">
        <v>714</v>
      </c>
      <c r="L1053" s="8" t="s">
        <v>715</v>
      </c>
      <c r="M1053" s="8">
        <v>1</v>
      </c>
      <c r="N1053" s="8"/>
    </row>
    <row r="1054" spans="6:14" x14ac:dyDescent="0.35">
      <c r="F1054" s="1"/>
      <c r="K1054" s="8" t="s">
        <v>714</v>
      </c>
      <c r="L1054" s="8" t="s">
        <v>725</v>
      </c>
      <c r="M1054" s="8">
        <v>0</v>
      </c>
      <c r="N1054" s="8"/>
    </row>
    <row r="1055" spans="6:14" x14ac:dyDescent="0.35">
      <c r="F1055" s="1"/>
      <c r="K1055" s="8" t="s">
        <v>714</v>
      </c>
      <c r="L1055" s="8" t="s">
        <v>726</v>
      </c>
      <c r="M1055" s="8">
        <v>1</v>
      </c>
      <c r="N1055" s="8" t="s">
        <v>476</v>
      </c>
    </row>
    <row r="1056" spans="6:14" x14ac:dyDescent="0.35">
      <c r="F1056" s="1"/>
      <c r="K1056" s="8" t="s">
        <v>714</v>
      </c>
      <c r="L1056" s="8" t="s">
        <v>727</v>
      </c>
      <c r="M1056" s="8">
        <v>0</v>
      </c>
      <c r="N1056" s="8"/>
    </row>
    <row r="1057" spans="6:14" x14ac:dyDescent="0.35">
      <c r="F1057" s="1"/>
      <c r="K1057" s="8" t="s">
        <v>714</v>
      </c>
      <c r="L1057" s="8" t="s">
        <v>728</v>
      </c>
      <c r="M1057" s="8">
        <v>0</v>
      </c>
      <c r="N1057" s="8"/>
    </row>
    <row r="1058" spans="6:14" x14ac:dyDescent="0.35">
      <c r="F1058" s="1"/>
      <c r="K1058" s="8" t="s">
        <v>714</v>
      </c>
      <c r="L1058" s="8" t="s">
        <v>729</v>
      </c>
      <c r="M1058" s="8">
        <v>0</v>
      </c>
      <c r="N1058" s="8"/>
    </row>
    <row r="1059" spans="6:14" x14ac:dyDescent="0.35">
      <c r="F1059" s="1"/>
      <c r="K1059" s="8" t="s">
        <v>714</v>
      </c>
      <c r="L1059" s="8" t="s">
        <v>730</v>
      </c>
      <c r="M1059" s="8">
        <v>0</v>
      </c>
      <c r="N1059" s="8"/>
    </row>
    <row r="1060" spans="6:14" x14ac:dyDescent="0.35">
      <c r="F1060" s="1"/>
      <c r="K1060" s="8" t="s">
        <v>714</v>
      </c>
      <c r="L1060" s="8" t="s">
        <v>731</v>
      </c>
      <c r="M1060" s="8">
        <v>0</v>
      </c>
      <c r="N1060" s="8"/>
    </row>
    <row r="1061" spans="6:14" x14ac:dyDescent="0.35">
      <c r="F1061" s="1"/>
      <c r="K1061" s="8" t="s">
        <v>714</v>
      </c>
      <c r="L1061" s="8" t="s">
        <v>732</v>
      </c>
      <c r="M1061" s="8">
        <v>0</v>
      </c>
      <c r="N1061" s="8"/>
    </row>
    <row r="1062" spans="6:14" x14ac:dyDescent="0.35">
      <c r="F1062" s="1"/>
      <c r="K1062" s="8" t="s">
        <v>714</v>
      </c>
      <c r="L1062" s="8" t="s">
        <v>733</v>
      </c>
      <c r="M1062" s="8">
        <v>0</v>
      </c>
      <c r="N1062" s="8"/>
    </row>
    <row r="1063" spans="6:14" x14ac:dyDescent="0.35">
      <c r="F1063" s="1"/>
      <c r="K1063" s="8" t="s">
        <v>714</v>
      </c>
      <c r="L1063" s="8" t="s">
        <v>734</v>
      </c>
      <c r="M1063" s="8">
        <v>0</v>
      </c>
      <c r="N1063" s="8"/>
    </row>
    <row r="1064" spans="6:14" x14ac:dyDescent="0.35">
      <c r="F1064" s="1"/>
      <c r="K1064" s="8" t="s">
        <v>714</v>
      </c>
      <c r="L1064" s="8" t="s">
        <v>735</v>
      </c>
      <c r="M1064" s="8">
        <v>0</v>
      </c>
      <c r="N1064" s="8"/>
    </row>
    <row r="1065" spans="6:14" x14ac:dyDescent="0.35">
      <c r="F1065" s="1"/>
      <c r="K1065" s="8" t="s">
        <v>714</v>
      </c>
      <c r="L1065" s="8" t="s">
        <v>736</v>
      </c>
      <c r="M1065" s="8">
        <v>0</v>
      </c>
      <c r="N1065" s="8"/>
    </row>
    <row r="1066" spans="6:14" x14ac:dyDescent="0.35">
      <c r="F1066" s="1"/>
      <c r="K1066" s="8" t="s">
        <v>714</v>
      </c>
      <c r="L1066" s="8" t="s">
        <v>737</v>
      </c>
      <c r="M1066" s="8">
        <v>0</v>
      </c>
      <c r="N1066" s="8"/>
    </row>
    <row r="1067" spans="6:14" x14ac:dyDescent="0.35">
      <c r="F1067" s="1"/>
      <c r="K1067" s="8" t="s">
        <v>714</v>
      </c>
      <c r="L1067" s="8" t="s">
        <v>738</v>
      </c>
      <c r="M1067" s="8">
        <v>0</v>
      </c>
      <c r="N1067" s="8"/>
    </row>
    <row r="1068" spans="6:14" x14ac:dyDescent="0.35">
      <c r="F1068" s="1"/>
      <c r="K1068" s="8" t="s">
        <v>714</v>
      </c>
      <c r="L1068" s="8" t="s">
        <v>739</v>
      </c>
      <c r="M1068" s="8">
        <v>0</v>
      </c>
      <c r="N1068" s="8"/>
    </row>
    <row r="1069" spans="6:14" x14ac:dyDescent="0.35">
      <c r="F1069" s="1"/>
      <c r="K1069" s="8" t="s">
        <v>714</v>
      </c>
      <c r="L1069" s="8" t="s">
        <v>740</v>
      </c>
      <c r="M1069" s="8">
        <v>0</v>
      </c>
      <c r="N1069" s="8"/>
    </row>
    <row r="1070" spans="6:14" x14ac:dyDescent="0.35">
      <c r="F1070" s="1"/>
      <c r="K1070" s="8" t="s">
        <v>714</v>
      </c>
      <c r="L1070" s="8" t="s">
        <v>741</v>
      </c>
      <c r="M1070" s="8">
        <v>0</v>
      </c>
      <c r="N1070" s="8"/>
    </row>
    <row r="1071" spans="6:14" x14ac:dyDescent="0.35">
      <c r="F1071" s="1"/>
      <c r="K1071" s="8" t="s">
        <v>714</v>
      </c>
      <c r="L1071" s="8" t="s">
        <v>480</v>
      </c>
      <c r="M1071" s="8">
        <v>0</v>
      </c>
      <c r="N1071" s="8"/>
    </row>
    <row r="1072" spans="6:14" x14ac:dyDescent="0.35">
      <c r="F1072" s="1"/>
      <c r="K1072" s="8" t="s">
        <v>714</v>
      </c>
      <c r="L1072" s="8" t="s">
        <v>481</v>
      </c>
      <c r="M1072" s="8">
        <v>0</v>
      </c>
      <c r="N1072" s="8"/>
    </row>
    <row r="1073" spans="6:14" x14ac:dyDescent="0.35">
      <c r="F1073" s="1"/>
      <c r="K1073" s="8" t="s">
        <v>714</v>
      </c>
      <c r="L1073" s="8" t="s">
        <v>482</v>
      </c>
      <c r="M1073" s="8">
        <v>0</v>
      </c>
      <c r="N1073" s="8"/>
    </row>
    <row r="1074" spans="6:14" x14ac:dyDescent="0.35">
      <c r="F1074" s="1"/>
      <c r="K1074" s="8" t="s">
        <v>714</v>
      </c>
      <c r="L1074" s="8" t="s">
        <v>483</v>
      </c>
      <c r="M1074" s="8">
        <v>0</v>
      </c>
      <c r="N1074" s="8"/>
    </row>
    <row r="1075" spans="6:14" x14ac:dyDescent="0.35">
      <c r="F1075" s="1"/>
      <c r="K1075" s="8" t="s">
        <v>714</v>
      </c>
      <c r="L1075" s="8" t="s">
        <v>484</v>
      </c>
      <c r="M1075" s="8">
        <v>0</v>
      </c>
      <c r="N1075" s="8"/>
    </row>
    <row r="1076" spans="6:14" x14ac:dyDescent="0.35">
      <c r="F1076" s="1"/>
      <c r="K1076" s="8" t="s">
        <v>714</v>
      </c>
      <c r="L1076" s="8" t="s">
        <v>742</v>
      </c>
      <c r="M1076" s="8">
        <v>0</v>
      </c>
      <c r="N1076" s="8"/>
    </row>
    <row r="1077" spans="6:14" x14ac:dyDescent="0.35">
      <c r="F1077" s="1"/>
      <c r="K1077" s="8" t="s">
        <v>714</v>
      </c>
      <c r="L1077" s="8" t="s">
        <v>486</v>
      </c>
      <c r="M1077" s="8">
        <v>0</v>
      </c>
      <c r="N1077" s="8"/>
    </row>
    <row r="1078" spans="6:14" x14ac:dyDescent="0.35">
      <c r="F1078" s="1"/>
      <c r="K1078" s="8" t="s">
        <v>714</v>
      </c>
      <c r="L1078" s="8" t="s">
        <v>487</v>
      </c>
      <c r="M1078" s="8">
        <v>0</v>
      </c>
      <c r="N1078" s="8"/>
    </row>
    <row r="1079" spans="6:14" x14ac:dyDescent="0.35">
      <c r="F1079" s="1"/>
      <c r="K1079" s="8" t="s">
        <v>714</v>
      </c>
      <c r="L1079" s="8" t="s">
        <v>488</v>
      </c>
      <c r="M1079" s="8">
        <v>0</v>
      </c>
      <c r="N1079" s="8"/>
    </row>
    <row r="1080" spans="6:14" x14ac:dyDescent="0.35">
      <c r="F1080" s="1"/>
      <c r="K1080" s="8" t="s">
        <v>714</v>
      </c>
      <c r="L1080" s="8" t="s">
        <v>489</v>
      </c>
      <c r="M1080" s="8">
        <v>0</v>
      </c>
      <c r="N1080" s="8"/>
    </row>
    <row r="1081" spans="6:14" x14ac:dyDescent="0.35">
      <c r="F1081" s="1"/>
      <c r="K1081" s="8" t="s">
        <v>714</v>
      </c>
      <c r="L1081" s="8" t="s">
        <v>490</v>
      </c>
      <c r="M1081" s="8">
        <v>0</v>
      </c>
      <c r="N1081" s="8"/>
    </row>
    <row r="1082" spans="6:14" x14ac:dyDescent="0.35">
      <c r="F1082" s="1"/>
      <c r="K1082" s="8" t="s">
        <v>714</v>
      </c>
      <c r="L1082" s="8" t="s">
        <v>491</v>
      </c>
      <c r="M1082" s="8">
        <v>0</v>
      </c>
      <c r="N1082" s="8"/>
    </row>
    <row r="1083" spans="6:14" x14ac:dyDescent="0.35">
      <c r="F1083" s="1"/>
      <c r="K1083" s="8" t="s">
        <v>714</v>
      </c>
      <c r="L1083" s="8" t="s">
        <v>492</v>
      </c>
      <c r="M1083" s="8">
        <v>0</v>
      </c>
      <c r="N1083" s="8"/>
    </row>
    <row r="1084" spans="6:14" x14ac:dyDescent="0.35">
      <c r="F1084" s="1"/>
      <c r="K1084" s="8" t="s">
        <v>217</v>
      </c>
      <c r="L1084" s="8" t="s">
        <v>894</v>
      </c>
      <c r="M1084" s="8">
        <v>0</v>
      </c>
      <c r="N1084" s="8"/>
    </row>
    <row r="1085" spans="6:14" x14ac:dyDescent="0.35">
      <c r="F1085" s="1"/>
      <c r="K1085" s="8" t="s">
        <v>217</v>
      </c>
      <c r="L1085" s="8" t="s">
        <v>480</v>
      </c>
      <c r="M1085" s="8">
        <v>0</v>
      </c>
      <c r="N1085" s="8"/>
    </row>
    <row r="1086" spans="6:14" x14ac:dyDescent="0.35">
      <c r="F1086" s="1"/>
      <c r="K1086" s="8" t="s">
        <v>217</v>
      </c>
      <c r="L1086" s="8" t="s">
        <v>481</v>
      </c>
      <c r="M1086" s="8">
        <v>0</v>
      </c>
      <c r="N1086" s="8"/>
    </row>
    <row r="1087" spans="6:14" x14ac:dyDescent="0.35">
      <c r="F1087" s="1"/>
      <c r="K1087" s="8" t="s">
        <v>217</v>
      </c>
      <c r="L1087" s="8" t="s">
        <v>482</v>
      </c>
      <c r="M1087" s="8">
        <v>0</v>
      </c>
      <c r="N1087" s="8"/>
    </row>
    <row r="1088" spans="6:14" x14ac:dyDescent="0.35">
      <c r="F1088" s="1"/>
      <c r="K1088" s="8" t="s">
        <v>217</v>
      </c>
      <c r="L1088" s="8" t="s">
        <v>483</v>
      </c>
      <c r="M1088" s="8">
        <v>0</v>
      </c>
      <c r="N1088" s="8"/>
    </row>
    <row r="1089" spans="6:14" x14ac:dyDescent="0.35">
      <c r="F1089" s="1"/>
      <c r="K1089" s="8" t="s">
        <v>217</v>
      </c>
      <c r="L1089" s="8" t="s">
        <v>484</v>
      </c>
      <c r="M1089" s="8">
        <v>0</v>
      </c>
      <c r="N1089" s="8"/>
    </row>
    <row r="1090" spans="6:14" x14ac:dyDescent="0.35">
      <c r="F1090" s="1"/>
      <c r="K1090" s="8" t="s">
        <v>217</v>
      </c>
      <c r="L1090" s="8" t="s">
        <v>900</v>
      </c>
      <c r="M1090" s="8">
        <v>1</v>
      </c>
      <c r="N1090" s="8" t="s">
        <v>476</v>
      </c>
    </row>
    <row r="1091" spans="6:14" x14ac:dyDescent="0.35">
      <c r="F1091" s="1"/>
      <c r="K1091" s="8" t="s">
        <v>217</v>
      </c>
      <c r="L1091" s="8" t="s">
        <v>895</v>
      </c>
      <c r="M1091" s="8">
        <v>0</v>
      </c>
      <c r="N1091" s="8"/>
    </row>
    <row r="1092" spans="6:14" x14ac:dyDescent="0.35">
      <c r="F1092" s="1"/>
      <c r="K1092" s="8" t="s">
        <v>217</v>
      </c>
      <c r="L1092" s="8" t="s">
        <v>896</v>
      </c>
      <c r="M1092" s="8">
        <v>0</v>
      </c>
      <c r="N1092" s="8"/>
    </row>
    <row r="1093" spans="6:14" x14ac:dyDescent="0.35">
      <c r="F1093" s="1"/>
      <c r="K1093" s="8" t="s">
        <v>217</v>
      </c>
      <c r="L1093" s="8" t="s">
        <v>897</v>
      </c>
      <c r="M1093" s="8">
        <v>0</v>
      </c>
      <c r="N1093" s="8"/>
    </row>
    <row r="1094" spans="6:14" x14ac:dyDescent="0.35">
      <c r="F1094" s="1"/>
      <c r="K1094" s="8" t="s">
        <v>217</v>
      </c>
      <c r="L1094" s="8" t="s">
        <v>898</v>
      </c>
      <c r="M1094" s="8">
        <v>0</v>
      </c>
      <c r="N1094" s="8"/>
    </row>
    <row r="1095" spans="6:14" x14ac:dyDescent="0.35">
      <c r="F1095" s="1"/>
      <c r="K1095" s="8" t="s">
        <v>217</v>
      </c>
      <c r="L1095" s="8" t="s">
        <v>899</v>
      </c>
      <c r="M1095" s="8">
        <v>0</v>
      </c>
      <c r="N1095" s="8"/>
    </row>
    <row r="1096" spans="6:14" x14ac:dyDescent="0.35">
      <c r="F1096" s="1"/>
      <c r="K1096" s="8" t="s">
        <v>217</v>
      </c>
      <c r="L1096" s="8" t="s">
        <v>901</v>
      </c>
      <c r="M1096" s="8">
        <v>0</v>
      </c>
      <c r="N1096" s="8"/>
    </row>
    <row r="1097" spans="6:14" x14ac:dyDescent="0.35">
      <c r="F1097" s="1"/>
      <c r="K1097" s="8" t="s">
        <v>217</v>
      </c>
      <c r="L1097" s="8" t="s">
        <v>412</v>
      </c>
      <c r="M1097" s="8">
        <v>1</v>
      </c>
      <c r="N1097" s="8"/>
    </row>
    <row r="1098" spans="6:14" x14ac:dyDescent="0.35">
      <c r="F1098" s="1"/>
      <c r="K1098" s="8" t="s">
        <v>217</v>
      </c>
      <c r="L1098" s="8" t="s">
        <v>412</v>
      </c>
      <c r="M1098" s="8">
        <v>1</v>
      </c>
      <c r="N1098" s="8"/>
    </row>
    <row r="1099" spans="6:14" x14ac:dyDescent="0.35">
      <c r="F1099" s="1"/>
      <c r="K1099" s="8" t="s">
        <v>217</v>
      </c>
      <c r="L1099" s="8" t="s">
        <v>486</v>
      </c>
      <c r="M1099" s="8">
        <v>0</v>
      </c>
      <c r="N1099" s="8"/>
    </row>
    <row r="1100" spans="6:14" x14ac:dyDescent="0.35">
      <c r="F1100" s="1"/>
      <c r="K1100" s="8" t="s">
        <v>217</v>
      </c>
      <c r="L1100" s="8" t="s">
        <v>487</v>
      </c>
      <c r="M1100" s="8">
        <v>0</v>
      </c>
      <c r="N1100" s="8"/>
    </row>
    <row r="1101" spans="6:14" x14ac:dyDescent="0.35">
      <c r="F1101" s="1"/>
      <c r="K1101" s="8" t="s">
        <v>217</v>
      </c>
      <c r="L1101" s="8" t="s">
        <v>488</v>
      </c>
      <c r="M1101" s="8">
        <v>0</v>
      </c>
      <c r="N1101" s="8"/>
    </row>
    <row r="1102" spans="6:14" x14ac:dyDescent="0.35">
      <c r="F1102" s="1"/>
      <c r="K1102" s="8" t="s">
        <v>217</v>
      </c>
      <c r="L1102" s="8" t="s">
        <v>489</v>
      </c>
      <c r="M1102" s="8">
        <v>0</v>
      </c>
      <c r="N1102" s="8"/>
    </row>
    <row r="1103" spans="6:14" x14ac:dyDescent="0.35">
      <c r="F1103" s="1"/>
      <c r="K1103" s="8" t="s">
        <v>217</v>
      </c>
      <c r="L1103" s="8" t="s">
        <v>490</v>
      </c>
      <c r="M1103" s="8">
        <v>0</v>
      </c>
      <c r="N1103" s="8"/>
    </row>
    <row r="1104" spans="6:14" x14ac:dyDescent="0.35">
      <c r="F1104" s="1"/>
      <c r="K1104" s="8" t="s">
        <v>217</v>
      </c>
      <c r="L1104" s="8" t="s">
        <v>902</v>
      </c>
      <c r="M1104" s="8">
        <v>1</v>
      </c>
      <c r="N1104" s="8" t="s">
        <v>564</v>
      </c>
    </row>
    <row r="1105" spans="6:14" x14ac:dyDescent="0.35">
      <c r="F1105" s="1"/>
      <c r="K1105" s="8" t="s">
        <v>217</v>
      </c>
      <c r="L1105" s="8" t="s">
        <v>903</v>
      </c>
      <c r="M1105" s="8">
        <v>1</v>
      </c>
      <c r="N1105" s="8" t="s">
        <v>476</v>
      </c>
    </row>
    <row r="1106" spans="6:14" x14ac:dyDescent="0.35">
      <c r="F1106" s="1"/>
      <c r="K1106" s="8" t="s">
        <v>217</v>
      </c>
      <c r="L1106" s="8" t="s">
        <v>904</v>
      </c>
      <c r="M1106" s="8">
        <v>1</v>
      </c>
      <c r="N1106" s="8" t="s">
        <v>517</v>
      </c>
    </row>
    <row r="1107" spans="6:14" x14ac:dyDescent="0.35">
      <c r="F1107" s="1"/>
      <c r="K1107" s="8" t="s">
        <v>217</v>
      </c>
      <c r="L1107" s="8" t="s">
        <v>491</v>
      </c>
      <c r="M1107" s="8">
        <v>0</v>
      </c>
      <c r="N1107" s="8"/>
    </row>
    <row r="1108" spans="6:14" x14ac:dyDescent="0.35">
      <c r="F1108" s="1"/>
      <c r="K1108" s="8" t="s">
        <v>217</v>
      </c>
      <c r="L1108" s="8" t="s">
        <v>492</v>
      </c>
      <c r="M1108" s="8">
        <v>0</v>
      </c>
      <c r="N1108" s="8"/>
    </row>
    <row r="1109" spans="6:14" x14ac:dyDescent="0.35">
      <c r="F1109" s="1"/>
      <c r="K1109" s="8" t="s">
        <v>217</v>
      </c>
      <c r="L1109" s="8" t="s">
        <v>493</v>
      </c>
      <c r="M1109" s="8">
        <v>0</v>
      </c>
      <c r="N1109" s="8"/>
    </row>
    <row r="1110" spans="6:14" x14ac:dyDescent="0.35">
      <c r="F1110" s="1"/>
      <c r="K1110" s="8" t="s">
        <v>217</v>
      </c>
      <c r="L1110" s="8" t="s">
        <v>905</v>
      </c>
      <c r="M1110" s="8">
        <v>1</v>
      </c>
      <c r="N1110" s="8" t="s">
        <v>612</v>
      </c>
    </row>
    <row r="1111" spans="6:14" x14ac:dyDescent="0.35">
      <c r="F1111" s="1"/>
      <c r="K1111" s="8" t="s">
        <v>217</v>
      </c>
      <c r="L1111" s="8" t="s">
        <v>380</v>
      </c>
      <c r="M1111" s="8">
        <v>0</v>
      </c>
      <c r="N1111" s="8"/>
    </row>
    <row r="1112" spans="6:14" x14ac:dyDescent="0.35">
      <c r="F1112" s="1"/>
      <c r="K1112" s="8" t="s">
        <v>217</v>
      </c>
      <c r="L1112" s="8" t="s">
        <v>906</v>
      </c>
      <c r="M1112" s="8">
        <v>0</v>
      </c>
      <c r="N1112" s="8"/>
    </row>
    <row r="1113" spans="6:14" x14ac:dyDescent="0.35">
      <c r="F1113" s="1"/>
      <c r="K1113" s="8" t="s">
        <v>218</v>
      </c>
      <c r="L1113" s="8" t="s">
        <v>519</v>
      </c>
      <c r="M1113" s="8">
        <v>1</v>
      </c>
      <c r="N1113" s="8" t="s">
        <v>517</v>
      </c>
    </row>
    <row r="1114" spans="6:14" x14ac:dyDescent="0.35">
      <c r="F1114" s="1"/>
      <c r="K1114" s="8" t="s">
        <v>218</v>
      </c>
      <c r="L1114" s="8" t="s">
        <v>520</v>
      </c>
      <c r="M1114" s="8">
        <v>1</v>
      </c>
      <c r="N1114" s="8" t="s">
        <v>476</v>
      </c>
    </row>
    <row r="1115" spans="6:14" x14ac:dyDescent="0.35">
      <c r="F1115" s="1"/>
      <c r="K1115" s="8" t="s">
        <v>218</v>
      </c>
      <c r="L1115" s="8" t="s">
        <v>386</v>
      </c>
      <c r="M1115" s="8">
        <v>1</v>
      </c>
      <c r="N1115" s="8"/>
    </row>
    <row r="1116" spans="6:14" x14ac:dyDescent="0.35">
      <c r="F1116" s="1"/>
      <c r="K1116" s="8" t="s">
        <v>218</v>
      </c>
      <c r="L1116" s="8" t="s">
        <v>480</v>
      </c>
      <c r="M1116" s="8">
        <v>0</v>
      </c>
      <c r="N1116" s="8"/>
    </row>
    <row r="1117" spans="6:14" x14ac:dyDescent="0.35">
      <c r="F1117" s="1"/>
      <c r="K1117" s="8" t="s">
        <v>218</v>
      </c>
      <c r="L1117" s="8" t="s">
        <v>481</v>
      </c>
      <c r="M1117" s="8">
        <v>0</v>
      </c>
      <c r="N1117" s="8"/>
    </row>
    <row r="1118" spans="6:14" x14ac:dyDescent="0.35">
      <c r="F1118" s="1"/>
      <c r="K1118" s="8" t="s">
        <v>218</v>
      </c>
      <c r="L1118" s="8" t="s">
        <v>482</v>
      </c>
      <c r="M1118" s="8">
        <v>0</v>
      </c>
      <c r="N1118" s="8"/>
    </row>
    <row r="1119" spans="6:14" x14ac:dyDescent="0.35">
      <c r="F1119" s="1"/>
      <c r="K1119" s="8" t="s">
        <v>218</v>
      </c>
      <c r="L1119" s="8" t="s">
        <v>483</v>
      </c>
      <c r="M1119" s="8">
        <v>0</v>
      </c>
      <c r="N1119" s="8"/>
    </row>
    <row r="1120" spans="6:14" x14ac:dyDescent="0.35">
      <c r="F1120" s="1"/>
      <c r="K1120" s="8" t="s">
        <v>218</v>
      </c>
      <c r="L1120" s="8" t="s">
        <v>484</v>
      </c>
      <c r="M1120" s="8">
        <v>0</v>
      </c>
      <c r="N1120" s="8"/>
    </row>
    <row r="1121" spans="6:14" x14ac:dyDescent="0.35">
      <c r="F1121" s="1"/>
      <c r="K1121" s="8" t="s">
        <v>218</v>
      </c>
      <c r="L1121" s="8" t="s">
        <v>521</v>
      </c>
      <c r="M1121" s="8">
        <v>0</v>
      </c>
      <c r="N1121" s="8"/>
    </row>
    <row r="1122" spans="6:14" x14ac:dyDescent="0.35">
      <c r="F1122" s="1"/>
      <c r="K1122" s="8" t="s">
        <v>218</v>
      </c>
      <c r="L1122" s="8" t="s">
        <v>486</v>
      </c>
      <c r="M1122" s="8">
        <v>0</v>
      </c>
      <c r="N1122" s="8"/>
    </row>
    <row r="1123" spans="6:14" x14ac:dyDescent="0.35">
      <c r="F1123" s="1"/>
      <c r="K1123" s="8" t="s">
        <v>218</v>
      </c>
      <c r="L1123" s="8" t="s">
        <v>487</v>
      </c>
      <c r="M1123" s="8">
        <v>0</v>
      </c>
      <c r="N1123" s="8"/>
    </row>
    <row r="1124" spans="6:14" x14ac:dyDescent="0.35">
      <c r="F1124" s="1"/>
      <c r="K1124" s="8" t="s">
        <v>218</v>
      </c>
      <c r="L1124" s="8" t="s">
        <v>488</v>
      </c>
      <c r="M1124" s="8">
        <v>0</v>
      </c>
      <c r="N1124" s="8"/>
    </row>
    <row r="1125" spans="6:14" x14ac:dyDescent="0.35">
      <c r="F1125" s="1"/>
      <c r="K1125" s="8" t="s">
        <v>218</v>
      </c>
      <c r="L1125" s="8" t="s">
        <v>489</v>
      </c>
      <c r="M1125" s="8">
        <v>0</v>
      </c>
      <c r="N1125" s="8"/>
    </row>
    <row r="1126" spans="6:14" x14ac:dyDescent="0.35">
      <c r="F1126" s="1"/>
      <c r="K1126" s="8" t="s">
        <v>218</v>
      </c>
      <c r="L1126" s="8" t="s">
        <v>490</v>
      </c>
      <c r="M1126" s="8">
        <v>0</v>
      </c>
      <c r="N1126" s="8"/>
    </row>
    <row r="1127" spans="6:14" x14ac:dyDescent="0.35">
      <c r="F1127" s="1"/>
      <c r="K1127" s="8" t="s">
        <v>218</v>
      </c>
      <c r="L1127" s="8" t="s">
        <v>491</v>
      </c>
      <c r="M1127" s="8">
        <v>0</v>
      </c>
      <c r="N1127" s="8"/>
    </row>
    <row r="1128" spans="6:14" x14ac:dyDescent="0.35">
      <c r="F1128" s="1"/>
      <c r="K1128" s="8" t="s">
        <v>218</v>
      </c>
      <c r="L1128" s="8" t="s">
        <v>492</v>
      </c>
      <c r="M1128" s="8">
        <v>0</v>
      </c>
      <c r="N1128" s="8"/>
    </row>
    <row r="1129" spans="6:14" x14ac:dyDescent="0.35">
      <c r="F1129" s="1"/>
      <c r="K1129" s="8" t="s">
        <v>218</v>
      </c>
      <c r="L1129" s="8" t="s">
        <v>493</v>
      </c>
      <c r="M1129" s="8">
        <v>0</v>
      </c>
      <c r="N1129" s="8"/>
    </row>
    <row r="1130" spans="6:14" x14ac:dyDescent="0.35">
      <c r="F1130" s="1"/>
      <c r="K1130" s="8" t="s">
        <v>218</v>
      </c>
      <c r="L1130" s="8" t="s">
        <v>494</v>
      </c>
      <c r="M1130" s="8">
        <v>0</v>
      </c>
      <c r="N1130" s="8"/>
    </row>
    <row r="1131" spans="6:14" x14ac:dyDescent="0.35">
      <c r="F1131" s="1"/>
      <c r="K1131" s="8" t="s">
        <v>218</v>
      </c>
      <c r="L1131" s="8" t="s">
        <v>495</v>
      </c>
      <c r="M1131" s="8">
        <v>0</v>
      </c>
      <c r="N1131" s="8"/>
    </row>
    <row r="1132" spans="6:14" x14ac:dyDescent="0.35">
      <c r="F1132" s="1"/>
      <c r="K1132" s="8" t="s">
        <v>219</v>
      </c>
      <c r="L1132" s="8" t="s">
        <v>386</v>
      </c>
      <c r="M1132" s="8">
        <v>1</v>
      </c>
      <c r="N1132" s="8"/>
    </row>
    <row r="1133" spans="6:14" x14ac:dyDescent="0.35">
      <c r="F1133" s="1"/>
      <c r="K1133" s="8" t="s">
        <v>219</v>
      </c>
      <c r="L1133" s="8" t="s">
        <v>480</v>
      </c>
      <c r="M1133" s="8">
        <v>0</v>
      </c>
      <c r="N1133" s="8"/>
    </row>
    <row r="1134" spans="6:14" x14ac:dyDescent="0.35">
      <c r="F1134" s="1"/>
      <c r="K1134" s="8" t="s">
        <v>219</v>
      </c>
      <c r="L1134" s="8" t="s">
        <v>481</v>
      </c>
      <c r="M1134" s="8">
        <v>0</v>
      </c>
      <c r="N1134" s="8"/>
    </row>
    <row r="1135" spans="6:14" x14ac:dyDescent="0.35">
      <c r="F1135" s="1"/>
      <c r="K1135" s="8" t="s">
        <v>219</v>
      </c>
      <c r="L1135" s="8" t="s">
        <v>482</v>
      </c>
      <c r="M1135" s="8">
        <v>0</v>
      </c>
      <c r="N1135" s="8"/>
    </row>
    <row r="1136" spans="6:14" x14ac:dyDescent="0.35">
      <c r="F1136" s="1"/>
      <c r="K1136" s="8" t="s">
        <v>219</v>
      </c>
      <c r="L1136" s="8" t="s">
        <v>483</v>
      </c>
      <c r="M1136" s="8">
        <v>0</v>
      </c>
      <c r="N1136" s="8"/>
    </row>
    <row r="1137" spans="6:14" x14ac:dyDescent="0.35">
      <c r="F1137" s="1"/>
      <c r="K1137" s="8" t="s">
        <v>219</v>
      </c>
      <c r="L1137" s="8" t="s">
        <v>484</v>
      </c>
      <c r="M1137" s="8">
        <v>0</v>
      </c>
      <c r="N1137" s="8"/>
    </row>
    <row r="1138" spans="6:14" x14ac:dyDescent="0.35">
      <c r="F1138" s="1"/>
      <c r="K1138" s="8" t="s">
        <v>219</v>
      </c>
      <c r="L1138" s="8" t="s">
        <v>608</v>
      </c>
      <c r="M1138" s="8">
        <v>1</v>
      </c>
      <c r="N1138" s="8" t="s">
        <v>517</v>
      </c>
    </row>
    <row r="1139" spans="6:14" x14ac:dyDescent="0.35">
      <c r="F1139" s="1"/>
      <c r="K1139" s="8" t="s">
        <v>219</v>
      </c>
      <c r="L1139" s="8" t="s">
        <v>609</v>
      </c>
      <c r="M1139" s="8">
        <v>1</v>
      </c>
      <c r="N1139" s="8" t="s">
        <v>476</v>
      </c>
    </row>
    <row r="1140" spans="6:14" x14ac:dyDescent="0.35">
      <c r="F1140" s="1"/>
      <c r="K1140" s="8" t="s">
        <v>219</v>
      </c>
      <c r="L1140" s="8" t="s">
        <v>375</v>
      </c>
      <c r="M1140" s="8">
        <v>1</v>
      </c>
      <c r="N1140" s="8"/>
    </row>
    <row r="1141" spans="6:14" x14ac:dyDescent="0.35">
      <c r="F1141" s="1"/>
      <c r="K1141" s="8" t="s">
        <v>219</v>
      </c>
      <c r="L1141" s="8" t="s">
        <v>376</v>
      </c>
      <c r="M1141" s="8">
        <v>1</v>
      </c>
      <c r="N1141" s="8"/>
    </row>
    <row r="1142" spans="6:14" x14ac:dyDescent="0.35">
      <c r="F1142" s="1"/>
      <c r="K1142" s="8" t="s">
        <v>219</v>
      </c>
      <c r="L1142" s="8" t="s">
        <v>486</v>
      </c>
      <c r="M1142" s="8">
        <v>0</v>
      </c>
      <c r="N1142" s="8"/>
    </row>
    <row r="1143" spans="6:14" x14ac:dyDescent="0.35">
      <c r="F1143" s="1"/>
      <c r="K1143" s="8" t="s">
        <v>219</v>
      </c>
      <c r="L1143" s="8" t="s">
        <v>487</v>
      </c>
      <c r="M1143" s="8">
        <v>0</v>
      </c>
      <c r="N1143" s="8"/>
    </row>
    <row r="1144" spans="6:14" x14ac:dyDescent="0.35">
      <c r="F1144" s="1"/>
      <c r="K1144" s="8" t="s">
        <v>219</v>
      </c>
      <c r="L1144" s="8" t="s">
        <v>488</v>
      </c>
      <c r="M1144" s="8">
        <v>0</v>
      </c>
      <c r="N1144" s="8"/>
    </row>
    <row r="1145" spans="6:14" x14ac:dyDescent="0.35">
      <c r="F1145" s="1"/>
      <c r="K1145" s="8" t="s">
        <v>219</v>
      </c>
      <c r="L1145" s="8" t="s">
        <v>489</v>
      </c>
      <c r="M1145" s="8">
        <v>0</v>
      </c>
      <c r="N1145" s="8"/>
    </row>
    <row r="1146" spans="6:14" x14ac:dyDescent="0.35">
      <c r="F1146" s="1"/>
      <c r="K1146" s="8" t="s">
        <v>219</v>
      </c>
      <c r="L1146" s="8" t="s">
        <v>490</v>
      </c>
      <c r="M1146" s="8">
        <v>0</v>
      </c>
      <c r="N1146" s="8"/>
    </row>
    <row r="1147" spans="6:14" x14ac:dyDescent="0.35">
      <c r="F1147" s="1"/>
      <c r="K1147" s="8" t="s">
        <v>219</v>
      </c>
      <c r="L1147" s="8" t="s">
        <v>491</v>
      </c>
      <c r="M1147" s="8">
        <v>0</v>
      </c>
      <c r="N1147" s="8"/>
    </row>
    <row r="1148" spans="6:14" x14ac:dyDescent="0.35">
      <c r="F1148" s="1"/>
      <c r="K1148" s="8" t="s">
        <v>219</v>
      </c>
      <c r="L1148" s="8" t="s">
        <v>492</v>
      </c>
      <c r="M1148" s="8">
        <v>0</v>
      </c>
      <c r="N1148" s="8"/>
    </row>
    <row r="1149" spans="6:14" x14ac:dyDescent="0.35">
      <c r="F1149" s="1"/>
      <c r="K1149" s="8" t="s">
        <v>219</v>
      </c>
      <c r="L1149" s="8" t="s">
        <v>493</v>
      </c>
      <c r="M1149" s="8">
        <v>0</v>
      </c>
      <c r="N1149" s="8"/>
    </row>
    <row r="1150" spans="6:14" x14ac:dyDescent="0.35">
      <c r="F1150" s="1"/>
      <c r="K1150" s="8" t="s">
        <v>219</v>
      </c>
      <c r="L1150" s="8" t="s">
        <v>494</v>
      </c>
      <c r="M1150" s="8">
        <v>0</v>
      </c>
      <c r="N1150" s="8"/>
    </row>
    <row r="1151" spans="6:14" x14ac:dyDescent="0.35">
      <c r="F1151" s="1"/>
      <c r="K1151" s="8" t="s">
        <v>219</v>
      </c>
      <c r="L1151" s="8" t="s">
        <v>495</v>
      </c>
      <c r="M1151" s="8">
        <v>0</v>
      </c>
      <c r="N1151" s="8"/>
    </row>
    <row r="1152" spans="6:14" x14ac:dyDescent="0.35">
      <c r="F1152" s="1"/>
      <c r="K1152" s="8" t="s">
        <v>220</v>
      </c>
      <c r="L1152" s="8" t="s">
        <v>480</v>
      </c>
      <c r="M1152" s="8">
        <v>0</v>
      </c>
      <c r="N1152" s="8"/>
    </row>
    <row r="1153" spans="6:14" x14ac:dyDescent="0.35">
      <c r="F1153" s="1"/>
      <c r="K1153" s="8" t="s">
        <v>220</v>
      </c>
      <c r="L1153" s="8" t="s">
        <v>481</v>
      </c>
      <c r="M1153" s="8">
        <v>0</v>
      </c>
      <c r="N1153" s="8"/>
    </row>
    <row r="1154" spans="6:14" x14ac:dyDescent="0.35">
      <c r="F1154" s="1"/>
      <c r="K1154" s="8" t="s">
        <v>220</v>
      </c>
      <c r="L1154" s="8" t="s">
        <v>482</v>
      </c>
      <c r="M1154" s="8">
        <v>0</v>
      </c>
      <c r="N1154" s="8"/>
    </row>
    <row r="1155" spans="6:14" x14ac:dyDescent="0.35">
      <c r="F1155" s="1"/>
      <c r="K1155" s="8" t="s">
        <v>220</v>
      </c>
      <c r="L1155" s="8" t="s">
        <v>483</v>
      </c>
      <c r="M1155" s="8">
        <v>0</v>
      </c>
      <c r="N1155" s="8"/>
    </row>
    <row r="1156" spans="6:14" x14ac:dyDescent="0.35">
      <c r="F1156" s="1"/>
      <c r="K1156" s="8" t="s">
        <v>220</v>
      </c>
      <c r="L1156" s="8" t="s">
        <v>484</v>
      </c>
      <c r="M1156" s="8">
        <v>0</v>
      </c>
      <c r="N1156" s="8"/>
    </row>
    <row r="1157" spans="6:14" x14ac:dyDescent="0.35">
      <c r="F1157" s="1"/>
      <c r="K1157" s="8" t="s">
        <v>220</v>
      </c>
      <c r="L1157" s="8" t="s">
        <v>995</v>
      </c>
      <c r="M1157" s="8">
        <v>0</v>
      </c>
      <c r="N1157" s="8"/>
    </row>
    <row r="1158" spans="6:14" x14ac:dyDescent="0.35">
      <c r="F1158" s="1"/>
      <c r="K1158" s="8" t="s">
        <v>220</v>
      </c>
      <c r="L1158" s="8" t="s">
        <v>996</v>
      </c>
      <c r="M1158" s="8">
        <v>0</v>
      </c>
      <c r="N1158" s="8"/>
    </row>
    <row r="1159" spans="6:14" x14ac:dyDescent="0.35">
      <c r="F1159" s="1"/>
      <c r="K1159" s="8" t="s">
        <v>220</v>
      </c>
      <c r="L1159" s="8" t="s">
        <v>997</v>
      </c>
      <c r="M1159" s="8">
        <v>0</v>
      </c>
      <c r="N1159" s="8"/>
    </row>
    <row r="1160" spans="6:14" x14ac:dyDescent="0.35">
      <c r="F1160" s="1"/>
      <c r="K1160" s="8" t="s">
        <v>220</v>
      </c>
      <c r="L1160" s="8" t="s">
        <v>998</v>
      </c>
      <c r="M1160" s="8">
        <v>0</v>
      </c>
      <c r="N1160" s="8"/>
    </row>
    <row r="1161" spans="6:14" x14ac:dyDescent="0.35">
      <c r="F1161" s="1"/>
      <c r="K1161" s="8" t="s">
        <v>220</v>
      </c>
      <c r="L1161" s="8" t="s">
        <v>379</v>
      </c>
      <c r="M1161" s="8">
        <v>1</v>
      </c>
      <c r="N1161" s="8"/>
    </row>
    <row r="1162" spans="6:14" x14ac:dyDescent="0.35">
      <c r="F1162" s="1"/>
      <c r="K1162" s="8" t="s">
        <v>220</v>
      </c>
      <c r="L1162" s="8" t="s">
        <v>999</v>
      </c>
      <c r="M1162" s="8">
        <v>0</v>
      </c>
      <c r="N1162" s="8"/>
    </row>
    <row r="1163" spans="6:14" x14ac:dyDescent="0.35">
      <c r="F1163" s="1"/>
      <c r="K1163" s="8" t="s">
        <v>220</v>
      </c>
      <c r="L1163" s="8" t="s">
        <v>486</v>
      </c>
      <c r="M1163" s="8">
        <v>0</v>
      </c>
      <c r="N1163" s="8"/>
    </row>
    <row r="1164" spans="6:14" x14ac:dyDescent="0.35">
      <c r="F1164" s="1"/>
      <c r="K1164" s="8" t="s">
        <v>220</v>
      </c>
      <c r="L1164" s="8" t="s">
        <v>487</v>
      </c>
      <c r="M1164" s="8">
        <v>0</v>
      </c>
      <c r="N1164" s="8"/>
    </row>
    <row r="1165" spans="6:14" x14ac:dyDescent="0.35">
      <c r="F1165" s="1"/>
      <c r="K1165" s="8" t="s">
        <v>220</v>
      </c>
      <c r="L1165" s="8" t="s">
        <v>488</v>
      </c>
      <c r="M1165" s="8">
        <v>0</v>
      </c>
      <c r="N1165" s="8"/>
    </row>
    <row r="1166" spans="6:14" x14ac:dyDescent="0.35">
      <c r="F1166" s="1"/>
      <c r="K1166" s="8" t="s">
        <v>220</v>
      </c>
      <c r="L1166" s="8" t="s">
        <v>489</v>
      </c>
      <c r="M1166" s="8">
        <v>0</v>
      </c>
      <c r="N1166" s="8"/>
    </row>
    <row r="1167" spans="6:14" x14ac:dyDescent="0.35">
      <c r="F1167" s="1"/>
      <c r="K1167" s="8" t="s">
        <v>220</v>
      </c>
      <c r="L1167" s="8" t="s">
        <v>490</v>
      </c>
      <c r="M1167" s="8">
        <v>0</v>
      </c>
      <c r="N1167" s="8"/>
    </row>
    <row r="1168" spans="6:14" x14ac:dyDescent="0.35">
      <c r="F1168" s="1"/>
      <c r="K1168" s="8" t="s">
        <v>220</v>
      </c>
      <c r="L1168" s="8" t="s">
        <v>491</v>
      </c>
      <c r="M1168" s="8">
        <v>0</v>
      </c>
      <c r="N1168" s="8"/>
    </row>
    <row r="1169" spans="6:14" x14ac:dyDescent="0.35">
      <c r="F1169" s="1"/>
      <c r="K1169" s="8" t="s">
        <v>220</v>
      </c>
      <c r="L1169" s="8" t="s">
        <v>492</v>
      </c>
      <c r="M1169" s="8">
        <v>0</v>
      </c>
      <c r="N1169" s="8"/>
    </row>
    <row r="1170" spans="6:14" x14ac:dyDescent="0.35">
      <c r="F1170" s="1"/>
      <c r="K1170" s="8" t="s">
        <v>220</v>
      </c>
      <c r="L1170" s="8" t="s">
        <v>493</v>
      </c>
      <c r="M1170" s="8">
        <v>0</v>
      </c>
      <c r="N1170" s="8"/>
    </row>
    <row r="1171" spans="6:14" x14ac:dyDescent="0.35">
      <c r="F1171" s="1"/>
      <c r="K1171" s="8" t="s">
        <v>220</v>
      </c>
      <c r="L1171" s="8" t="s">
        <v>494</v>
      </c>
      <c r="M1171" s="8">
        <v>0</v>
      </c>
      <c r="N1171" s="8"/>
    </row>
    <row r="1172" spans="6:14" x14ac:dyDescent="0.35">
      <c r="F1172" s="1"/>
      <c r="K1172" s="8" t="s">
        <v>220</v>
      </c>
      <c r="L1172" s="8" t="s">
        <v>495</v>
      </c>
      <c r="M1172" s="8">
        <v>0</v>
      </c>
      <c r="N1172" s="8"/>
    </row>
    <row r="1173" spans="6:14" x14ac:dyDescent="0.35">
      <c r="F1173" s="1"/>
      <c r="K1173" s="8" t="s">
        <v>221</v>
      </c>
      <c r="L1173" s="8" t="s">
        <v>480</v>
      </c>
      <c r="M1173" s="8">
        <v>0</v>
      </c>
      <c r="N1173" s="8"/>
    </row>
    <row r="1174" spans="6:14" x14ac:dyDescent="0.35">
      <c r="F1174" s="1"/>
      <c r="K1174" s="8" t="s">
        <v>221</v>
      </c>
      <c r="L1174" s="8" t="s">
        <v>481</v>
      </c>
      <c r="M1174" s="8">
        <v>0</v>
      </c>
      <c r="N1174" s="8"/>
    </row>
    <row r="1175" spans="6:14" x14ac:dyDescent="0.35">
      <c r="F1175" s="1"/>
      <c r="K1175" s="8" t="s">
        <v>221</v>
      </c>
      <c r="L1175" s="8" t="s">
        <v>482</v>
      </c>
      <c r="M1175" s="8">
        <v>0</v>
      </c>
      <c r="N1175" s="8"/>
    </row>
    <row r="1176" spans="6:14" x14ac:dyDescent="0.35">
      <c r="F1176" s="1"/>
      <c r="K1176" s="8" t="s">
        <v>221</v>
      </c>
      <c r="L1176" s="8" t="s">
        <v>483</v>
      </c>
      <c r="M1176" s="8">
        <v>0</v>
      </c>
      <c r="N1176" s="8"/>
    </row>
    <row r="1177" spans="6:14" x14ac:dyDescent="0.35">
      <c r="F1177" s="1"/>
      <c r="K1177" s="8" t="s">
        <v>221</v>
      </c>
      <c r="L1177" s="8" t="s">
        <v>484</v>
      </c>
      <c r="M1177" s="8">
        <v>0</v>
      </c>
      <c r="N1177" s="8"/>
    </row>
    <row r="1178" spans="6:14" x14ac:dyDescent="0.35">
      <c r="F1178" s="1"/>
      <c r="K1178" s="8" t="s">
        <v>221</v>
      </c>
      <c r="L1178" s="8" t="s">
        <v>413</v>
      </c>
      <c r="M1178" s="8">
        <v>1</v>
      </c>
      <c r="N1178" s="8"/>
    </row>
    <row r="1179" spans="6:14" x14ac:dyDescent="0.35">
      <c r="F1179" s="1"/>
      <c r="K1179" s="8" t="s">
        <v>221</v>
      </c>
      <c r="L1179" s="8" t="s">
        <v>652</v>
      </c>
      <c r="M1179" s="8">
        <v>0</v>
      </c>
      <c r="N1179" s="8"/>
    </row>
    <row r="1180" spans="6:14" x14ac:dyDescent="0.35">
      <c r="F1180" s="1"/>
      <c r="K1180" s="8" t="s">
        <v>221</v>
      </c>
      <c r="L1180" s="8" t="s">
        <v>653</v>
      </c>
      <c r="M1180" s="8">
        <v>1</v>
      </c>
      <c r="N1180" s="8" t="s">
        <v>476</v>
      </c>
    </row>
    <row r="1181" spans="6:14" x14ac:dyDescent="0.35">
      <c r="F1181" s="1"/>
      <c r="K1181" s="8" t="s">
        <v>221</v>
      </c>
      <c r="L1181" s="8" t="s">
        <v>486</v>
      </c>
      <c r="M1181" s="8">
        <v>0</v>
      </c>
      <c r="N1181" s="8"/>
    </row>
    <row r="1182" spans="6:14" x14ac:dyDescent="0.35">
      <c r="F1182" s="1"/>
      <c r="K1182" s="8" t="s">
        <v>221</v>
      </c>
      <c r="L1182" s="8" t="s">
        <v>487</v>
      </c>
      <c r="M1182" s="8">
        <v>0</v>
      </c>
      <c r="N1182" s="8"/>
    </row>
    <row r="1183" spans="6:14" x14ac:dyDescent="0.35">
      <c r="F1183" s="1"/>
      <c r="K1183" s="8" t="s">
        <v>221</v>
      </c>
      <c r="L1183" s="8" t="s">
        <v>488</v>
      </c>
      <c r="M1183" s="8">
        <v>0</v>
      </c>
      <c r="N1183" s="8"/>
    </row>
    <row r="1184" spans="6:14" x14ac:dyDescent="0.35">
      <c r="F1184" s="1"/>
      <c r="K1184" s="8" t="s">
        <v>221</v>
      </c>
      <c r="L1184" s="8" t="s">
        <v>489</v>
      </c>
      <c r="M1184" s="8">
        <v>0</v>
      </c>
      <c r="N1184" s="8"/>
    </row>
    <row r="1185" spans="6:14" x14ac:dyDescent="0.35">
      <c r="F1185" s="1"/>
      <c r="K1185" s="8" t="s">
        <v>221</v>
      </c>
      <c r="L1185" s="8" t="s">
        <v>490</v>
      </c>
      <c r="M1185" s="8">
        <v>0</v>
      </c>
      <c r="N1185" s="8"/>
    </row>
    <row r="1186" spans="6:14" x14ac:dyDescent="0.35">
      <c r="F1186" s="1"/>
      <c r="K1186" s="8" t="s">
        <v>221</v>
      </c>
      <c r="L1186" s="8" t="s">
        <v>491</v>
      </c>
      <c r="M1186" s="8">
        <v>0</v>
      </c>
      <c r="N1186" s="8"/>
    </row>
    <row r="1187" spans="6:14" x14ac:dyDescent="0.35">
      <c r="F1187" s="1"/>
      <c r="K1187" s="8" t="s">
        <v>221</v>
      </c>
      <c r="L1187" s="8" t="s">
        <v>492</v>
      </c>
      <c r="M1187" s="8">
        <v>0</v>
      </c>
      <c r="N1187" s="8"/>
    </row>
    <row r="1188" spans="6:14" x14ac:dyDescent="0.35">
      <c r="F1188" s="1"/>
      <c r="K1188" s="8" t="s">
        <v>221</v>
      </c>
      <c r="L1188" s="8" t="s">
        <v>493</v>
      </c>
      <c r="M1188" s="8">
        <v>0</v>
      </c>
      <c r="N1188" s="8"/>
    </row>
    <row r="1189" spans="6:14" x14ac:dyDescent="0.35">
      <c r="F1189" s="1"/>
      <c r="K1189" s="8" t="s">
        <v>221</v>
      </c>
      <c r="L1189" s="8" t="s">
        <v>494</v>
      </c>
      <c r="M1189" s="8">
        <v>0</v>
      </c>
      <c r="N1189" s="8"/>
    </row>
    <row r="1190" spans="6:14" x14ac:dyDescent="0.35">
      <c r="F1190" s="1"/>
      <c r="K1190" s="8" t="s">
        <v>221</v>
      </c>
      <c r="L1190" s="8" t="s">
        <v>495</v>
      </c>
      <c r="M1190" s="8">
        <v>0</v>
      </c>
      <c r="N1190" s="8"/>
    </row>
    <row r="1191" spans="6:14" x14ac:dyDescent="0.35">
      <c r="F1191" s="1"/>
      <c r="K1191" s="8" t="s">
        <v>222</v>
      </c>
      <c r="L1191" s="8" t="s">
        <v>542</v>
      </c>
      <c r="M1191" s="8">
        <v>1</v>
      </c>
      <c r="N1191" s="8" t="s">
        <v>476</v>
      </c>
    </row>
    <row r="1192" spans="6:14" x14ac:dyDescent="0.35">
      <c r="F1192" s="1"/>
      <c r="K1192" s="8" t="s">
        <v>222</v>
      </c>
      <c r="L1192" s="8" t="s">
        <v>543</v>
      </c>
      <c r="M1192" s="8">
        <v>0</v>
      </c>
      <c r="N1192" s="8"/>
    </row>
    <row r="1193" spans="6:14" x14ac:dyDescent="0.35">
      <c r="F1193" s="1"/>
      <c r="K1193" s="8" t="s">
        <v>222</v>
      </c>
      <c r="L1193" s="8" t="s">
        <v>544</v>
      </c>
      <c r="M1193" s="8">
        <v>1</v>
      </c>
      <c r="N1193" s="8" t="s">
        <v>476</v>
      </c>
    </row>
    <row r="1194" spans="6:14" x14ac:dyDescent="0.35">
      <c r="F1194" s="1"/>
      <c r="K1194" s="8" t="s">
        <v>222</v>
      </c>
      <c r="L1194" s="8" t="s">
        <v>480</v>
      </c>
      <c r="M1194" s="8">
        <v>0</v>
      </c>
      <c r="N1194" s="8"/>
    </row>
    <row r="1195" spans="6:14" x14ac:dyDescent="0.35">
      <c r="F1195" s="1"/>
      <c r="K1195" s="8" t="s">
        <v>222</v>
      </c>
      <c r="L1195" s="8" t="s">
        <v>481</v>
      </c>
      <c r="M1195" s="8">
        <v>0</v>
      </c>
      <c r="N1195" s="8"/>
    </row>
    <row r="1196" spans="6:14" x14ac:dyDescent="0.35">
      <c r="F1196" s="1"/>
      <c r="K1196" s="8" t="s">
        <v>222</v>
      </c>
      <c r="L1196" s="8" t="s">
        <v>482</v>
      </c>
      <c r="M1196" s="8">
        <v>0</v>
      </c>
      <c r="N1196" s="8"/>
    </row>
    <row r="1197" spans="6:14" x14ac:dyDescent="0.35">
      <c r="F1197" s="1"/>
      <c r="K1197" s="8" t="s">
        <v>222</v>
      </c>
      <c r="L1197" s="8" t="s">
        <v>483</v>
      </c>
      <c r="M1197" s="8">
        <v>0</v>
      </c>
      <c r="N1197" s="8"/>
    </row>
    <row r="1198" spans="6:14" x14ac:dyDescent="0.35">
      <c r="F1198" s="1"/>
      <c r="K1198" s="8" t="s">
        <v>222</v>
      </c>
      <c r="L1198" s="8" t="s">
        <v>484</v>
      </c>
      <c r="M1198" s="8">
        <v>0</v>
      </c>
      <c r="N1198" s="8"/>
    </row>
    <row r="1199" spans="6:14" x14ac:dyDescent="0.35">
      <c r="F1199" s="1"/>
      <c r="K1199" s="8" t="s">
        <v>222</v>
      </c>
      <c r="L1199" s="8" t="s">
        <v>545</v>
      </c>
      <c r="M1199" s="8">
        <v>1</v>
      </c>
      <c r="N1199" s="8" t="s">
        <v>476</v>
      </c>
    </row>
    <row r="1200" spans="6:14" x14ac:dyDescent="0.35">
      <c r="F1200" s="1"/>
      <c r="K1200" s="8" t="s">
        <v>222</v>
      </c>
      <c r="L1200" s="8" t="s">
        <v>546</v>
      </c>
      <c r="M1200" s="8">
        <v>0</v>
      </c>
      <c r="N1200" s="8"/>
    </row>
    <row r="1201" spans="6:14" x14ac:dyDescent="0.35">
      <c r="F1201" s="1"/>
      <c r="K1201" s="8" t="s">
        <v>222</v>
      </c>
      <c r="L1201" s="8" t="s">
        <v>375</v>
      </c>
      <c r="M1201" s="8">
        <v>1</v>
      </c>
      <c r="N1201" s="8"/>
    </row>
    <row r="1202" spans="6:14" x14ac:dyDescent="0.35">
      <c r="F1202" s="1"/>
      <c r="K1202" s="8" t="s">
        <v>222</v>
      </c>
      <c r="L1202" s="8" t="s">
        <v>375</v>
      </c>
      <c r="M1202" s="8">
        <v>1</v>
      </c>
      <c r="N1202" s="8"/>
    </row>
    <row r="1203" spans="6:14" x14ac:dyDescent="0.35">
      <c r="F1203" s="1"/>
      <c r="K1203" s="8" t="s">
        <v>222</v>
      </c>
      <c r="L1203" s="8" t="s">
        <v>547</v>
      </c>
      <c r="M1203" s="8">
        <v>1</v>
      </c>
      <c r="N1203" s="8" t="s">
        <v>476</v>
      </c>
    </row>
    <row r="1204" spans="6:14" x14ac:dyDescent="0.35">
      <c r="F1204" s="1"/>
      <c r="K1204" s="8" t="s">
        <v>222</v>
      </c>
      <c r="L1204" s="8" t="s">
        <v>548</v>
      </c>
      <c r="M1204" s="8">
        <v>0</v>
      </c>
      <c r="N1204" s="8"/>
    </row>
    <row r="1205" spans="6:14" x14ac:dyDescent="0.35">
      <c r="F1205" s="1"/>
      <c r="K1205" s="8" t="s">
        <v>222</v>
      </c>
      <c r="L1205" s="8" t="s">
        <v>549</v>
      </c>
      <c r="M1205" s="8">
        <v>0</v>
      </c>
      <c r="N1205" s="8"/>
    </row>
    <row r="1206" spans="6:14" x14ac:dyDescent="0.35">
      <c r="F1206" s="1"/>
      <c r="K1206" s="8" t="s">
        <v>222</v>
      </c>
      <c r="L1206" s="8" t="s">
        <v>550</v>
      </c>
      <c r="M1206" s="8">
        <v>0</v>
      </c>
      <c r="N1206" s="8"/>
    </row>
    <row r="1207" spans="6:14" x14ac:dyDescent="0.35">
      <c r="F1207" s="1"/>
      <c r="K1207" s="8" t="s">
        <v>222</v>
      </c>
      <c r="L1207" s="8" t="s">
        <v>551</v>
      </c>
      <c r="M1207" s="8">
        <v>1</v>
      </c>
      <c r="N1207" s="8" t="s">
        <v>517</v>
      </c>
    </row>
    <row r="1208" spans="6:14" x14ac:dyDescent="0.35">
      <c r="F1208" s="1"/>
      <c r="K1208" s="8" t="s">
        <v>222</v>
      </c>
      <c r="L1208" s="8" t="s">
        <v>552</v>
      </c>
      <c r="M1208" s="8">
        <v>1</v>
      </c>
      <c r="N1208" s="8" t="s">
        <v>553</v>
      </c>
    </row>
    <row r="1209" spans="6:14" x14ac:dyDescent="0.35">
      <c r="F1209" s="1"/>
      <c r="K1209" s="8" t="s">
        <v>222</v>
      </c>
      <c r="L1209" s="8" t="s">
        <v>554</v>
      </c>
      <c r="M1209" s="8">
        <v>1</v>
      </c>
      <c r="N1209" s="8" t="s">
        <v>517</v>
      </c>
    </row>
    <row r="1210" spans="6:14" x14ac:dyDescent="0.35">
      <c r="F1210" s="1"/>
      <c r="K1210" s="8" t="s">
        <v>222</v>
      </c>
      <c r="L1210" s="8" t="s">
        <v>555</v>
      </c>
      <c r="M1210" s="8">
        <v>0</v>
      </c>
      <c r="N1210" s="8"/>
    </row>
    <row r="1211" spans="6:14" x14ac:dyDescent="0.35">
      <c r="F1211" s="1"/>
      <c r="K1211" s="8" t="s">
        <v>222</v>
      </c>
      <c r="L1211" s="8" t="s">
        <v>556</v>
      </c>
      <c r="M1211" s="8">
        <v>0</v>
      </c>
      <c r="N1211" s="8"/>
    </row>
    <row r="1212" spans="6:14" x14ac:dyDescent="0.35">
      <c r="F1212" s="1"/>
      <c r="K1212" s="8" t="s">
        <v>222</v>
      </c>
      <c r="L1212" s="8" t="s">
        <v>557</v>
      </c>
      <c r="M1212" s="8">
        <v>0</v>
      </c>
      <c r="N1212" s="8"/>
    </row>
    <row r="1213" spans="6:14" x14ac:dyDescent="0.35">
      <c r="F1213" s="1"/>
      <c r="K1213" s="8" t="s">
        <v>222</v>
      </c>
      <c r="L1213" s="8" t="s">
        <v>558</v>
      </c>
      <c r="M1213" s="8">
        <v>1</v>
      </c>
      <c r="N1213" s="8" t="s">
        <v>517</v>
      </c>
    </row>
    <row r="1214" spans="6:14" x14ac:dyDescent="0.35">
      <c r="F1214" s="1"/>
      <c r="K1214" s="8" t="s">
        <v>222</v>
      </c>
      <c r="L1214" s="8" t="s">
        <v>559</v>
      </c>
      <c r="M1214" s="8">
        <v>0</v>
      </c>
      <c r="N1214" s="8"/>
    </row>
    <row r="1215" spans="6:14" x14ac:dyDescent="0.35">
      <c r="F1215" s="1"/>
      <c r="K1215" s="8" t="s">
        <v>222</v>
      </c>
      <c r="L1215" s="8" t="s">
        <v>560</v>
      </c>
      <c r="M1215" s="8">
        <v>1</v>
      </c>
      <c r="N1215" s="8" t="s">
        <v>476</v>
      </c>
    </row>
    <row r="1216" spans="6:14" x14ac:dyDescent="0.35">
      <c r="F1216" s="1"/>
      <c r="K1216" s="8" t="s">
        <v>222</v>
      </c>
      <c r="L1216" s="8" t="s">
        <v>561</v>
      </c>
      <c r="M1216" s="8">
        <v>0</v>
      </c>
      <c r="N1216" s="8"/>
    </row>
    <row r="1217" spans="6:14" x14ac:dyDescent="0.35">
      <c r="F1217" s="1"/>
      <c r="K1217" s="8" t="s">
        <v>222</v>
      </c>
      <c r="L1217" s="8" t="s">
        <v>562</v>
      </c>
      <c r="M1217" s="8">
        <v>0</v>
      </c>
      <c r="N1217" s="8"/>
    </row>
    <row r="1218" spans="6:14" x14ac:dyDescent="0.35">
      <c r="F1218" s="1"/>
      <c r="K1218" s="8" t="s">
        <v>222</v>
      </c>
      <c r="L1218" s="8" t="s">
        <v>486</v>
      </c>
      <c r="M1218" s="8">
        <v>0</v>
      </c>
      <c r="N1218" s="8"/>
    </row>
    <row r="1219" spans="6:14" x14ac:dyDescent="0.35">
      <c r="F1219" s="1"/>
      <c r="K1219" s="8" t="s">
        <v>222</v>
      </c>
      <c r="L1219" s="8" t="s">
        <v>487</v>
      </c>
      <c r="M1219" s="8">
        <v>0</v>
      </c>
      <c r="N1219" s="8"/>
    </row>
    <row r="1220" spans="6:14" x14ac:dyDescent="0.35">
      <c r="F1220" s="1"/>
      <c r="K1220" s="8" t="s">
        <v>222</v>
      </c>
      <c r="L1220" s="8" t="s">
        <v>488</v>
      </c>
      <c r="M1220" s="8">
        <v>0</v>
      </c>
      <c r="N1220" s="8"/>
    </row>
    <row r="1221" spans="6:14" x14ac:dyDescent="0.35">
      <c r="F1221" s="1"/>
      <c r="K1221" s="8" t="s">
        <v>222</v>
      </c>
      <c r="L1221" s="8" t="s">
        <v>489</v>
      </c>
      <c r="M1221" s="8">
        <v>0</v>
      </c>
      <c r="N1221" s="8"/>
    </row>
    <row r="1222" spans="6:14" x14ac:dyDescent="0.35">
      <c r="F1222" s="1"/>
      <c r="K1222" s="8" t="s">
        <v>222</v>
      </c>
      <c r="L1222" s="8" t="s">
        <v>490</v>
      </c>
      <c r="M1222" s="8">
        <v>0</v>
      </c>
      <c r="N1222" s="8"/>
    </row>
    <row r="1223" spans="6:14" x14ac:dyDescent="0.35">
      <c r="F1223" s="1"/>
      <c r="K1223" s="8" t="s">
        <v>222</v>
      </c>
      <c r="L1223" s="8" t="s">
        <v>563</v>
      </c>
      <c r="M1223" s="8">
        <v>1</v>
      </c>
      <c r="N1223" s="8" t="s">
        <v>564</v>
      </c>
    </row>
    <row r="1224" spans="6:14" x14ac:dyDescent="0.35">
      <c r="F1224" s="1"/>
      <c r="K1224" s="8" t="s">
        <v>222</v>
      </c>
      <c r="L1224" s="8" t="s">
        <v>565</v>
      </c>
      <c r="M1224" s="8">
        <v>0</v>
      </c>
      <c r="N1224" s="8" t="s">
        <v>476</v>
      </c>
    </row>
    <row r="1225" spans="6:14" x14ac:dyDescent="0.35">
      <c r="F1225" s="1"/>
      <c r="K1225" s="8" t="s">
        <v>222</v>
      </c>
      <c r="L1225" s="8" t="s">
        <v>566</v>
      </c>
      <c r="M1225" s="8">
        <v>1</v>
      </c>
      <c r="N1225" s="8" t="s">
        <v>567</v>
      </c>
    </row>
    <row r="1226" spans="6:14" x14ac:dyDescent="0.35">
      <c r="F1226" s="1"/>
      <c r="K1226" s="8" t="s">
        <v>222</v>
      </c>
      <c r="L1226" s="8" t="s">
        <v>568</v>
      </c>
      <c r="M1226" s="8">
        <v>1</v>
      </c>
      <c r="N1226" s="8" t="s">
        <v>476</v>
      </c>
    </row>
    <row r="1227" spans="6:14" x14ac:dyDescent="0.35">
      <c r="F1227" s="1"/>
      <c r="K1227" s="8" t="s">
        <v>222</v>
      </c>
      <c r="L1227" s="8" t="s">
        <v>491</v>
      </c>
      <c r="M1227" s="8">
        <v>0</v>
      </c>
      <c r="N1227" s="8"/>
    </row>
    <row r="1228" spans="6:14" x14ac:dyDescent="0.35">
      <c r="F1228" s="1"/>
      <c r="K1228" s="8" t="s">
        <v>222</v>
      </c>
      <c r="L1228" s="8" t="s">
        <v>492</v>
      </c>
      <c r="M1228" s="8">
        <v>0</v>
      </c>
      <c r="N1228" s="8"/>
    </row>
    <row r="1229" spans="6:14" x14ac:dyDescent="0.35">
      <c r="F1229" s="1"/>
      <c r="K1229" s="8" t="s">
        <v>222</v>
      </c>
      <c r="L1229" s="8" t="s">
        <v>493</v>
      </c>
      <c r="M1229" s="8">
        <v>0</v>
      </c>
      <c r="N1229" s="8"/>
    </row>
    <row r="1230" spans="6:14" x14ac:dyDescent="0.35">
      <c r="F1230" s="1"/>
      <c r="K1230" s="8" t="s">
        <v>222</v>
      </c>
      <c r="L1230" s="8" t="s">
        <v>569</v>
      </c>
      <c r="M1230" s="8">
        <v>1</v>
      </c>
      <c r="N1230" s="8" t="s">
        <v>570</v>
      </c>
    </row>
    <row r="1231" spans="6:14" x14ac:dyDescent="0.35">
      <c r="F1231" s="1"/>
      <c r="K1231" s="8" t="s">
        <v>223</v>
      </c>
      <c r="L1231" s="8" t="s">
        <v>480</v>
      </c>
      <c r="M1231" s="8">
        <v>0</v>
      </c>
      <c r="N1231" s="8"/>
    </row>
    <row r="1232" spans="6:14" x14ac:dyDescent="0.35">
      <c r="F1232" s="1"/>
      <c r="K1232" s="8" t="s">
        <v>223</v>
      </c>
      <c r="L1232" s="8" t="s">
        <v>481</v>
      </c>
      <c r="M1232" s="8">
        <v>0</v>
      </c>
      <c r="N1232" s="8"/>
    </row>
    <row r="1233" spans="6:14" x14ac:dyDescent="0.35">
      <c r="F1233" s="1"/>
      <c r="K1233" s="8" t="s">
        <v>223</v>
      </c>
      <c r="L1233" s="8" t="s">
        <v>482</v>
      </c>
      <c r="M1233" s="8">
        <v>0</v>
      </c>
      <c r="N1233" s="8"/>
    </row>
    <row r="1234" spans="6:14" x14ac:dyDescent="0.35">
      <c r="F1234" s="1"/>
      <c r="K1234" s="8" t="s">
        <v>223</v>
      </c>
      <c r="L1234" s="8" t="s">
        <v>483</v>
      </c>
      <c r="M1234" s="8">
        <v>0</v>
      </c>
      <c r="N1234" s="8"/>
    </row>
    <row r="1235" spans="6:14" x14ac:dyDescent="0.35">
      <c r="F1235" s="1"/>
      <c r="K1235" s="8" t="s">
        <v>223</v>
      </c>
      <c r="L1235" s="8" t="s">
        <v>484</v>
      </c>
      <c r="M1235" s="8">
        <v>0</v>
      </c>
      <c r="N1235" s="8"/>
    </row>
    <row r="1236" spans="6:14" x14ac:dyDescent="0.35">
      <c r="F1236" s="1"/>
      <c r="K1236" s="8" t="s">
        <v>223</v>
      </c>
      <c r="L1236" s="8" t="s">
        <v>389</v>
      </c>
      <c r="M1236" s="8">
        <v>1</v>
      </c>
      <c r="N1236" s="8"/>
    </row>
    <row r="1237" spans="6:14" x14ac:dyDescent="0.35">
      <c r="F1237" s="1"/>
      <c r="K1237" s="8" t="s">
        <v>223</v>
      </c>
      <c r="L1237" s="8" t="s">
        <v>649</v>
      </c>
      <c r="M1237" s="8">
        <v>0</v>
      </c>
      <c r="N1237" s="8"/>
    </row>
    <row r="1238" spans="6:14" x14ac:dyDescent="0.35">
      <c r="F1238" s="1"/>
      <c r="K1238" s="8" t="s">
        <v>223</v>
      </c>
      <c r="L1238" s="8" t="s">
        <v>486</v>
      </c>
      <c r="M1238" s="8">
        <v>0</v>
      </c>
      <c r="N1238" s="8"/>
    </row>
    <row r="1239" spans="6:14" x14ac:dyDescent="0.35">
      <c r="F1239" s="1"/>
      <c r="K1239" s="8" t="s">
        <v>223</v>
      </c>
      <c r="L1239" s="8" t="s">
        <v>487</v>
      </c>
      <c r="M1239" s="8">
        <v>0</v>
      </c>
      <c r="N1239" s="8"/>
    </row>
    <row r="1240" spans="6:14" x14ac:dyDescent="0.35">
      <c r="F1240" s="1"/>
      <c r="K1240" s="8" t="s">
        <v>223</v>
      </c>
      <c r="L1240" s="8" t="s">
        <v>488</v>
      </c>
      <c r="M1240" s="8">
        <v>0</v>
      </c>
      <c r="N1240" s="8"/>
    </row>
    <row r="1241" spans="6:14" x14ac:dyDescent="0.35">
      <c r="F1241" s="1"/>
      <c r="K1241" s="8" t="s">
        <v>223</v>
      </c>
      <c r="L1241" s="8" t="s">
        <v>489</v>
      </c>
      <c r="M1241" s="8">
        <v>0</v>
      </c>
      <c r="N1241" s="8"/>
    </row>
    <row r="1242" spans="6:14" x14ac:dyDescent="0.35">
      <c r="F1242" s="1"/>
      <c r="K1242" s="8" t="s">
        <v>223</v>
      </c>
      <c r="L1242" s="8" t="s">
        <v>490</v>
      </c>
      <c r="M1242" s="8">
        <v>0</v>
      </c>
      <c r="N1242" s="8"/>
    </row>
    <row r="1243" spans="6:14" x14ac:dyDescent="0.35">
      <c r="F1243" s="1"/>
      <c r="K1243" s="8" t="s">
        <v>223</v>
      </c>
      <c r="L1243" s="8" t="s">
        <v>491</v>
      </c>
      <c r="M1243" s="8">
        <v>0</v>
      </c>
      <c r="N1243" s="8"/>
    </row>
    <row r="1244" spans="6:14" x14ac:dyDescent="0.35">
      <c r="F1244" s="1"/>
      <c r="K1244" s="8" t="s">
        <v>223</v>
      </c>
      <c r="L1244" s="8" t="s">
        <v>492</v>
      </c>
      <c r="M1244" s="8">
        <v>0</v>
      </c>
      <c r="N1244" s="8"/>
    </row>
    <row r="1245" spans="6:14" x14ac:dyDescent="0.35">
      <c r="F1245" s="1"/>
      <c r="K1245" s="8" t="s">
        <v>223</v>
      </c>
      <c r="L1245" s="8" t="s">
        <v>493</v>
      </c>
      <c r="M1245" s="8">
        <v>0</v>
      </c>
      <c r="N1245" s="8"/>
    </row>
    <row r="1246" spans="6:14" x14ac:dyDescent="0.35">
      <c r="F1246" s="1"/>
      <c r="K1246" s="8" t="s">
        <v>223</v>
      </c>
      <c r="L1246" s="8" t="s">
        <v>494</v>
      </c>
      <c r="M1246" s="8">
        <v>0</v>
      </c>
      <c r="N1246" s="8"/>
    </row>
    <row r="1247" spans="6:14" x14ac:dyDescent="0.35">
      <c r="F1247" s="1"/>
      <c r="K1247" s="8" t="s">
        <v>223</v>
      </c>
      <c r="L1247" s="8" t="s">
        <v>495</v>
      </c>
      <c r="M1247" s="8">
        <v>0</v>
      </c>
      <c r="N1247" s="8"/>
    </row>
    <row r="1248" spans="6:14" x14ac:dyDescent="0.35">
      <c r="F1248" s="1"/>
      <c r="K1248" s="8" t="s">
        <v>224</v>
      </c>
      <c r="L1248" s="8" t="s">
        <v>650</v>
      </c>
      <c r="M1248" s="8">
        <v>1</v>
      </c>
      <c r="N1248" s="8" t="s">
        <v>476</v>
      </c>
    </row>
    <row r="1249" spans="6:14" x14ac:dyDescent="0.35">
      <c r="F1249" s="1"/>
      <c r="K1249" s="8" t="s">
        <v>224</v>
      </c>
      <c r="L1249" s="8" t="s">
        <v>390</v>
      </c>
      <c r="M1249" s="8">
        <v>1</v>
      </c>
      <c r="N1249" s="8"/>
    </row>
    <row r="1250" spans="6:14" x14ac:dyDescent="0.35">
      <c r="F1250" s="1"/>
      <c r="K1250" s="8" t="s">
        <v>224</v>
      </c>
      <c r="L1250" s="8" t="s">
        <v>651</v>
      </c>
      <c r="M1250" s="8">
        <v>1</v>
      </c>
      <c r="N1250" s="8" t="s">
        <v>476</v>
      </c>
    </row>
    <row r="1251" spans="6:14" x14ac:dyDescent="0.35">
      <c r="F1251" s="1"/>
      <c r="K1251" s="8" t="s">
        <v>224</v>
      </c>
      <c r="L1251" s="8" t="s">
        <v>480</v>
      </c>
      <c r="M1251" s="8">
        <v>0</v>
      </c>
      <c r="N1251" s="8"/>
    </row>
    <row r="1252" spans="6:14" x14ac:dyDescent="0.35">
      <c r="F1252" s="1"/>
      <c r="K1252" s="8" t="s">
        <v>224</v>
      </c>
      <c r="L1252" s="8" t="s">
        <v>481</v>
      </c>
      <c r="M1252" s="8">
        <v>0</v>
      </c>
      <c r="N1252" s="8"/>
    </row>
    <row r="1253" spans="6:14" x14ac:dyDescent="0.35">
      <c r="F1253" s="1"/>
      <c r="K1253" s="8" t="s">
        <v>224</v>
      </c>
      <c r="L1253" s="8" t="s">
        <v>482</v>
      </c>
      <c r="M1253" s="8">
        <v>0</v>
      </c>
      <c r="N1253" s="8"/>
    </row>
    <row r="1254" spans="6:14" x14ac:dyDescent="0.35">
      <c r="F1254" s="1"/>
      <c r="K1254" s="8" t="s">
        <v>224</v>
      </c>
      <c r="L1254" s="8" t="s">
        <v>483</v>
      </c>
      <c r="M1254" s="8">
        <v>0</v>
      </c>
      <c r="N1254" s="8"/>
    </row>
    <row r="1255" spans="6:14" x14ac:dyDescent="0.35">
      <c r="F1255" s="1"/>
      <c r="K1255" s="8" t="s">
        <v>224</v>
      </c>
      <c r="L1255" s="8" t="s">
        <v>484</v>
      </c>
      <c r="M1255" s="8">
        <v>0</v>
      </c>
      <c r="N1255" s="8"/>
    </row>
    <row r="1256" spans="6:14" x14ac:dyDescent="0.35">
      <c r="F1256" s="1"/>
      <c r="K1256" s="8" t="s">
        <v>224</v>
      </c>
      <c r="L1256" s="8" t="s">
        <v>389</v>
      </c>
      <c r="M1256" s="8">
        <v>1</v>
      </c>
      <c r="N1256" s="8"/>
    </row>
    <row r="1257" spans="6:14" x14ac:dyDescent="0.35">
      <c r="F1257" s="1"/>
      <c r="K1257" s="8" t="s">
        <v>224</v>
      </c>
      <c r="L1257" s="8" t="s">
        <v>486</v>
      </c>
      <c r="M1257" s="8">
        <v>0</v>
      </c>
      <c r="N1257" s="8"/>
    </row>
    <row r="1258" spans="6:14" x14ac:dyDescent="0.35">
      <c r="F1258" s="1"/>
      <c r="K1258" s="8" t="s">
        <v>224</v>
      </c>
      <c r="L1258" s="8" t="s">
        <v>487</v>
      </c>
      <c r="M1258" s="8">
        <v>0</v>
      </c>
      <c r="N1258" s="8"/>
    </row>
    <row r="1259" spans="6:14" x14ac:dyDescent="0.35">
      <c r="F1259" s="1"/>
      <c r="K1259" s="8" t="s">
        <v>224</v>
      </c>
      <c r="L1259" s="8" t="s">
        <v>488</v>
      </c>
      <c r="M1259" s="8">
        <v>0</v>
      </c>
      <c r="N1259" s="8"/>
    </row>
    <row r="1260" spans="6:14" x14ac:dyDescent="0.35">
      <c r="F1260" s="1"/>
      <c r="K1260" s="8" t="s">
        <v>224</v>
      </c>
      <c r="L1260" s="8" t="s">
        <v>489</v>
      </c>
      <c r="M1260" s="8">
        <v>0</v>
      </c>
      <c r="N1260" s="8"/>
    </row>
    <row r="1261" spans="6:14" x14ac:dyDescent="0.35">
      <c r="F1261" s="1"/>
      <c r="K1261" s="8" t="s">
        <v>224</v>
      </c>
      <c r="L1261" s="8" t="s">
        <v>490</v>
      </c>
      <c r="M1261" s="8">
        <v>0</v>
      </c>
      <c r="N1261" s="8"/>
    </row>
    <row r="1262" spans="6:14" x14ac:dyDescent="0.35">
      <c r="F1262" s="1"/>
      <c r="K1262" s="8" t="s">
        <v>224</v>
      </c>
      <c r="L1262" s="8" t="s">
        <v>491</v>
      </c>
      <c r="M1262" s="8">
        <v>0</v>
      </c>
      <c r="N1262" s="8"/>
    </row>
    <row r="1263" spans="6:14" x14ac:dyDescent="0.35">
      <c r="F1263" s="1"/>
      <c r="K1263" s="8" t="s">
        <v>224</v>
      </c>
      <c r="L1263" s="8" t="s">
        <v>492</v>
      </c>
      <c r="M1263" s="8">
        <v>0</v>
      </c>
      <c r="N1263" s="8"/>
    </row>
    <row r="1264" spans="6:14" x14ac:dyDescent="0.35">
      <c r="F1264" s="1"/>
      <c r="K1264" s="8" t="s">
        <v>224</v>
      </c>
      <c r="L1264" s="8" t="s">
        <v>493</v>
      </c>
      <c r="M1264" s="8">
        <v>0</v>
      </c>
      <c r="N1264" s="8"/>
    </row>
    <row r="1265" spans="6:14" x14ac:dyDescent="0.35">
      <c r="F1265" s="1"/>
      <c r="K1265" s="8" t="s">
        <v>224</v>
      </c>
      <c r="L1265" s="8" t="s">
        <v>494</v>
      </c>
      <c r="M1265" s="8">
        <v>0</v>
      </c>
      <c r="N1265" s="8"/>
    </row>
    <row r="1266" spans="6:14" x14ac:dyDescent="0.35">
      <c r="F1266" s="1"/>
      <c r="K1266" s="8" t="s">
        <v>224</v>
      </c>
      <c r="L1266" s="8" t="s">
        <v>495</v>
      </c>
      <c r="M1266" s="8">
        <v>0</v>
      </c>
      <c r="N1266" s="8"/>
    </row>
    <row r="1267" spans="6:14" x14ac:dyDescent="0.35">
      <c r="F1267" s="1"/>
      <c r="K1267" s="8" t="s">
        <v>225</v>
      </c>
      <c r="L1267" s="8" t="s">
        <v>369</v>
      </c>
      <c r="M1267" s="8">
        <v>1</v>
      </c>
      <c r="N1267" s="8"/>
    </row>
    <row r="1268" spans="6:14" x14ac:dyDescent="0.35">
      <c r="F1268" s="1"/>
      <c r="K1268" s="8" t="s">
        <v>225</v>
      </c>
      <c r="L1268" s="8" t="s">
        <v>480</v>
      </c>
      <c r="M1268" s="8">
        <v>0</v>
      </c>
      <c r="N1268" s="8"/>
    </row>
    <row r="1269" spans="6:14" x14ac:dyDescent="0.35">
      <c r="F1269" s="1"/>
      <c r="K1269" s="8" t="s">
        <v>225</v>
      </c>
      <c r="L1269" s="8" t="s">
        <v>481</v>
      </c>
      <c r="M1269" s="8">
        <v>0</v>
      </c>
      <c r="N1269" s="8"/>
    </row>
    <row r="1270" spans="6:14" x14ac:dyDescent="0.35">
      <c r="F1270" s="1"/>
      <c r="K1270" s="8" t="s">
        <v>225</v>
      </c>
      <c r="L1270" s="8" t="s">
        <v>482</v>
      </c>
      <c r="M1270" s="8">
        <v>0</v>
      </c>
      <c r="N1270" s="8"/>
    </row>
    <row r="1271" spans="6:14" x14ac:dyDescent="0.35">
      <c r="F1271" s="1"/>
      <c r="K1271" s="8" t="s">
        <v>225</v>
      </c>
      <c r="L1271" s="8" t="s">
        <v>483</v>
      </c>
      <c r="M1271" s="8">
        <v>0</v>
      </c>
      <c r="N1271" s="8"/>
    </row>
    <row r="1272" spans="6:14" x14ac:dyDescent="0.35">
      <c r="F1272" s="1"/>
      <c r="K1272" s="8" t="s">
        <v>225</v>
      </c>
      <c r="L1272" s="8" t="s">
        <v>484</v>
      </c>
      <c r="M1272" s="8">
        <v>0</v>
      </c>
      <c r="N1272" s="8"/>
    </row>
    <row r="1273" spans="6:14" x14ac:dyDescent="0.35">
      <c r="F1273" s="1"/>
      <c r="K1273" s="8" t="s">
        <v>225</v>
      </c>
      <c r="L1273" s="8" t="s">
        <v>413</v>
      </c>
      <c r="M1273" s="8">
        <v>0</v>
      </c>
      <c r="N1273" s="8"/>
    </row>
    <row r="1274" spans="6:14" x14ac:dyDescent="0.35">
      <c r="F1274" s="1"/>
      <c r="K1274" s="8" t="s">
        <v>225</v>
      </c>
      <c r="L1274" s="8" t="s">
        <v>654</v>
      </c>
      <c r="M1274" s="8">
        <v>0</v>
      </c>
      <c r="N1274" s="8"/>
    </row>
    <row r="1275" spans="6:14" x14ac:dyDescent="0.35">
      <c r="F1275" s="1"/>
      <c r="K1275" s="8" t="s">
        <v>225</v>
      </c>
      <c r="L1275" s="8" t="s">
        <v>655</v>
      </c>
      <c r="M1275" s="8">
        <v>0</v>
      </c>
      <c r="N1275" s="8"/>
    </row>
    <row r="1276" spans="6:14" x14ac:dyDescent="0.35">
      <c r="F1276" s="1"/>
      <c r="K1276" s="8" t="s">
        <v>225</v>
      </c>
      <c r="L1276" s="8" t="s">
        <v>656</v>
      </c>
      <c r="M1276" s="8">
        <v>0</v>
      </c>
      <c r="N1276" s="8"/>
    </row>
    <row r="1277" spans="6:14" x14ac:dyDescent="0.35">
      <c r="F1277" s="1"/>
      <c r="K1277" s="8" t="s">
        <v>225</v>
      </c>
      <c r="L1277" s="8" t="s">
        <v>657</v>
      </c>
      <c r="M1277" s="8">
        <v>0</v>
      </c>
      <c r="N1277" s="8"/>
    </row>
    <row r="1278" spans="6:14" x14ac:dyDescent="0.35">
      <c r="F1278" s="1"/>
      <c r="K1278" s="8" t="s">
        <v>225</v>
      </c>
      <c r="L1278" s="8" t="s">
        <v>658</v>
      </c>
      <c r="M1278" s="8">
        <v>0</v>
      </c>
      <c r="N1278" s="8"/>
    </row>
    <row r="1279" spans="6:14" x14ac:dyDescent="0.35">
      <c r="F1279" s="1"/>
      <c r="K1279" s="8" t="s">
        <v>225</v>
      </c>
      <c r="L1279" s="8" t="s">
        <v>659</v>
      </c>
      <c r="M1279" s="8">
        <v>1</v>
      </c>
      <c r="N1279" s="8" t="s">
        <v>517</v>
      </c>
    </row>
    <row r="1280" spans="6:14" x14ac:dyDescent="0.35">
      <c r="F1280" s="1"/>
      <c r="K1280" s="8" t="s">
        <v>225</v>
      </c>
      <c r="L1280" s="8" t="s">
        <v>395</v>
      </c>
      <c r="M1280" s="8">
        <v>0</v>
      </c>
      <c r="N1280" s="8"/>
    </row>
    <row r="1281" spans="6:14" x14ac:dyDescent="0.35">
      <c r="F1281" s="1"/>
      <c r="K1281" s="8" t="s">
        <v>225</v>
      </c>
      <c r="L1281" s="8" t="s">
        <v>486</v>
      </c>
      <c r="M1281" s="8">
        <v>0</v>
      </c>
      <c r="N1281" s="8"/>
    </row>
    <row r="1282" spans="6:14" x14ac:dyDescent="0.35">
      <c r="F1282" s="1"/>
      <c r="K1282" s="8" t="s">
        <v>225</v>
      </c>
      <c r="L1282" s="8" t="s">
        <v>487</v>
      </c>
      <c r="M1282" s="8">
        <v>0</v>
      </c>
      <c r="N1282" s="8"/>
    </row>
    <row r="1283" spans="6:14" x14ac:dyDescent="0.35">
      <c r="F1283" s="1"/>
      <c r="K1283" s="8" t="s">
        <v>225</v>
      </c>
      <c r="L1283" s="8" t="s">
        <v>488</v>
      </c>
      <c r="M1283" s="8">
        <v>0</v>
      </c>
      <c r="N1283" s="8"/>
    </row>
    <row r="1284" spans="6:14" x14ac:dyDescent="0.35">
      <c r="F1284" s="1"/>
      <c r="K1284" s="8" t="s">
        <v>225</v>
      </c>
      <c r="L1284" s="8" t="s">
        <v>489</v>
      </c>
      <c r="M1284" s="8">
        <v>0</v>
      </c>
      <c r="N1284" s="8"/>
    </row>
    <row r="1285" spans="6:14" x14ac:dyDescent="0.35">
      <c r="F1285" s="1"/>
      <c r="K1285" s="8" t="s">
        <v>225</v>
      </c>
      <c r="L1285" s="8" t="s">
        <v>490</v>
      </c>
      <c r="M1285" s="8">
        <v>0</v>
      </c>
      <c r="N1285" s="8"/>
    </row>
    <row r="1286" spans="6:14" x14ac:dyDescent="0.35">
      <c r="F1286" s="1"/>
      <c r="K1286" s="8" t="s">
        <v>225</v>
      </c>
      <c r="L1286" s="8" t="s">
        <v>491</v>
      </c>
      <c r="M1286" s="8">
        <v>0</v>
      </c>
      <c r="N1286" s="8"/>
    </row>
    <row r="1287" spans="6:14" x14ac:dyDescent="0.35">
      <c r="F1287" s="1"/>
      <c r="K1287" s="8" t="s">
        <v>225</v>
      </c>
      <c r="L1287" s="8" t="s">
        <v>492</v>
      </c>
      <c r="M1287" s="8">
        <v>0</v>
      </c>
      <c r="N1287" s="8"/>
    </row>
    <row r="1288" spans="6:14" x14ac:dyDescent="0.35">
      <c r="F1288" s="1"/>
      <c r="K1288" s="8" t="s">
        <v>225</v>
      </c>
      <c r="L1288" s="8" t="s">
        <v>493</v>
      </c>
      <c r="M1288" s="8">
        <v>0</v>
      </c>
      <c r="N1288" s="8"/>
    </row>
    <row r="1289" spans="6:14" x14ac:dyDescent="0.35">
      <c r="F1289" s="1"/>
      <c r="K1289" s="8" t="s">
        <v>225</v>
      </c>
      <c r="L1289" s="8" t="s">
        <v>494</v>
      </c>
      <c r="M1289" s="8">
        <v>0</v>
      </c>
      <c r="N1289" s="8"/>
    </row>
    <row r="1290" spans="6:14" x14ac:dyDescent="0.35">
      <c r="F1290" s="1"/>
      <c r="K1290" s="8" t="s">
        <v>225</v>
      </c>
      <c r="L1290" s="8" t="s">
        <v>495</v>
      </c>
      <c r="M1290" s="8">
        <v>0</v>
      </c>
      <c r="N1290" s="8"/>
    </row>
    <row r="1291" spans="6:14" x14ac:dyDescent="0.35">
      <c r="F1291" s="1"/>
      <c r="K1291" s="8" t="s">
        <v>226</v>
      </c>
      <c r="L1291" s="8" t="s">
        <v>571</v>
      </c>
      <c r="M1291" s="8">
        <v>1</v>
      </c>
      <c r="N1291" s="8" t="s">
        <v>476</v>
      </c>
    </row>
    <row r="1292" spans="6:14" x14ac:dyDescent="0.35">
      <c r="F1292" s="1"/>
      <c r="K1292" s="8" t="s">
        <v>226</v>
      </c>
      <c r="L1292" s="8" t="s">
        <v>572</v>
      </c>
      <c r="M1292" s="8">
        <v>1</v>
      </c>
      <c r="N1292" s="8" t="s">
        <v>476</v>
      </c>
    </row>
    <row r="1293" spans="6:14" x14ac:dyDescent="0.35">
      <c r="F1293" s="1"/>
      <c r="K1293" s="8" t="s">
        <v>226</v>
      </c>
      <c r="L1293" s="8" t="s">
        <v>573</v>
      </c>
      <c r="M1293" s="8">
        <v>1</v>
      </c>
      <c r="N1293" s="8" t="s">
        <v>476</v>
      </c>
    </row>
    <row r="1294" spans="6:14" x14ac:dyDescent="0.35">
      <c r="F1294" s="1"/>
      <c r="K1294" s="8" t="s">
        <v>226</v>
      </c>
      <c r="L1294" s="8" t="s">
        <v>574</v>
      </c>
      <c r="M1294" s="8">
        <v>1</v>
      </c>
      <c r="N1294" s="8" t="s">
        <v>476</v>
      </c>
    </row>
    <row r="1295" spans="6:14" x14ac:dyDescent="0.35">
      <c r="F1295" s="1"/>
      <c r="K1295" s="8" t="s">
        <v>226</v>
      </c>
      <c r="L1295" s="8" t="s">
        <v>575</v>
      </c>
      <c r="M1295" s="8">
        <v>1</v>
      </c>
      <c r="N1295" s="8" t="s">
        <v>476</v>
      </c>
    </row>
    <row r="1296" spans="6:14" x14ac:dyDescent="0.35">
      <c r="F1296" s="1"/>
      <c r="K1296" s="8" t="s">
        <v>226</v>
      </c>
      <c r="L1296" s="8" t="s">
        <v>576</v>
      </c>
      <c r="M1296" s="8">
        <v>1</v>
      </c>
      <c r="N1296" s="8" t="s">
        <v>476</v>
      </c>
    </row>
    <row r="1297" spans="6:14" x14ac:dyDescent="0.35">
      <c r="F1297" s="1"/>
      <c r="K1297" s="8" t="s">
        <v>226</v>
      </c>
      <c r="L1297" s="8" t="s">
        <v>577</v>
      </c>
      <c r="M1297" s="8">
        <v>0</v>
      </c>
      <c r="N1297" s="8"/>
    </row>
    <row r="1298" spans="6:14" x14ac:dyDescent="0.35">
      <c r="F1298" s="1"/>
      <c r="K1298" s="8" t="s">
        <v>226</v>
      </c>
      <c r="L1298" s="8" t="s">
        <v>578</v>
      </c>
      <c r="M1298" s="8">
        <v>0</v>
      </c>
      <c r="N1298" s="8"/>
    </row>
    <row r="1299" spans="6:14" x14ac:dyDescent="0.35">
      <c r="F1299" s="1"/>
      <c r="K1299" s="8" t="s">
        <v>226</v>
      </c>
      <c r="L1299" s="8" t="s">
        <v>579</v>
      </c>
      <c r="M1299" s="8">
        <v>1</v>
      </c>
      <c r="N1299" s="8" t="s">
        <v>476</v>
      </c>
    </row>
    <row r="1300" spans="6:14" x14ac:dyDescent="0.35">
      <c r="F1300" s="1"/>
      <c r="K1300" s="8" t="s">
        <v>226</v>
      </c>
      <c r="L1300" s="8" t="s">
        <v>580</v>
      </c>
      <c r="M1300" s="8">
        <v>1</v>
      </c>
      <c r="N1300" s="8" t="s">
        <v>476</v>
      </c>
    </row>
    <row r="1301" spans="6:14" x14ac:dyDescent="0.35">
      <c r="F1301" s="1"/>
      <c r="K1301" s="8" t="s">
        <v>226</v>
      </c>
      <c r="L1301" s="8" t="s">
        <v>396</v>
      </c>
      <c r="M1301" s="8">
        <v>0</v>
      </c>
      <c r="N1301" s="8"/>
    </row>
    <row r="1302" spans="6:14" x14ac:dyDescent="0.35">
      <c r="F1302" s="1"/>
      <c r="K1302" s="8" t="s">
        <v>226</v>
      </c>
      <c r="L1302" s="8" t="s">
        <v>414</v>
      </c>
      <c r="M1302" s="8">
        <v>0</v>
      </c>
      <c r="N1302" s="8"/>
    </row>
    <row r="1303" spans="6:14" x14ac:dyDescent="0.35">
      <c r="F1303" s="1"/>
      <c r="K1303" s="8" t="s">
        <v>226</v>
      </c>
      <c r="L1303" s="8" t="s">
        <v>582</v>
      </c>
      <c r="M1303" s="8">
        <v>1</v>
      </c>
      <c r="N1303" s="8" t="s">
        <v>476</v>
      </c>
    </row>
    <row r="1304" spans="6:14" x14ac:dyDescent="0.35">
      <c r="F1304" s="1"/>
      <c r="K1304" s="8" t="s">
        <v>226</v>
      </c>
      <c r="L1304" s="8" t="s">
        <v>583</v>
      </c>
      <c r="M1304" s="8">
        <v>1</v>
      </c>
      <c r="N1304" s="8" t="s">
        <v>476</v>
      </c>
    </row>
    <row r="1305" spans="6:14" x14ac:dyDescent="0.35">
      <c r="F1305" s="1"/>
      <c r="K1305" s="8" t="s">
        <v>226</v>
      </c>
      <c r="L1305" s="8" t="s">
        <v>584</v>
      </c>
      <c r="M1305" s="8">
        <v>1</v>
      </c>
      <c r="N1305" s="8" t="s">
        <v>476</v>
      </c>
    </row>
    <row r="1306" spans="6:14" x14ac:dyDescent="0.35">
      <c r="F1306" s="1"/>
      <c r="K1306" s="8" t="s">
        <v>226</v>
      </c>
      <c r="L1306" s="8" t="s">
        <v>581</v>
      </c>
      <c r="M1306" s="8">
        <v>1</v>
      </c>
      <c r="N1306" s="8" t="s">
        <v>517</v>
      </c>
    </row>
    <row r="1307" spans="6:14" x14ac:dyDescent="0.35">
      <c r="F1307" s="1"/>
      <c r="K1307" s="8" t="s">
        <v>226</v>
      </c>
      <c r="L1307" s="8" t="s">
        <v>585</v>
      </c>
      <c r="M1307" s="8">
        <v>0</v>
      </c>
      <c r="N1307" s="8" t="s">
        <v>476</v>
      </c>
    </row>
    <row r="1308" spans="6:14" x14ac:dyDescent="0.35">
      <c r="F1308" s="1"/>
      <c r="K1308" s="8" t="s">
        <v>226</v>
      </c>
      <c r="L1308" s="8" t="s">
        <v>586</v>
      </c>
      <c r="M1308" s="8">
        <v>0</v>
      </c>
      <c r="N1308" s="8" t="s">
        <v>476</v>
      </c>
    </row>
    <row r="1309" spans="6:14" x14ac:dyDescent="0.35">
      <c r="F1309" s="1"/>
      <c r="K1309" s="8" t="s">
        <v>226</v>
      </c>
      <c r="L1309" s="8" t="s">
        <v>587</v>
      </c>
      <c r="M1309" s="8">
        <v>0</v>
      </c>
      <c r="N1309" s="8"/>
    </row>
    <row r="1310" spans="6:14" x14ac:dyDescent="0.35">
      <c r="F1310" s="1"/>
      <c r="K1310" s="8" t="s">
        <v>226</v>
      </c>
      <c r="L1310" s="8" t="s">
        <v>480</v>
      </c>
      <c r="M1310" s="8">
        <v>0</v>
      </c>
      <c r="N1310" s="8"/>
    </row>
    <row r="1311" spans="6:14" x14ac:dyDescent="0.35">
      <c r="F1311" s="1"/>
      <c r="K1311" s="8" t="s">
        <v>226</v>
      </c>
      <c r="L1311" s="8" t="s">
        <v>481</v>
      </c>
      <c r="M1311" s="8">
        <v>0</v>
      </c>
      <c r="N1311" s="8"/>
    </row>
    <row r="1312" spans="6:14" x14ac:dyDescent="0.35">
      <c r="F1312" s="1"/>
      <c r="K1312" s="8" t="s">
        <v>226</v>
      </c>
      <c r="L1312" s="8" t="s">
        <v>482</v>
      </c>
      <c r="M1312" s="8">
        <v>0</v>
      </c>
      <c r="N1312" s="8"/>
    </row>
    <row r="1313" spans="6:14" x14ac:dyDescent="0.35">
      <c r="F1313" s="1"/>
      <c r="K1313" s="8" t="s">
        <v>226</v>
      </c>
      <c r="L1313" s="8" t="s">
        <v>483</v>
      </c>
      <c r="M1313" s="8">
        <v>0</v>
      </c>
      <c r="N1313" s="8"/>
    </row>
    <row r="1314" spans="6:14" x14ac:dyDescent="0.35">
      <c r="F1314" s="1"/>
      <c r="K1314" s="8" t="s">
        <v>226</v>
      </c>
      <c r="L1314" s="8" t="s">
        <v>484</v>
      </c>
      <c r="M1314" s="8">
        <v>0</v>
      </c>
      <c r="N1314" s="8"/>
    </row>
    <row r="1315" spans="6:14" x14ac:dyDescent="0.35">
      <c r="F1315" s="1"/>
      <c r="K1315" s="8" t="s">
        <v>226</v>
      </c>
      <c r="L1315" s="8" t="s">
        <v>375</v>
      </c>
      <c r="M1315" s="8">
        <v>1</v>
      </c>
      <c r="N1315" s="8"/>
    </row>
    <row r="1316" spans="6:14" x14ac:dyDescent="0.35">
      <c r="F1316" s="1"/>
      <c r="K1316" s="8" t="s">
        <v>226</v>
      </c>
      <c r="L1316" s="8" t="s">
        <v>375</v>
      </c>
      <c r="M1316" s="8">
        <v>1</v>
      </c>
      <c r="N1316" s="8"/>
    </row>
    <row r="1317" spans="6:14" x14ac:dyDescent="0.35">
      <c r="F1317" s="1"/>
      <c r="K1317" s="8" t="s">
        <v>226</v>
      </c>
      <c r="L1317" s="8" t="s">
        <v>588</v>
      </c>
      <c r="M1317" s="8">
        <v>0</v>
      </c>
      <c r="N1317" s="8"/>
    </row>
    <row r="1318" spans="6:14" x14ac:dyDescent="0.35">
      <c r="F1318" s="1"/>
      <c r="K1318" s="8" t="s">
        <v>226</v>
      </c>
      <c r="L1318" s="8" t="s">
        <v>589</v>
      </c>
      <c r="M1318" s="8">
        <v>0</v>
      </c>
      <c r="N1318" s="8"/>
    </row>
    <row r="1319" spans="6:14" x14ac:dyDescent="0.35">
      <c r="F1319" s="1"/>
      <c r="K1319" s="8" t="s">
        <v>226</v>
      </c>
      <c r="L1319" s="8" t="s">
        <v>590</v>
      </c>
      <c r="M1319" s="8">
        <v>0</v>
      </c>
      <c r="N1319" s="8"/>
    </row>
    <row r="1320" spans="6:14" x14ac:dyDescent="0.35">
      <c r="F1320" s="1"/>
      <c r="K1320" s="8" t="s">
        <v>226</v>
      </c>
      <c r="L1320" s="8" t="s">
        <v>591</v>
      </c>
      <c r="M1320" s="8">
        <v>0</v>
      </c>
      <c r="N1320" s="8"/>
    </row>
    <row r="1321" spans="6:14" x14ac:dyDescent="0.35">
      <c r="F1321" s="1"/>
      <c r="K1321" s="8" t="s">
        <v>226</v>
      </c>
      <c r="L1321" s="8" t="s">
        <v>592</v>
      </c>
      <c r="M1321" s="8">
        <v>1</v>
      </c>
      <c r="N1321" s="8" t="s">
        <v>476</v>
      </c>
    </row>
    <row r="1322" spans="6:14" x14ac:dyDescent="0.35">
      <c r="F1322" s="1"/>
      <c r="K1322" s="8" t="s">
        <v>226</v>
      </c>
      <c r="L1322" s="8" t="s">
        <v>593</v>
      </c>
      <c r="M1322" s="8">
        <v>1</v>
      </c>
      <c r="N1322" s="8" t="s">
        <v>476</v>
      </c>
    </row>
    <row r="1323" spans="6:14" x14ac:dyDescent="0.35">
      <c r="F1323" s="1"/>
      <c r="K1323" s="8" t="s">
        <v>226</v>
      </c>
      <c r="L1323" s="8" t="s">
        <v>594</v>
      </c>
      <c r="M1323" s="8">
        <v>1</v>
      </c>
      <c r="N1323" s="8" t="s">
        <v>476</v>
      </c>
    </row>
    <row r="1324" spans="6:14" x14ac:dyDescent="0.35">
      <c r="F1324" s="1"/>
      <c r="K1324" s="8" t="s">
        <v>226</v>
      </c>
      <c r="L1324" s="8" t="s">
        <v>595</v>
      </c>
      <c r="M1324" s="8">
        <v>1</v>
      </c>
      <c r="N1324" s="8" t="s">
        <v>553</v>
      </c>
    </row>
    <row r="1325" spans="6:14" x14ac:dyDescent="0.35">
      <c r="F1325" s="1"/>
      <c r="K1325" s="8" t="s">
        <v>226</v>
      </c>
      <c r="L1325" s="8" t="s">
        <v>596</v>
      </c>
      <c r="M1325" s="8">
        <v>1</v>
      </c>
      <c r="N1325" s="8" t="s">
        <v>517</v>
      </c>
    </row>
    <row r="1326" spans="6:14" x14ac:dyDescent="0.35">
      <c r="F1326" s="1"/>
      <c r="K1326" s="8" t="s">
        <v>226</v>
      </c>
      <c r="L1326" s="8" t="s">
        <v>597</v>
      </c>
      <c r="M1326" s="8">
        <v>1</v>
      </c>
      <c r="N1326" s="8" t="s">
        <v>517</v>
      </c>
    </row>
    <row r="1327" spans="6:14" x14ac:dyDescent="0.35">
      <c r="F1327" s="1"/>
      <c r="K1327" s="8" t="s">
        <v>226</v>
      </c>
      <c r="L1327" s="8" t="s">
        <v>598</v>
      </c>
      <c r="M1327" s="8">
        <v>0</v>
      </c>
      <c r="N1327" s="8"/>
    </row>
    <row r="1328" spans="6:14" x14ac:dyDescent="0.35">
      <c r="F1328" s="1"/>
      <c r="K1328" s="8" t="s">
        <v>226</v>
      </c>
      <c r="L1328" s="8" t="s">
        <v>599</v>
      </c>
      <c r="M1328" s="8">
        <v>0</v>
      </c>
      <c r="N1328" s="8"/>
    </row>
    <row r="1329" spans="6:14" x14ac:dyDescent="0.35">
      <c r="F1329" s="1"/>
      <c r="K1329" s="8" t="s">
        <v>226</v>
      </c>
      <c r="L1329" s="8" t="s">
        <v>376</v>
      </c>
      <c r="M1329" s="8">
        <v>1</v>
      </c>
      <c r="N1329" s="8"/>
    </row>
    <row r="1330" spans="6:14" x14ac:dyDescent="0.35">
      <c r="F1330" s="1"/>
      <c r="K1330" s="8" t="s">
        <v>226</v>
      </c>
      <c r="L1330" s="8" t="s">
        <v>376</v>
      </c>
      <c r="M1330" s="8">
        <v>1</v>
      </c>
      <c r="N1330" s="8"/>
    </row>
    <row r="1331" spans="6:14" x14ac:dyDescent="0.35">
      <c r="F1331" s="1"/>
      <c r="K1331" s="8" t="s">
        <v>226</v>
      </c>
      <c r="L1331" s="8" t="s">
        <v>600</v>
      </c>
      <c r="M1331" s="8">
        <v>1</v>
      </c>
      <c r="N1331" s="8" t="s">
        <v>517</v>
      </c>
    </row>
    <row r="1332" spans="6:14" x14ac:dyDescent="0.35">
      <c r="F1332" s="1"/>
      <c r="K1332" s="8" t="s">
        <v>226</v>
      </c>
      <c r="L1332" s="8" t="s">
        <v>416</v>
      </c>
      <c r="M1332" s="8">
        <v>0</v>
      </c>
      <c r="N1332" s="8"/>
    </row>
    <row r="1333" spans="6:14" x14ac:dyDescent="0.35">
      <c r="F1333" s="1"/>
      <c r="K1333" s="8" t="s">
        <v>226</v>
      </c>
      <c r="L1333" s="8" t="s">
        <v>395</v>
      </c>
      <c r="M1333" s="8">
        <v>0</v>
      </c>
      <c r="N1333" s="8"/>
    </row>
    <row r="1334" spans="6:14" x14ac:dyDescent="0.35">
      <c r="F1334" s="1"/>
      <c r="K1334" s="8" t="s">
        <v>226</v>
      </c>
      <c r="L1334" s="8" t="s">
        <v>415</v>
      </c>
      <c r="M1334" s="8">
        <v>1</v>
      </c>
      <c r="N1334" s="8"/>
    </row>
    <row r="1335" spans="6:14" x14ac:dyDescent="0.35">
      <c r="F1335" s="1"/>
      <c r="K1335" s="8" t="s">
        <v>226</v>
      </c>
      <c r="L1335" s="8" t="s">
        <v>486</v>
      </c>
      <c r="M1335" s="8">
        <v>0</v>
      </c>
      <c r="N1335" s="8"/>
    </row>
    <row r="1336" spans="6:14" x14ac:dyDescent="0.35">
      <c r="F1336" s="1"/>
      <c r="K1336" s="8" t="s">
        <v>226</v>
      </c>
      <c r="L1336" s="8" t="s">
        <v>487</v>
      </c>
      <c r="M1336" s="8">
        <v>0</v>
      </c>
      <c r="N1336" s="8"/>
    </row>
    <row r="1337" spans="6:14" x14ac:dyDescent="0.35">
      <c r="F1337" s="1"/>
      <c r="K1337" s="8" t="s">
        <v>226</v>
      </c>
      <c r="L1337" s="8" t="s">
        <v>488</v>
      </c>
      <c r="M1337" s="8">
        <v>0</v>
      </c>
      <c r="N1337" s="8"/>
    </row>
    <row r="1338" spans="6:14" x14ac:dyDescent="0.35">
      <c r="F1338" s="1"/>
      <c r="K1338" s="8" t="s">
        <v>226</v>
      </c>
      <c r="L1338" s="8" t="s">
        <v>489</v>
      </c>
      <c r="M1338" s="8">
        <v>0</v>
      </c>
      <c r="N1338" s="8"/>
    </row>
    <row r="1339" spans="6:14" x14ac:dyDescent="0.35">
      <c r="F1339" s="1"/>
      <c r="K1339" s="8" t="s">
        <v>226</v>
      </c>
      <c r="L1339" s="8" t="s">
        <v>490</v>
      </c>
      <c r="M1339" s="8">
        <v>0</v>
      </c>
      <c r="N1339" s="8"/>
    </row>
    <row r="1340" spans="6:14" x14ac:dyDescent="0.35">
      <c r="F1340" s="1"/>
      <c r="K1340" s="8" t="s">
        <v>226</v>
      </c>
      <c r="L1340" s="8" t="s">
        <v>601</v>
      </c>
      <c r="M1340" s="8">
        <v>0</v>
      </c>
      <c r="N1340" s="8"/>
    </row>
    <row r="1341" spans="6:14" x14ac:dyDescent="0.35">
      <c r="F1341" s="1"/>
      <c r="K1341" s="8" t="s">
        <v>226</v>
      </c>
      <c r="L1341" s="8" t="s">
        <v>602</v>
      </c>
      <c r="M1341" s="8">
        <v>0</v>
      </c>
      <c r="N1341" s="8"/>
    </row>
    <row r="1342" spans="6:14" x14ac:dyDescent="0.35">
      <c r="F1342" s="1"/>
      <c r="K1342" s="8" t="s">
        <v>226</v>
      </c>
      <c r="L1342" s="8" t="s">
        <v>603</v>
      </c>
      <c r="M1342" s="8">
        <v>1</v>
      </c>
      <c r="N1342" s="8" t="s">
        <v>517</v>
      </c>
    </row>
    <row r="1343" spans="6:14" x14ac:dyDescent="0.35">
      <c r="F1343" s="1"/>
      <c r="K1343" s="8" t="s">
        <v>226</v>
      </c>
      <c r="L1343" s="8" t="s">
        <v>491</v>
      </c>
      <c r="M1343" s="8">
        <v>0</v>
      </c>
      <c r="N1343" s="8"/>
    </row>
    <row r="1344" spans="6:14" x14ac:dyDescent="0.35">
      <c r="F1344" s="1"/>
      <c r="K1344" s="8" t="s">
        <v>226</v>
      </c>
      <c r="L1344" s="8" t="s">
        <v>492</v>
      </c>
      <c r="M1344" s="8">
        <v>0</v>
      </c>
      <c r="N1344" s="8"/>
    </row>
    <row r="1345" spans="6:14" x14ac:dyDescent="0.35">
      <c r="F1345" s="1"/>
      <c r="K1345" s="8" t="s">
        <v>226</v>
      </c>
      <c r="L1345" s="8" t="s">
        <v>493</v>
      </c>
      <c r="M1345" s="8">
        <v>0</v>
      </c>
      <c r="N1345" s="8"/>
    </row>
    <row r="1346" spans="6:14" x14ac:dyDescent="0.35">
      <c r="F1346" s="1"/>
      <c r="K1346" s="8" t="s">
        <v>226</v>
      </c>
      <c r="L1346" s="8" t="s">
        <v>604</v>
      </c>
      <c r="M1346" s="8">
        <v>0</v>
      </c>
      <c r="N1346" s="8"/>
    </row>
    <row r="1347" spans="6:14" x14ac:dyDescent="0.35">
      <c r="F1347" s="1"/>
      <c r="K1347" s="8" t="s">
        <v>226</v>
      </c>
      <c r="L1347" s="8" t="s">
        <v>380</v>
      </c>
      <c r="M1347" s="8">
        <v>0</v>
      </c>
      <c r="N1347" s="8"/>
    </row>
    <row r="1348" spans="6:14" x14ac:dyDescent="0.35">
      <c r="F1348" s="1"/>
      <c r="K1348" s="8" t="s">
        <v>226</v>
      </c>
      <c r="L1348" s="8" t="s">
        <v>605</v>
      </c>
      <c r="M1348" s="8">
        <v>0</v>
      </c>
      <c r="N1348" s="8"/>
    </row>
    <row r="1349" spans="6:14" x14ac:dyDescent="0.35">
      <c r="F1349" s="1"/>
      <c r="K1349" s="8" t="s">
        <v>227</v>
      </c>
      <c r="L1349" s="8" t="s">
        <v>393</v>
      </c>
      <c r="M1349" s="8">
        <v>1</v>
      </c>
      <c r="N1349" s="8"/>
    </row>
    <row r="1350" spans="6:14" x14ac:dyDescent="0.35">
      <c r="F1350" s="1"/>
      <c r="K1350" s="8" t="s">
        <v>227</v>
      </c>
      <c r="L1350" s="8" t="s">
        <v>394</v>
      </c>
      <c r="M1350" s="8">
        <v>1</v>
      </c>
      <c r="N1350" s="8"/>
    </row>
    <row r="1351" spans="6:14" x14ac:dyDescent="0.35">
      <c r="F1351" s="1"/>
      <c r="K1351" s="8" t="s">
        <v>227</v>
      </c>
      <c r="L1351" s="8" t="s">
        <v>622</v>
      </c>
      <c r="M1351" s="8">
        <v>1</v>
      </c>
      <c r="N1351" s="8" t="s">
        <v>517</v>
      </c>
    </row>
    <row r="1352" spans="6:14" x14ac:dyDescent="0.35">
      <c r="F1352" s="1"/>
      <c r="K1352" s="8" t="s">
        <v>227</v>
      </c>
      <c r="L1352" s="8" t="s">
        <v>375</v>
      </c>
      <c r="M1352" s="8">
        <v>1</v>
      </c>
      <c r="N1352" s="8"/>
    </row>
    <row r="1353" spans="6:14" x14ac:dyDescent="0.35">
      <c r="F1353" s="1"/>
      <c r="K1353" s="8" t="s">
        <v>227</v>
      </c>
      <c r="L1353" s="8" t="s">
        <v>376</v>
      </c>
      <c r="M1353" s="8">
        <v>1</v>
      </c>
      <c r="N1353" s="8"/>
    </row>
    <row r="1354" spans="6:14" x14ac:dyDescent="0.35">
      <c r="F1354" s="1"/>
      <c r="K1354" s="8" t="s">
        <v>228</v>
      </c>
      <c r="L1354" s="8" t="s">
        <v>405</v>
      </c>
      <c r="M1354" s="8">
        <v>0</v>
      </c>
      <c r="N1354" s="8"/>
    </row>
    <row r="1355" spans="6:14" x14ac:dyDescent="0.35">
      <c r="F1355" s="1"/>
      <c r="K1355" s="8" t="s">
        <v>228</v>
      </c>
      <c r="L1355" s="8" t="s">
        <v>417</v>
      </c>
      <c r="M1355" s="8">
        <v>1</v>
      </c>
      <c r="N1355" s="8"/>
    </row>
    <row r="1356" spans="6:14" x14ac:dyDescent="0.35">
      <c r="F1356" s="1"/>
      <c r="K1356" s="8" t="s">
        <v>228</v>
      </c>
      <c r="L1356" s="8" t="s">
        <v>480</v>
      </c>
      <c r="M1356" s="8">
        <v>0</v>
      </c>
      <c r="N1356" s="8"/>
    </row>
    <row r="1357" spans="6:14" x14ac:dyDescent="0.35">
      <c r="F1357" s="1"/>
      <c r="K1357" s="8" t="s">
        <v>228</v>
      </c>
      <c r="L1357" s="8" t="s">
        <v>481</v>
      </c>
      <c r="M1357" s="8">
        <v>0</v>
      </c>
      <c r="N1357" s="8"/>
    </row>
    <row r="1358" spans="6:14" x14ac:dyDescent="0.35">
      <c r="F1358" s="1"/>
      <c r="K1358" s="8" t="s">
        <v>228</v>
      </c>
      <c r="L1358" s="8" t="s">
        <v>482</v>
      </c>
      <c r="M1358" s="8">
        <v>0</v>
      </c>
      <c r="N1358" s="8"/>
    </row>
    <row r="1359" spans="6:14" x14ac:dyDescent="0.35">
      <c r="F1359" s="1"/>
      <c r="K1359" s="8" t="s">
        <v>228</v>
      </c>
      <c r="L1359" s="8" t="s">
        <v>483</v>
      </c>
      <c r="M1359" s="8">
        <v>0</v>
      </c>
      <c r="N1359" s="8"/>
    </row>
    <row r="1360" spans="6:14" x14ac:dyDescent="0.35">
      <c r="F1360" s="1"/>
      <c r="K1360" s="8" t="s">
        <v>228</v>
      </c>
      <c r="L1360" s="8" t="s">
        <v>484</v>
      </c>
      <c r="M1360" s="8">
        <v>0</v>
      </c>
      <c r="N1360" s="8"/>
    </row>
    <row r="1361" spans="6:14" x14ac:dyDescent="0.35">
      <c r="F1361" s="1"/>
      <c r="K1361" s="8" t="s">
        <v>228</v>
      </c>
      <c r="L1361" s="8" t="s">
        <v>1164</v>
      </c>
      <c r="M1361" s="8">
        <v>0</v>
      </c>
      <c r="N1361" s="8"/>
    </row>
    <row r="1362" spans="6:14" x14ac:dyDescent="0.35">
      <c r="F1362" s="1"/>
      <c r="K1362" s="8" t="s">
        <v>228</v>
      </c>
      <c r="L1362" s="8" t="s">
        <v>1165</v>
      </c>
      <c r="M1362" s="8">
        <v>0</v>
      </c>
      <c r="N1362" s="8"/>
    </row>
    <row r="1363" spans="6:14" x14ac:dyDescent="0.35">
      <c r="F1363" s="1"/>
      <c r="K1363" s="8" t="s">
        <v>228</v>
      </c>
      <c r="L1363" s="8" t="s">
        <v>1166</v>
      </c>
      <c r="M1363" s="8">
        <v>0</v>
      </c>
      <c r="N1363" s="8"/>
    </row>
    <row r="1364" spans="6:14" x14ac:dyDescent="0.35">
      <c r="F1364" s="1"/>
      <c r="K1364" s="8" t="s">
        <v>228</v>
      </c>
      <c r="L1364" s="8" t="s">
        <v>486</v>
      </c>
      <c r="M1364" s="8">
        <v>0</v>
      </c>
      <c r="N1364" s="8"/>
    </row>
    <row r="1365" spans="6:14" x14ac:dyDescent="0.35">
      <c r="F1365" s="1"/>
      <c r="K1365" s="8" t="s">
        <v>228</v>
      </c>
      <c r="L1365" s="8" t="s">
        <v>487</v>
      </c>
      <c r="M1365" s="8">
        <v>0</v>
      </c>
      <c r="N1365" s="8"/>
    </row>
    <row r="1366" spans="6:14" x14ac:dyDescent="0.35">
      <c r="F1366" s="1"/>
      <c r="K1366" s="8" t="s">
        <v>228</v>
      </c>
      <c r="L1366" s="8" t="s">
        <v>488</v>
      </c>
      <c r="M1366" s="8">
        <v>0</v>
      </c>
      <c r="N1366" s="8"/>
    </row>
    <row r="1367" spans="6:14" x14ac:dyDescent="0.35">
      <c r="F1367" s="1"/>
      <c r="K1367" s="8" t="s">
        <v>228</v>
      </c>
      <c r="L1367" s="8" t="s">
        <v>489</v>
      </c>
      <c r="M1367" s="8">
        <v>0</v>
      </c>
      <c r="N1367" s="8"/>
    </row>
    <row r="1368" spans="6:14" x14ac:dyDescent="0.35">
      <c r="F1368" s="1"/>
      <c r="K1368" s="8" t="s">
        <v>228</v>
      </c>
      <c r="L1368" s="8" t="s">
        <v>490</v>
      </c>
      <c r="M1368" s="8">
        <v>0</v>
      </c>
      <c r="N1368" s="8"/>
    </row>
    <row r="1369" spans="6:14" x14ac:dyDescent="0.35">
      <c r="F1369" s="1"/>
      <c r="K1369" s="8" t="s">
        <v>228</v>
      </c>
      <c r="L1369" s="8" t="s">
        <v>491</v>
      </c>
      <c r="M1369" s="8">
        <v>0</v>
      </c>
      <c r="N1369" s="8"/>
    </row>
    <row r="1370" spans="6:14" x14ac:dyDescent="0.35">
      <c r="F1370" s="1"/>
      <c r="K1370" s="8" t="s">
        <v>228</v>
      </c>
      <c r="L1370" s="8" t="s">
        <v>492</v>
      </c>
      <c r="M1370" s="8">
        <v>0</v>
      </c>
      <c r="N1370" s="8"/>
    </row>
    <row r="1371" spans="6:14" x14ac:dyDescent="0.35">
      <c r="F1371" s="1"/>
      <c r="K1371" s="8" t="s">
        <v>228</v>
      </c>
      <c r="L1371" s="8" t="s">
        <v>493</v>
      </c>
      <c r="M1371" s="8">
        <v>0</v>
      </c>
      <c r="N1371" s="8"/>
    </row>
    <row r="1372" spans="6:14" x14ac:dyDescent="0.35">
      <c r="F1372" s="1"/>
      <c r="K1372" s="8" t="s">
        <v>229</v>
      </c>
      <c r="L1372" s="8" t="s">
        <v>405</v>
      </c>
      <c r="M1372" s="8">
        <v>0</v>
      </c>
      <c r="N1372" s="8"/>
    </row>
    <row r="1373" spans="6:14" x14ac:dyDescent="0.35">
      <c r="F1373" s="1"/>
      <c r="K1373" s="8" t="s">
        <v>229</v>
      </c>
      <c r="L1373" s="8" t="s">
        <v>480</v>
      </c>
      <c r="M1373" s="8">
        <v>0</v>
      </c>
      <c r="N1373" s="8"/>
    </row>
    <row r="1374" spans="6:14" x14ac:dyDescent="0.35">
      <c r="F1374" s="1"/>
      <c r="K1374" s="8" t="s">
        <v>229</v>
      </c>
      <c r="L1374" s="8" t="s">
        <v>481</v>
      </c>
      <c r="M1374" s="8">
        <v>0</v>
      </c>
      <c r="N1374" s="8"/>
    </row>
    <row r="1375" spans="6:14" x14ac:dyDescent="0.35">
      <c r="F1375" s="1"/>
      <c r="K1375" s="8" t="s">
        <v>229</v>
      </c>
      <c r="L1375" s="8" t="s">
        <v>482</v>
      </c>
      <c r="M1375" s="8">
        <v>0</v>
      </c>
      <c r="N1375" s="8"/>
    </row>
    <row r="1376" spans="6:14" x14ac:dyDescent="0.35">
      <c r="F1376" s="1"/>
      <c r="K1376" s="8" t="s">
        <v>229</v>
      </c>
      <c r="L1376" s="8" t="s">
        <v>483</v>
      </c>
      <c r="M1376" s="8">
        <v>0</v>
      </c>
      <c r="N1376" s="8"/>
    </row>
    <row r="1377" spans="6:14" x14ac:dyDescent="0.35">
      <c r="F1377" s="1"/>
      <c r="K1377" s="8" t="s">
        <v>229</v>
      </c>
      <c r="L1377" s="8" t="s">
        <v>484</v>
      </c>
      <c r="M1377" s="8">
        <v>0</v>
      </c>
      <c r="N1377" s="8"/>
    </row>
    <row r="1378" spans="6:14" x14ac:dyDescent="0.35">
      <c r="F1378" s="1"/>
      <c r="K1378" s="8" t="s">
        <v>229</v>
      </c>
      <c r="L1378" s="8" t="s">
        <v>1162</v>
      </c>
      <c r="M1378" s="8">
        <v>0</v>
      </c>
      <c r="N1378" s="8"/>
    </row>
    <row r="1379" spans="6:14" x14ac:dyDescent="0.35">
      <c r="F1379" s="1"/>
      <c r="K1379" s="8" t="s">
        <v>229</v>
      </c>
      <c r="L1379" s="8" t="s">
        <v>410</v>
      </c>
      <c r="M1379" s="8">
        <v>1</v>
      </c>
      <c r="N1379" s="8"/>
    </row>
    <row r="1380" spans="6:14" x14ac:dyDescent="0.35">
      <c r="F1380" s="1"/>
      <c r="K1380" s="8" t="s">
        <v>229</v>
      </c>
      <c r="L1380" s="8" t="s">
        <v>486</v>
      </c>
      <c r="M1380" s="8">
        <v>0</v>
      </c>
      <c r="N1380" s="8"/>
    </row>
    <row r="1381" spans="6:14" x14ac:dyDescent="0.35">
      <c r="F1381" s="1"/>
      <c r="K1381" s="8" t="s">
        <v>229</v>
      </c>
      <c r="L1381" s="8" t="s">
        <v>487</v>
      </c>
      <c r="M1381" s="8">
        <v>0</v>
      </c>
      <c r="N1381" s="8"/>
    </row>
    <row r="1382" spans="6:14" x14ac:dyDescent="0.35">
      <c r="F1382" s="1"/>
      <c r="K1382" s="8" t="s">
        <v>229</v>
      </c>
      <c r="L1382" s="8" t="s">
        <v>488</v>
      </c>
      <c r="M1382" s="8">
        <v>0</v>
      </c>
      <c r="N1382" s="8"/>
    </row>
    <row r="1383" spans="6:14" x14ac:dyDescent="0.35">
      <c r="F1383" s="1"/>
      <c r="K1383" s="8" t="s">
        <v>229</v>
      </c>
      <c r="L1383" s="8" t="s">
        <v>489</v>
      </c>
      <c r="M1383" s="8">
        <v>0</v>
      </c>
      <c r="N1383" s="8"/>
    </row>
    <row r="1384" spans="6:14" x14ac:dyDescent="0.35">
      <c r="F1384" s="1"/>
      <c r="K1384" s="8" t="s">
        <v>229</v>
      </c>
      <c r="L1384" s="8" t="s">
        <v>490</v>
      </c>
      <c r="M1384" s="8">
        <v>0</v>
      </c>
      <c r="N1384" s="8"/>
    </row>
    <row r="1385" spans="6:14" x14ac:dyDescent="0.35">
      <c r="F1385" s="1"/>
      <c r="K1385" s="8" t="s">
        <v>229</v>
      </c>
      <c r="L1385" s="8" t="s">
        <v>1163</v>
      </c>
      <c r="M1385" s="8">
        <v>1</v>
      </c>
      <c r="N1385" s="8" t="s">
        <v>564</v>
      </c>
    </row>
    <row r="1386" spans="6:14" x14ac:dyDescent="0.35">
      <c r="F1386" s="1"/>
      <c r="K1386" s="8" t="s">
        <v>229</v>
      </c>
      <c r="L1386" s="8" t="s">
        <v>903</v>
      </c>
      <c r="M1386" s="8">
        <v>1</v>
      </c>
      <c r="N1386" s="8" t="s">
        <v>476</v>
      </c>
    </row>
    <row r="1387" spans="6:14" x14ac:dyDescent="0.35">
      <c r="F1387" s="1"/>
      <c r="K1387" s="8" t="s">
        <v>229</v>
      </c>
      <c r="L1387" s="8" t="s">
        <v>491</v>
      </c>
      <c r="M1387" s="8">
        <v>0</v>
      </c>
      <c r="N1387" s="8"/>
    </row>
    <row r="1388" spans="6:14" x14ac:dyDescent="0.35">
      <c r="F1388" s="1"/>
      <c r="K1388" s="8" t="s">
        <v>229</v>
      </c>
      <c r="L1388" s="8" t="s">
        <v>492</v>
      </c>
      <c r="M1388" s="8">
        <v>0</v>
      </c>
      <c r="N1388" s="8"/>
    </row>
    <row r="1389" spans="6:14" x14ac:dyDescent="0.35">
      <c r="F1389" s="1"/>
      <c r="K1389" s="8" t="s">
        <v>229</v>
      </c>
      <c r="L1389" s="8" t="s">
        <v>493</v>
      </c>
      <c r="M1389" s="8">
        <v>0</v>
      </c>
      <c r="N1389" s="8"/>
    </row>
    <row r="1390" spans="6:14" x14ac:dyDescent="0.35">
      <c r="F1390" s="1"/>
      <c r="K1390" s="8" t="s">
        <v>229</v>
      </c>
      <c r="L1390" s="8" t="s">
        <v>905</v>
      </c>
      <c r="M1390" s="8">
        <v>1</v>
      </c>
      <c r="N1390" s="8" t="s">
        <v>612</v>
      </c>
    </row>
    <row r="1391" spans="6:14" x14ac:dyDescent="0.35">
      <c r="F1391" s="1"/>
      <c r="K1391" s="8" t="s">
        <v>231</v>
      </c>
      <c r="L1391" s="8" t="s">
        <v>420</v>
      </c>
      <c r="M1391" s="8">
        <v>1</v>
      </c>
      <c r="N1391" s="8"/>
    </row>
    <row r="1392" spans="6:14" x14ac:dyDescent="0.35">
      <c r="F1392" s="1"/>
      <c r="K1392" s="8" t="s">
        <v>231</v>
      </c>
      <c r="L1392" s="8" t="s">
        <v>419</v>
      </c>
      <c r="M1392" s="8">
        <v>1</v>
      </c>
      <c r="N1392" s="8"/>
    </row>
    <row r="1393" spans="6:14" x14ac:dyDescent="0.35">
      <c r="F1393" s="1"/>
      <c r="K1393" s="8" t="s">
        <v>231</v>
      </c>
      <c r="L1393" s="8" t="s">
        <v>480</v>
      </c>
      <c r="M1393" s="8">
        <v>0</v>
      </c>
      <c r="N1393" s="8"/>
    </row>
    <row r="1394" spans="6:14" x14ac:dyDescent="0.35">
      <c r="F1394" s="1"/>
      <c r="K1394" s="8" t="s">
        <v>231</v>
      </c>
      <c r="L1394" s="8" t="s">
        <v>481</v>
      </c>
      <c r="M1394" s="8">
        <v>0</v>
      </c>
      <c r="N1394" s="8"/>
    </row>
    <row r="1395" spans="6:14" x14ac:dyDescent="0.35">
      <c r="F1395" s="1"/>
      <c r="K1395" s="8" t="s">
        <v>231</v>
      </c>
      <c r="L1395" s="8" t="s">
        <v>482</v>
      </c>
      <c r="M1395" s="8">
        <v>0</v>
      </c>
      <c r="N1395" s="8"/>
    </row>
    <row r="1396" spans="6:14" x14ac:dyDescent="0.35">
      <c r="F1396" s="1"/>
      <c r="K1396" s="8" t="s">
        <v>231</v>
      </c>
      <c r="L1396" s="8" t="s">
        <v>483</v>
      </c>
      <c r="M1396" s="8">
        <v>0</v>
      </c>
      <c r="N1396" s="8"/>
    </row>
    <row r="1397" spans="6:14" x14ac:dyDescent="0.35">
      <c r="F1397" s="1"/>
      <c r="K1397" s="8" t="s">
        <v>231</v>
      </c>
      <c r="L1397" s="8" t="s">
        <v>484</v>
      </c>
      <c r="M1397" s="8">
        <v>0</v>
      </c>
      <c r="N1397" s="8"/>
    </row>
    <row r="1398" spans="6:14" x14ac:dyDescent="0.35">
      <c r="F1398" s="1"/>
      <c r="K1398" s="8" t="s">
        <v>231</v>
      </c>
      <c r="L1398" s="8" t="s">
        <v>375</v>
      </c>
      <c r="M1398" s="8">
        <v>1</v>
      </c>
      <c r="N1398" s="8"/>
    </row>
    <row r="1399" spans="6:14" x14ac:dyDescent="0.35">
      <c r="F1399" s="1"/>
      <c r="K1399" s="8" t="s">
        <v>231</v>
      </c>
      <c r="L1399" s="8" t="s">
        <v>376</v>
      </c>
      <c r="M1399" s="8">
        <v>1</v>
      </c>
      <c r="N1399" s="8"/>
    </row>
    <row r="1400" spans="6:14" x14ac:dyDescent="0.35">
      <c r="F1400" s="1"/>
      <c r="K1400" s="8" t="s">
        <v>231</v>
      </c>
      <c r="L1400" s="8" t="s">
        <v>959</v>
      </c>
      <c r="M1400" s="8">
        <v>0</v>
      </c>
      <c r="N1400" s="8"/>
    </row>
    <row r="1401" spans="6:14" x14ac:dyDescent="0.35">
      <c r="F1401" s="1"/>
      <c r="K1401" s="8" t="s">
        <v>231</v>
      </c>
      <c r="L1401" s="8" t="s">
        <v>960</v>
      </c>
      <c r="M1401" s="8">
        <v>0</v>
      </c>
      <c r="N1401" s="8"/>
    </row>
    <row r="1402" spans="6:14" x14ac:dyDescent="0.35">
      <c r="F1402" s="1"/>
      <c r="K1402" s="8" t="s">
        <v>231</v>
      </c>
      <c r="L1402" s="8" t="s">
        <v>961</v>
      </c>
      <c r="M1402" s="8">
        <v>1</v>
      </c>
      <c r="N1402" s="8" t="s">
        <v>476</v>
      </c>
    </row>
    <row r="1403" spans="6:14" x14ac:dyDescent="0.35">
      <c r="F1403" s="1"/>
      <c r="K1403" s="8" t="s">
        <v>231</v>
      </c>
      <c r="L1403" s="8" t="s">
        <v>962</v>
      </c>
      <c r="M1403" s="8">
        <v>1</v>
      </c>
      <c r="N1403" s="8" t="s">
        <v>539</v>
      </c>
    </row>
    <row r="1404" spans="6:14" x14ac:dyDescent="0.35">
      <c r="F1404" s="1"/>
      <c r="K1404" s="8" t="s">
        <v>231</v>
      </c>
      <c r="L1404" s="8" t="s">
        <v>963</v>
      </c>
      <c r="M1404" s="8">
        <v>0</v>
      </c>
      <c r="N1404" s="8"/>
    </row>
    <row r="1405" spans="6:14" x14ac:dyDescent="0.35">
      <c r="F1405" s="1"/>
      <c r="K1405" s="8" t="s">
        <v>231</v>
      </c>
      <c r="L1405" s="8" t="s">
        <v>964</v>
      </c>
      <c r="M1405" s="8">
        <v>0</v>
      </c>
      <c r="N1405" s="8"/>
    </row>
    <row r="1406" spans="6:14" x14ac:dyDescent="0.35">
      <c r="F1406" s="1"/>
      <c r="K1406" s="8" t="s">
        <v>231</v>
      </c>
      <c r="L1406" s="8" t="s">
        <v>371</v>
      </c>
      <c r="M1406" s="8">
        <v>1</v>
      </c>
      <c r="N1406" s="8"/>
    </row>
    <row r="1407" spans="6:14" x14ac:dyDescent="0.35">
      <c r="F1407" s="1"/>
      <c r="K1407" s="8" t="s">
        <v>231</v>
      </c>
      <c r="L1407" s="8" t="s">
        <v>486</v>
      </c>
      <c r="M1407" s="8">
        <v>0</v>
      </c>
      <c r="N1407" s="8"/>
    </row>
    <row r="1408" spans="6:14" x14ac:dyDescent="0.35">
      <c r="F1408" s="1"/>
      <c r="K1408" s="8" t="s">
        <v>231</v>
      </c>
      <c r="L1408" s="8" t="s">
        <v>487</v>
      </c>
      <c r="M1408" s="8">
        <v>0</v>
      </c>
      <c r="N1408" s="8"/>
    </row>
    <row r="1409" spans="6:14" x14ac:dyDescent="0.35">
      <c r="F1409" s="1"/>
      <c r="K1409" s="8" t="s">
        <v>231</v>
      </c>
      <c r="L1409" s="8" t="s">
        <v>488</v>
      </c>
      <c r="M1409" s="8">
        <v>0</v>
      </c>
      <c r="N1409" s="8"/>
    </row>
    <row r="1410" spans="6:14" x14ac:dyDescent="0.35">
      <c r="F1410" s="1"/>
      <c r="K1410" s="8" t="s">
        <v>231</v>
      </c>
      <c r="L1410" s="8" t="s">
        <v>489</v>
      </c>
      <c r="M1410" s="8">
        <v>0</v>
      </c>
      <c r="N1410" s="8"/>
    </row>
    <row r="1411" spans="6:14" x14ac:dyDescent="0.35">
      <c r="F1411" s="1"/>
      <c r="K1411" s="8" t="s">
        <v>231</v>
      </c>
      <c r="L1411" s="8" t="s">
        <v>490</v>
      </c>
      <c r="M1411" s="8">
        <v>0</v>
      </c>
      <c r="N1411" s="8"/>
    </row>
    <row r="1412" spans="6:14" x14ac:dyDescent="0.35">
      <c r="F1412" s="1"/>
      <c r="K1412" s="8" t="s">
        <v>231</v>
      </c>
      <c r="L1412" s="8" t="s">
        <v>370</v>
      </c>
      <c r="M1412" s="8">
        <v>1</v>
      </c>
      <c r="N1412" s="8"/>
    </row>
    <row r="1413" spans="6:14" x14ac:dyDescent="0.35">
      <c r="F1413" s="1"/>
      <c r="K1413" s="8" t="s">
        <v>231</v>
      </c>
      <c r="L1413" s="8" t="s">
        <v>491</v>
      </c>
      <c r="M1413" s="8">
        <v>0</v>
      </c>
      <c r="N1413" s="8"/>
    </row>
    <row r="1414" spans="6:14" x14ac:dyDescent="0.35">
      <c r="F1414" s="1"/>
      <c r="K1414" s="8" t="s">
        <v>231</v>
      </c>
      <c r="L1414" s="8" t="s">
        <v>492</v>
      </c>
      <c r="M1414" s="8">
        <v>0</v>
      </c>
      <c r="N1414" s="8"/>
    </row>
    <row r="1415" spans="6:14" x14ac:dyDescent="0.35">
      <c r="F1415" s="1"/>
      <c r="K1415" s="8" t="s">
        <v>231</v>
      </c>
      <c r="L1415" s="8" t="s">
        <v>493</v>
      </c>
      <c r="M1415" s="8">
        <v>0</v>
      </c>
      <c r="N1415" s="8"/>
    </row>
    <row r="1416" spans="6:14" x14ac:dyDescent="0.35">
      <c r="F1416" s="1"/>
      <c r="K1416" s="8" t="s">
        <v>231</v>
      </c>
      <c r="L1416" s="8" t="s">
        <v>494</v>
      </c>
      <c r="M1416" s="8">
        <v>0</v>
      </c>
      <c r="N1416" s="8"/>
    </row>
    <row r="1417" spans="6:14" x14ac:dyDescent="0.35">
      <c r="F1417" s="1"/>
      <c r="K1417" s="8" t="s">
        <v>231</v>
      </c>
      <c r="L1417" s="8" t="s">
        <v>495</v>
      </c>
      <c r="M1417" s="8">
        <v>0</v>
      </c>
      <c r="N1417" s="8"/>
    </row>
    <row r="1418" spans="6:14" x14ac:dyDescent="0.35">
      <c r="F1418" s="1"/>
      <c r="K1418" s="8" t="s">
        <v>232</v>
      </c>
      <c r="L1418" s="8" t="s">
        <v>420</v>
      </c>
      <c r="M1418" s="8">
        <v>1</v>
      </c>
      <c r="N1418" s="8"/>
    </row>
    <row r="1419" spans="6:14" x14ac:dyDescent="0.35">
      <c r="F1419" s="1"/>
      <c r="K1419" s="8" t="s">
        <v>232</v>
      </c>
      <c r="L1419" s="8" t="s">
        <v>419</v>
      </c>
      <c r="M1419" s="8">
        <v>1</v>
      </c>
      <c r="N1419" s="8"/>
    </row>
    <row r="1420" spans="6:14" x14ac:dyDescent="0.35">
      <c r="F1420" s="1"/>
      <c r="K1420" s="8" t="s">
        <v>232</v>
      </c>
      <c r="L1420" s="8" t="s">
        <v>480</v>
      </c>
      <c r="M1420" s="8">
        <v>0</v>
      </c>
      <c r="N1420" s="8"/>
    </row>
    <row r="1421" spans="6:14" x14ac:dyDescent="0.35">
      <c r="F1421" s="1"/>
      <c r="K1421" s="8" t="s">
        <v>232</v>
      </c>
      <c r="L1421" s="8" t="s">
        <v>481</v>
      </c>
      <c r="M1421" s="8">
        <v>0</v>
      </c>
      <c r="N1421" s="8"/>
    </row>
    <row r="1422" spans="6:14" x14ac:dyDescent="0.35">
      <c r="F1422" s="1"/>
      <c r="K1422" s="8" t="s">
        <v>232</v>
      </c>
      <c r="L1422" s="8" t="s">
        <v>482</v>
      </c>
      <c r="M1422" s="8">
        <v>0</v>
      </c>
      <c r="N1422" s="8"/>
    </row>
    <row r="1423" spans="6:14" x14ac:dyDescent="0.35">
      <c r="F1423" s="1"/>
      <c r="K1423" s="8" t="s">
        <v>232</v>
      </c>
      <c r="L1423" s="8" t="s">
        <v>483</v>
      </c>
      <c r="M1423" s="8">
        <v>0</v>
      </c>
      <c r="N1423" s="8"/>
    </row>
    <row r="1424" spans="6:14" x14ac:dyDescent="0.35">
      <c r="F1424" s="1"/>
      <c r="K1424" s="8" t="s">
        <v>232</v>
      </c>
      <c r="L1424" s="8" t="s">
        <v>484</v>
      </c>
      <c r="M1424" s="8">
        <v>0</v>
      </c>
      <c r="N1424" s="8"/>
    </row>
    <row r="1425" spans="6:14" x14ac:dyDescent="0.35">
      <c r="F1425" s="1"/>
      <c r="K1425" s="8" t="s">
        <v>232</v>
      </c>
      <c r="L1425" s="8" t="s">
        <v>375</v>
      </c>
      <c r="M1425" s="8">
        <v>1</v>
      </c>
      <c r="N1425" s="8"/>
    </row>
    <row r="1426" spans="6:14" x14ac:dyDescent="0.35">
      <c r="F1426" s="1"/>
      <c r="K1426" s="8" t="s">
        <v>232</v>
      </c>
      <c r="L1426" s="8" t="s">
        <v>965</v>
      </c>
      <c r="M1426" s="8">
        <v>0</v>
      </c>
      <c r="N1426" s="8"/>
    </row>
    <row r="1427" spans="6:14" x14ac:dyDescent="0.35">
      <c r="F1427" s="1"/>
      <c r="K1427" s="8" t="s">
        <v>232</v>
      </c>
      <c r="L1427" s="8" t="s">
        <v>966</v>
      </c>
      <c r="M1427" s="8">
        <v>0</v>
      </c>
      <c r="N1427" s="8"/>
    </row>
    <row r="1428" spans="6:14" x14ac:dyDescent="0.35">
      <c r="F1428" s="1"/>
      <c r="K1428" s="8" t="s">
        <v>232</v>
      </c>
      <c r="L1428" s="8" t="s">
        <v>967</v>
      </c>
      <c r="M1428" s="8">
        <v>1</v>
      </c>
      <c r="N1428" s="8" t="s">
        <v>476</v>
      </c>
    </row>
    <row r="1429" spans="6:14" x14ac:dyDescent="0.35">
      <c r="F1429" s="1"/>
      <c r="K1429" s="8" t="s">
        <v>232</v>
      </c>
      <c r="L1429" s="8" t="s">
        <v>968</v>
      </c>
      <c r="M1429" s="8">
        <v>1</v>
      </c>
      <c r="N1429" s="8" t="s">
        <v>539</v>
      </c>
    </row>
    <row r="1430" spans="6:14" x14ac:dyDescent="0.35">
      <c r="F1430" s="1"/>
      <c r="K1430" s="8" t="s">
        <v>232</v>
      </c>
      <c r="L1430" s="8" t="s">
        <v>969</v>
      </c>
      <c r="M1430" s="8">
        <v>0</v>
      </c>
      <c r="N1430" s="8"/>
    </row>
    <row r="1431" spans="6:14" x14ac:dyDescent="0.35">
      <c r="F1431" s="1"/>
      <c r="K1431" s="8" t="s">
        <v>232</v>
      </c>
      <c r="L1431" s="8" t="s">
        <v>970</v>
      </c>
      <c r="M1431" s="8">
        <v>0</v>
      </c>
      <c r="N1431" s="8"/>
    </row>
    <row r="1432" spans="6:14" x14ac:dyDescent="0.35">
      <c r="F1432" s="1"/>
      <c r="K1432" s="8" t="s">
        <v>232</v>
      </c>
      <c r="L1432" s="8" t="s">
        <v>371</v>
      </c>
      <c r="M1432" s="8">
        <v>1</v>
      </c>
      <c r="N1432" s="8"/>
    </row>
    <row r="1433" spans="6:14" x14ac:dyDescent="0.35">
      <c r="F1433" s="1"/>
      <c r="K1433" s="8" t="s">
        <v>232</v>
      </c>
      <c r="L1433" s="8" t="s">
        <v>486</v>
      </c>
      <c r="M1433" s="8">
        <v>0</v>
      </c>
      <c r="N1433" s="8"/>
    </row>
    <row r="1434" spans="6:14" x14ac:dyDescent="0.35">
      <c r="F1434" s="1"/>
      <c r="K1434" s="8" t="s">
        <v>232</v>
      </c>
      <c r="L1434" s="8" t="s">
        <v>487</v>
      </c>
      <c r="M1434" s="8">
        <v>0</v>
      </c>
      <c r="N1434" s="8"/>
    </row>
    <row r="1435" spans="6:14" x14ac:dyDescent="0.35">
      <c r="F1435" s="1"/>
      <c r="K1435" s="8" t="s">
        <v>232</v>
      </c>
      <c r="L1435" s="8" t="s">
        <v>488</v>
      </c>
      <c r="M1435" s="8">
        <v>0</v>
      </c>
      <c r="N1435" s="8"/>
    </row>
    <row r="1436" spans="6:14" x14ac:dyDescent="0.35">
      <c r="F1436" s="1"/>
      <c r="K1436" s="8" t="s">
        <v>232</v>
      </c>
      <c r="L1436" s="8" t="s">
        <v>489</v>
      </c>
      <c r="M1436" s="8">
        <v>0</v>
      </c>
      <c r="N1436" s="8"/>
    </row>
    <row r="1437" spans="6:14" x14ac:dyDescent="0.35">
      <c r="F1437" s="1"/>
      <c r="K1437" s="8" t="s">
        <v>232</v>
      </c>
      <c r="L1437" s="8" t="s">
        <v>490</v>
      </c>
      <c r="M1437" s="8">
        <v>0</v>
      </c>
      <c r="N1437" s="8"/>
    </row>
    <row r="1438" spans="6:14" x14ac:dyDescent="0.35">
      <c r="F1438" s="1"/>
      <c r="K1438" s="8" t="s">
        <v>232</v>
      </c>
      <c r="L1438" s="8" t="s">
        <v>370</v>
      </c>
      <c r="M1438" s="8">
        <v>1</v>
      </c>
      <c r="N1438" s="8"/>
    </row>
    <row r="1439" spans="6:14" x14ac:dyDescent="0.35">
      <c r="F1439" s="1"/>
      <c r="K1439" s="8" t="s">
        <v>232</v>
      </c>
      <c r="L1439" s="8" t="s">
        <v>491</v>
      </c>
      <c r="M1439" s="8">
        <v>0</v>
      </c>
      <c r="N1439" s="8"/>
    </row>
    <row r="1440" spans="6:14" x14ac:dyDescent="0.35">
      <c r="F1440" s="1"/>
      <c r="K1440" s="8" t="s">
        <v>232</v>
      </c>
      <c r="L1440" s="8" t="s">
        <v>492</v>
      </c>
      <c r="M1440" s="8">
        <v>0</v>
      </c>
      <c r="N1440" s="8"/>
    </row>
    <row r="1441" spans="6:14" x14ac:dyDescent="0.35">
      <c r="F1441" s="1"/>
      <c r="K1441" s="8" t="s">
        <v>232</v>
      </c>
      <c r="L1441" s="8" t="s">
        <v>493</v>
      </c>
      <c r="M1441" s="8">
        <v>0</v>
      </c>
      <c r="N1441" s="8"/>
    </row>
    <row r="1442" spans="6:14" x14ac:dyDescent="0.35">
      <c r="F1442" s="1"/>
      <c r="K1442" s="8" t="s">
        <v>232</v>
      </c>
      <c r="L1442" s="8" t="s">
        <v>494</v>
      </c>
      <c r="M1442" s="8">
        <v>0</v>
      </c>
      <c r="N1442" s="8"/>
    </row>
    <row r="1443" spans="6:14" x14ac:dyDescent="0.35">
      <c r="F1443" s="1"/>
      <c r="K1443" s="8" t="s">
        <v>232</v>
      </c>
      <c r="L1443" s="8" t="s">
        <v>495</v>
      </c>
      <c r="M1443" s="8">
        <v>0</v>
      </c>
      <c r="N1443" s="8"/>
    </row>
    <row r="1444" spans="6:14" x14ac:dyDescent="0.35">
      <c r="F1444" s="1"/>
      <c r="K1444" s="8" t="s">
        <v>233</v>
      </c>
      <c r="L1444" s="8" t="s">
        <v>420</v>
      </c>
      <c r="M1444" s="8">
        <v>1</v>
      </c>
      <c r="N1444" s="8"/>
    </row>
    <row r="1445" spans="6:14" x14ac:dyDescent="0.35">
      <c r="F1445" s="1"/>
      <c r="K1445" s="8" t="s">
        <v>233</v>
      </c>
      <c r="L1445" s="8" t="s">
        <v>419</v>
      </c>
      <c r="M1445" s="8">
        <v>1</v>
      </c>
      <c r="N1445" s="8"/>
    </row>
    <row r="1446" spans="6:14" x14ac:dyDescent="0.35">
      <c r="F1446" s="1"/>
      <c r="K1446" s="8" t="s">
        <v>233</v>
      </c>
      <c r="L1446" s="8" t="s">
        <v>480</v>
      </c>
      <c r="M1446" s="8">
        <v>0</v>
      </c>
      <c r="N1446" s="8"/>
    </row>
    <row r="1447" spans="6:14" x14ac:dyDescent="0.35">
      <c r="F1447" s="1"/>
      <c r="K1447" s="8" t="s">
        <v>233</v>
      </c>
      <c r="L1447" s="8" t="s">
        <v>481</v>
      </c>
      <c r="M1447" s="8">
        <v>0</v>
      </c>
      <c r="N1447" s="8"/>
    </row>
    <row r="1448" spans="6:14" x14ac:dyDescent="0.35">
      <c r="F1448" s="1"/>
      <c r="K1448" s="8" t="s">
        <v>233</v>
      </c>
      <c r="L1448" s="8" t="s">
        <v>482</v>
      </c>
      <c r="M1448" s="8">
        <v>0</v>
      </c>
      <c r="N1448" s="8"/>
    </row>
    <row r="1449" spans="6:14" x14ac:dyDescent="0.35">
      <c r="F1449" s="1"/>
      <c r="K1449" s="8" t="s">
        <v>233</v>
      </c>
      <c r="L1449" s="8" t="s">
        <v>483</v>
      </c>
      <c r="M1449" s="8">
        <v>0</v>
      </c>
      <c r="N1449" s="8"/>
    </row>
    <row r="1450" spans="6:14" x14ac:dyDescent="0.35">
      <c r="F1450" s="1"/>
      <c r="K1450" s="8" t="s">
        <v>233</v>
      </c>
      <c r="L1450" s="8" t="s">
        <v>484</v>
      </c>
      <c r="M1450" s="8">
        <v>0</v>
      </c>
      <c r="N1450" s="8"/>
    </row>
    <row r="1451" spans="6:14" x14ac:dyDescent="0.35">
      <c r="F1451" s="1"/>
      <c r="K1451" s="8" t="s">
        <v>233</v>
      </c>
      <c r="L1451" s="8" t="s">
        <v>971</v>
      </c>
      <c r="M1451" s="8">
        <v>0</v>
      </c>
      <c r="N1451" s="8"/>
    </row>
    <row r="1452" spans="6:14" x14ac:dyDescent="0.35">
      <c r="F1452" s="1"/>
      <c r="K1452" s="8" t="s">
        <v>233</v>
      </c>
      <c r="L1452" s="8" t="s">
        <v>972</v>
      </c>
      <c r="M1452" s="8">
        <v>0</v>
      </c>
      <c r="N1452" s="8"/>
    </row>
    <row r="1453" spans="6:14" x14ac:dyDescent="0.35">
      <c r="F1453" s="1"/>
      <c r="K1453" s="8" t="s">
        <v>233</v>
      </c>
      <c r="L1453" s="8" t="s">
        <v>973</v>
      </c>
      <c r="M1453" s="8">
        <v>1</v>
      </c>
      <c r="N1453" s="8" t="s">
        <v>476</v>
      </c>
    </row>
    <row r="1454" spans="6:14" x14ac:dyDescent="0.35">
      <c r="F1454" s="1"/>
      <c r="K1454" s="8" t="s">
        <v>233</v>
      </c>
      <c r="L1454" s="8" t="s">
        <v>974</v>
      </c>
      <c r="M1454" s="8">
        <v>1</v>
      </c>
      <c r="N1454" s="8" t="s">
        <v>539</v>
      </c>
    </row>
    <row r="1455" spans="6:14" x14ac:dyDescent="0.35">
      <c r="F1455" s="1"/>
      <c r="K1455" s="8" t="s">
        <v>233</v>
      </c>
      <c r="L1455" s="8" t="s">
        <v>975</v>
      </c>
      <c r="M1455" s="8">
        <v>0</v>
      </c>
      <c r="N1455" s="8"/>
    </row>
    <row r="1456" spans="6:14" x14ac:dyDescent="0.35">
      <c r="F1456" s="1"/>
      <c r="K1456" s="8" t="s">
        <v>233</v>
      </c>
      <c r="L1456" s="8" t="s">
        <v>976</v>
      </c>
      <c r="M1456" s="8">
        <v>0</v>
      </c>
      <c r="N1456" s="8"/>
    </row>
    <row r="1457" spans="6:14" x14ac:dyDescent="0.35">
      <c r="F1457" s="1"/>
      <c r="K1457" s="8" t="s">
        <v>233</v>
      </c>
      <c r="L1457" s="8" t="s">
        <v>371</v>
      </c>
      <c r="M1457" s="8">
        <v>1</v>
      </c>
      <c r="N1457" s="8"/>
    </row>
    <row r="1458" spans="6:14" x14ac:dyDescent="0.35">
      <c r="F1458" s="1"/>
      <c r="K1458" s="8" t="s">
        <v>233</v>
      </c>
      <c r="L1458" s="8" t="s">
        <v>486</v>
      </c>
      <c r="M1458" s="8">
        <v>0</v>
      </c>
      <c r="N1458" s="8"/>
    </row>
    <row r="1459" spans="6:14" x14ac:dyDescent="0.35">
      <c r="F1459" s="1"/>
      <c r="K1459" s="8" t="s">
        <v>233</v>
      </c>
      <c r="L1459" s="8" t="s">
        <v>487</v>
      </c>
      <c r="M1459" s="8">
        <v>0</v>
      </c>
      <c r="N1459" s="8"/>
    </row>
    <row r="1460" spans="6:14" x14ac:dyDescent="0.35">
      <c r="F1460" s="1"/>
      <c r="K1460" s="8" t="s">
        <v>233</v>
      </c>
      <c r="L1460" s="8" t="s">
        <v>488</v>
      </c>
      <c r="M1460" s="8">
        <v>0</v>
      </c>
      <c r="N1460" s="8"/>
    </row>
    <row r="1461" spans="6:14" x14ac:dyDescent="0.35">
      <c r="F1461" s="1"/>
      <c r="K1461" s="8" t="s">
        <v>233</v>
      </c>
      <c r="L1461" s="8" t="s">
        <v>489</v>
      </c>
      <c r="M1461" s="8">
        <v>0</v>
      </c>
      <c r="N1461" s="8"/>
    </row>
    <row r="1462" spans="6:14" x14ac:dyDescent="0.35">
      <c r="F1462" s="1"/>
      <c r="K1462" s="8" t="s">
        <v>233</v>
      </c>
      <c r="L1462" s="8" t="s">
        <v>490</v>
      </c>
      <c r="M1462" s="8">
        <v>0</v>
      </c>
      <c r="N1462" s="8"/>
    </row>
    <row r="1463" spans="6:14" x14ac:dyDescent="0.35">
      <c r="F1463" s="1"/>
      <c r="K1463" s="8" t="s">
        <v>233</v>
      </c>
      <c r="L1463" s="8" t="s">
        <v>370</v>
      </c>
      <c r="M1463" s="8">
        <v>1</v>
      </c>
      <c r="N1463" s="8"/>
    </row>
    <row r="1464" spans="6:14" x14ac:dyDescent="0.35">
      <c r="F1464" s="1"/>
      <c r="K1464" s="8" t="s">
        <v>233</v>
      </c>
      <c r="L1464" s="8" t="s">
        <v>491</v>
      </c>
      <c r="M1464" s="8">
        <v>0</v>
      </c>
      <c r="N1464" s="8"/>
    </row>
    <row r="1465" spans="6:14" x14ac:dyDescent="0.35">
      <c r="F1465" s="1"/>
      <c r="K1465" s="8" t="s">
        <v>233</v>
      </c>
      <c r="L1465" s="8" t="s">
        <v>492</v>
      </c>
      <c r="M1465" s="8">
        <v>0</v>
      </c>
      <c r="N1465" s="8"/>
    </row>
    <row r="1466" spans="6:14" x14ac:dyDescent="0.35">
      <c r="F1466" s="1"/>
      <c r="K1466" s="8" t="s">
        <v>233</v>
      </c>
      <c r="L1466" s="8" t="s">
        <v>493</v>
      </c>
      <c r="M1466" s="8">
        <v>0</v>
      </c>
      <c r="N1466" s="8"/>
    </row>
    <row r="1467" spans="6:14" x14ac:dyDescent="0.35">
      <c r="F1467" s="1"/>
      <c r="K1467" s="8" t="s">
        <v>233</v>
      </c>
      <c r="L1467" s="8" t="s">
        <v>494</v>
      </c>
      <c r="M1467" s="8">
        <v>0</v>
      </c>
      <c r="N1467" s="8"/>
    </row>
    <row r="1468" spans="6:14" x14ac:dyDescent="0.35">
      <c r="F1468" s="1"/>
      <c r="K1468" s="8" t="s">
        <v>233</v>
      </c>
      <c r="L1468" s="8" t="s">
        <v>495</v>
      </c>
      <c r="M1468" s="8">
        <v>0</v>
      </c>
      <c r="N1468" s="8"/>
    </row>
    <row r="1469" spans="6:14" x14ac:dyDescent="0.35">
      <c r="F1469" s="1"/>
      <c r="K1469" s="8" t="s">
        <v>234</v>
      </c>
      <c r="L1469" s="8" t="s">
        <v>480</v>
      </c>
      <c r="M1469" s="8">
        <v>0</v>
      </c>
      <c r="N1469" s="8"/>
    </row>
    <row r="1470" spans="6:14" x14ac:dyDescent="0.35">
      <c r="F1470" s="1"/>
      <c r="K1470" s="8" t="s">
        <v>234</v>
      </c>
      <c r="L1470" s="8" t="s">
        <v>481</v>
      </c>
      <c r="M1470" s="8">
        <v>0</v>
      </c>
      <c r="N1470" s="8"/>
    </row>
    <row r="1471" spans="6:14" x14ac:dyDescent="0.35">
      <c r="F1471" s="1"/>
      <c r="K1471" s="8" t="s">
        <v>234</v>
      </c>
      <c r="L1471" s="8" t="s">
        <v>482</v>
      </c>
      <c r="M1471" s="8">
        <v>0</v>
      </c>
      <c r="N1471" s="8"/>
    </row>
    <row r="1472" spans="6:14" x14ac:dyDescent="0.35">
      <c r="F1472" s="1"/>
      <c r="K1472" s="8" t="s">
        <v>234</v>
      </c>
      <c r="L1472" s="8" t="s">
        <v>483</v>
      </c>
      <c r="M1472" s="8">
        <v>0</v>
      </c>
      <c r="N1472" s="8"/>
    </row>
    <row r="1473" spans="6:14" x14ac:dyDescent="0.35">
      <c r="F1473" s="1"/>
      <c r="K1473" s="8" t="s">
        <v>234</v>
      </c>
      <c r="L1473" s="8" t="s">
        <v>484</v>
      </c>
      <c r="M1473" s="8">
        <v>0</v>
      </c>
      <c r="N1473" s="8"/>
    </row>
    <row r="1474" spans="6:14" x14ac:dyDescent="0.35">
      <c r="F1474" s="1"/>
      <c r="K1474" s="8" t="s">
        <v>234</v>
      </c>
      <c r="L1474" s="8" t="s">
        <v>375</v>
      </c>
      <c r="M1474" s="8">
        <v>1</v>
      </c>
      <c r="N1474" s="8"/>
    </row>
    <row r="1475" spans="6:14" x14ac:dyDescent="0.35">
      <c r="F1475" s="1"/>
      <c r="K1475" s="8" t="s">
        <v>234</v>
      </c>
      <c r="L1475" s="8" t="s">
        <v>376</v>
      </c>
      <c r="M1475" s="8">
        <v>1</v>
      </c>
      <c r="N1475" s="8"/>
    </row>
    <row r="1476" spans="6:14" x14ac:dyDescent="0.35">
      <c r="F1476" s="1"/>
      <c r="K1476" s="8" t="s">
        <v>234</v>
      </c>
      <c r="L1476" s="8" t="s">
        <v>422</v>
      </c>
      <c r="M1476" s="8">
        <v>1</v>
      </c>
      <c r="N1476" s="8"/>
    </row>
    <row r="1477" spans="6:14" x14ac:dyDescent="0.35">
      <c r="F1477" s="1"/>
      <c r="K1477" s="8" t="s">
        <v>234</v>
      </c>
      <c r="L1477" s="8" t="s">
        <v>423</v>
      </c>
      <c r="M1477" s="8">
        <v>1</v>
      </c>
      <c r="N1477" s="8"/>
    </row>
    <row r="1478" spans="6:14" x14ac:dyDescent="0.35">
      <c r="F1478" s="1"/>
      <c r="K1478" s="8" t="s">
        <v>234</v>
      </c>
      <c r="L1478" s="8" t="s">
        <v>977</v>
      </c>
      <c r="M1478" s="8">
        <v>0</v>
      </c>
      <c r="N1478" s="8"/>
    </row>
    <row r="1479" spans="6:14" x14ac:dyDescent="0.35">
      <c r="F1479" s="1"/>
      <c r="K1479" s="8" t="s">
        <v>234</v>
      </c>
      <c r="L1479" s="8" t="s">
        <v>978</v>
      </c>
      <c r="M1479" s="8">
        <v>0</v>
      </c>
      <c r="N1479" s="8"/>
    </row>
    <row r="1480" spans="6:14" x14ac:dyDescent="0.35">
      <c r="F1480" s="1"/>
      <c r="K1480" s="8" t="s">
        <v>234</v>
      </c>
      <c r="L1480" s="8" t="s">
        <v>979</v>
      </c>
      <c r="M1480" s="8">
        <v>1</v>
      </c>
      <c r="N1480" s="8" t="s">
        <v>476</v>
      </c>
    </row>
    <row r="1481" spans="6:14" x14ac:dyDescent="0.35">
      <c r="F1481" s="1"/>
      <c r="K1481" s="8" t="s">
        <v>234</v>
      </c>
      <c r="L1481" s="8" t="s">
        <v>980</v>
      </c>
      <c r="M1481" s="8">
        <v>1</v>
      </c>
      <c r="N1481" s="8" t="s">
        <v>539</v>
      </c>
    </row>
    <row r="1482" spans="6:14" x14ac:dyDescent="0.35">
      <c r="F1482" s="1"/>
      <c r="K1482" s="8" t="s">
        <v>234</v>
      </c>
      <c r="L1482" s="8" t="s">
        <v>981</v>
      </c>
      <c r="M1482" s="8">
        <v>0</v>
      </c>
      <c r="N1482" s="8"/>
    </row>
    <row r="1483" spans="6:14" x14ac:dyDescent="0.35">
      <c r="F1483" s="1"/>
      <c r="K1483" s="8" t="s">
        <v>234</v>
      </c>
      <c r="L1483" s="8" t="s">
        <v>982</v>
      </c>
      <c r="M1483" s="8">
        <v>0</v>
      </c>
      <c r="N1483" s="8"/>
    </row>
    <row r="1484" spans="6:14" x14ac:dyDescent="0.35">
      <c r="F1484" s="1"/>
      <c r="K1484" s="8" t="s">
        <v>234</v>
      </c>
      <c r="L1484" s="8" t="s">
        <v>421</v>
      </c>
      <c r="M1484" s="8">
        <v>1</v>
      </c>
      <c r="N1484" s="8"/>
    </row>
    <row r="1485" spans="6:14" x14ac:dyDescent="0.35">
      <c r="F1485" s="1"/>
      <c r="K1485" s="8" t="s">
        <v>234</v>
      </c>
      <c r="L1485" s="8" t="s">
        <v>486</v>
      </c>
      <c r="M1485" s="8">
        <v>0</v>
      </c>
      <c r="N1485" s="8"/>
    </row>
    <row r="1486" spans="6:14" x14ac:dyDescent="0.35">
      <c r="F1486" s="1"/>
      <c r="K1486" s="8" t="s">
        <v>234</v>
      </c>
      <c r="L1486" s="8" t="s">
        <v>487</v>
      </c>
      <c r="M1486" s="8">
        <v>0</v>
      </c>
      <c r="N1486" s="8"/>
    </row>
    <row r="1487" spans="6:14" x14ac:dyDescent="0.35">
      <c r="F1487" s="1"/>
      <c r="K1487" s="8" t="s">
        <v>234</v>
      </c>
      <c r="L1487" s="8" t="s">
        <v>488</v>
      </c>
      <c r="M1487" s="8">
        <v>0</v>
      </c>
      <c r="N1487" s="8"/>
    </row>
    <row r="1488" spans="6:14" x14ac:dyDescent="0.35">
      <c r="F1488" s="1"/>
      <c r="K1488" s="8" t="s">
        <v>234</v>
      </c>
      <c r="L1488" s="8" t="s">
        <v>489</v>
      </c>
      <c r="M1488" s="8">
        <v>0</v>
      </c>
      <c r="N1488" s="8"/>
    </row>
    <row r="1489" spans="6:14" x14ac:dyDescent="0.35">
      <c r="F1489" s="1"/>
      <c r="K1489" s="8" t="s">
        <v>234</v>
      </c>
      <c r="L1489" s="8" t="s">
        <v>490</v>
      </c>
      <c r="M1489" s="8">
        <v>0</v>
      </c>
      <c r="N1489" s="8"/>
    </row>
    <row r="1490" spans="6:14" x14ac:dyDescent="0.35">
      <c r="F1490" s="1"/>
      <c r="K1490" s="8" t="s">
        <v>234</v>
      </c>
      <c r="L1490" s="8" t="s">
        <v>370</v>
      </c>
      <c r="M1490" s="8">
        <v>1</v>
      </c>
      <c r="N1490" s="8"/>
    </row>
    <row r="1491" spans="6:14" x14ac:dyDescent="0.35">
      <c r="F1491" s="1"/>
      <c r="K1491" s="8" t="s">
        <v>234</v>
      </c>
      <c r="L1491" s="8" t="s">
        <v>491</v>
      </c>
      <c r="M1491" s="8">
        <v>0</v>
      </c>
      <c r="N1491" s="8"/>
    </row>
    <row r="1492" spans="6:14" x14ac:dyDescent="0.35">
      <c r="F1492" s="1"/>
      <c r="K1492" s="8" t="s">
        <v>234</v>
      </c>
      <c r="L1492" s="8" t="s">
        <v>492</v>
      </c>
      <c r="M1492" s="8">
        <v>0</v>
      </c>
      <c r="N1492" s="8"/>
    </row>
    <row r="1493" spans="6:14" x14ac:dyDescent="0.35">
      <c r="F1493" s="1"/>
      <c r="K1493" s="8" t="s">
        <v>234</v>
      </c>
      <c r="L1493" s="8" t="s">
        <v>493</v>
      </c>
      <c r="M1493" s="8">
        <v>0</v>
      </c>
      <c r="N1493" s="8"/>
    </row>
    <row r="1494" spans="6:14" x14ac:dyDescent="0.35">
      <c r="F1494" s="1"/>
      <c r="K1494" s="8" t="s">
        <v>234</v>
      </c>
      <c r="L1494" s="8" t="s">
        <v>494</v>
      </c>
      <c r="M1494" s="8">
        <v>0</v>
      </c>
      <c r="N1494" s="8"/>
    </row>
    <row r="1495" spans="6:14" x14ac:dyDescent="0.35">
      <c r="F1495" s="1"/>
      <c r="K1495" s="8" t="s">
        <v>234</v>
      </c>
      <c r="L1495" s="8" t="s">
        <v>495</v>
      </c>
      <c r="M1495" s="8">
        <v>0</v>
      </c>
      <c r="N1495" s="8"/>
    </row>
    <row r="1496" spans="6:14" x14ac:dyDescent="0.35">
      <c r="F1496" s="1"/>
      <c r="K1496" s="8" t="s">
        <v>235</v>
      </c>
      <c r="L1496" s="8" t="s">
        <v>480</v>
      </c>
      <c r="M1496" s="8">
        <v>0</v>
      </c>
      <c r="N1496" s="8"/>
    </row>
    <row r="1497" spans="6:14" x14ac:dyDescent="0.35">
      <c r="F1497" s="1"/>
      <c r="K1497" s="8" t="s">
        <v>235</v>
      </c>
      <c r="L1497" s="8" t="s">
        <v>481</v>
      </c>
      <c r="M1497" s="8">
        <v>0</v>
      </c>
      <c r="N1497" s="8"/>
    </row>
    <row r="1498" spans="6:14" x14ac:dyDescent="0.35">
      <c r="F1498" s="1"/>
      <c r="K1498" s="8" t="s">
        <v>235</v>
      </c>
      <c r="L1498" s="8" t="s">
        <v>482</v>
      </c>
      <c r="M1498" s="8">
        <v>0</v>
      </c>
      <c r="N1498" s="8"/>
    </row>
    <row r="1499" spans="6:14" x14ac:dyDescent="0.35">
      <c r="F1499" s="1"/>
      <c r="K1499" s="8" t="s">
        <v>235</v>
      </c>
      <c r="L1499" s="8" t="s">
        <v>483</v>
      </c>
      <c r="M1499" s="8">
        <v>0</v>
      </c>
      <c r="N1499" s="8"/>
    </row>
    <row r="1500" spans="6:14" x14ac:dyDescent="0.35">
      <c r="F1500" s="1"/>
      <c r="K1500" s="8" t="s">
        <v>235</v>
      </c>
      <c r="L1500" s="8" t="s">
        <v>484</v>
      </c>
      <c r="M1500" s="8">
        <v>0</v>
      </c>
      <c r="N1500" s="8"/>
    </row>
    <row r="1501" spans="6:14" x14ac:dyDescent="0.35">
      <c r="F1501" s="1"/>
      <c r="K1501" s="8" t="s">
        <v>235</v>
      </c>
      <c r="L1501" s="8" t="s">
        <v>375</v>
      </c>
      <c r="M1501" s="8">
        <v>1</v>
      </c>
      <c r="N1501" s="8"/>
    </row>
    <row r="1502" spans="6:14" x14ac:dyDescent="0.35">
      <c r="F1502" s="1"/>
      <c r="K1502" s="8" t="s">
        <v>235</v>
      </c>
      <c r="L1502" s="8" t="s">
        <v>425</v>
      </c>
      <c r="M1502" s="8">
        <v>1</v>
      </c>
      <c r="N1502" s="8"/>
    </row>
    <row r="1503" spans="6:14" x14ac:dyDescent="0.35">
      <c r="F1503" s="1"/>
      <c r="K1503" s="8" t="s">
        <v>235</v>
      </c>
      <c r="L1503" s="8" t="s">
        <v>426</v>
      </c>
      <c r="M1503" s="8">
        <v>1</v>
      </c>
      <c r="N1503" s="8"/>
    </row>
    <row r="1504" spans="6:14" x14ac:dyDescent="0.35">
      <c r="F1504" s="1"/>
      <c r="K1504" s="8" t="s">
        <v>235</v>
      </c>
      <c r="L1504" s="8" t="s">
        <v>983</v>
      </c>
      <c r="M1504" s="8">
        <v>0</v>
      </c>
      <c r="N1504" s="8"/>
    </row>
    <row r="1505" spans="6:14" x14ac:dyDescent="0.35">
      <c r="F1505" s="1"/>
      <c r="K1505" s="8" t="s">
        <v>235</v>
      </c>
      <c r="L1505" s="8" t="s">
        <v>984</v>
      </c>
      <c r="M1505" s="8">
        <v>0</v>
      </c>
      <c r="N1505" s="8"/>
    </row>
    <row r="1506" spans="6:14" x14ac:dyDescent="0.35">
      <c r="F1506" s="1"/>
      <c r="K1506" s="8" t="s">
        <v>235</v>
      </c>
      <c r="L1506" s="8" t="s">
        <v>985</v>
      </c>
      <c r="M1506" s="8">
        <v>1</v>
      </c>
      <c r="N1506" s="8" t="s">
        <v>476</v>
      </c>
    </row>
    <row r="1507" spans="6:14" x14ac:dyDescent="0.35">
      <c r="F1507" s="1"/>
      <c r="K1507" s="8" t="s">
        <v>235</v>
      </c>
      <c r="L1507" s="8" t="s">
        <v>986</v>
      </c>
      <c r="M1507" s="8">
        <v>1</v>
      </c>
      <c r="N1507" s="8" t="s">
        <v>539</v>
      </c>
    </row>
    <row r="1508" spans="6:14" x14ac:dyDescent="0.35">
      <c r="F1508" s="1"/>
      <c r="K1508" s="8" t="s">
        <v>235</v>
      </c>
      <c r="L1508" s="8" t="s">
        <v>987</v>
      </c>
      <c r="M1508" s="8">
        <v>0</v>
      </c>
      <c r="N1508" s="8"/>
    </row>
    <row r="1509" spans="6:14" x14ac:dyDescent="0.35">
      <c r="F1509" s="1"/>
      <c r="K1509" s="8" t="s">
        <v>235</v>
      </c>
      <c r="L1509" s="8" t="s">
        <v>988</v>
      </c>
      <c r="M1509" s="8">
        <v>0</v>
      </c>
      <c r="N1509" s="8"/>
    </row>
    <row r="1510" spans="6:14" x14ac:dyDescent="0.35">
      <c r="F1510" s="1"/>
      <c r="K1510" s="8" t="s">
        <v>235</v>
      </c>
      <c r="L1510" s="8" t="s">
        <v>424</v>
      </c>
      <c r="M1510" s="8">
        <v>1</v>
      </c>
      <c r="N1510" s="8"/>
    </row>
    <row r="1511" spans="6:14" x14ac:dyDescent="0.35">
      <c r="F1511" s="1"/>
      <c r="K1511" s="8" t="s">
        <v>235</v>
      </c>
      <c r="L1511" s="8" t="s">
        <v>486</v>
      </c>
      <c r="M1511" s="8">
        <v>0</v>
      </c>
      <c r="N1511" s="8"/>
    </row>
    <row r="1512" spans="6:14" x14ac:dyDescent="0.35">
      <c r="F1512" s="1"/>
      <c r="K1512" s="8" t="s">
        <v>235</v>
      </c>
      <c r="L1512" s="8" t="s">
        <v>487</v>
      </c>
      <c r="M1512" s="8">
        <v>0</v>
      </c>
      <c r="N1512" s="8"/>
    </row>
    <row r="1513" spans="6:14" x14ac:dyDescent="0.35">
      <c r="F1513" s="1"/>
      <c r="K1513" s="8" t="s">
        <v>235</v>
      </c>
      <c r="L1513" s="8" t="s">
        <v>488</v>
      </c>
      <c r="M1513" s="8">
        <v>0</v>
      </c>
      <c r="N1513" s="8"/>
    </row>
    <row r="1514" spans="6:14" x14ac:dyDescent="0.35">
      <c r="F1514" s="1"/>
      <c r="K1514" s="8" t="s">
        <v>235</v>
      </c>
      <c r="L1514" s="8" t="s">
        <v>489</v>
      </c>
      <c r="M1514" s="8">
        <v>0</v>
      </c>
      <c r="N1514" s="8"/>
    </row>
    <row r="1515" spans="6:14" x14ac:dyDescent="0.35">
      <c r="F1515" s="1"/>
      <c r="K1515" s="8" t="s">
        <v>235</v>
      </c>
      <c r="L1515" s="8" t="s">
        <v>490</v>
      </c>
      <c r="M1515" s="8">
        <v>0</v>
      </c>
      <c r="N1515" s="8"/>
    </row>
    <row r="1516" spans="6:14" x14ac:dyDescent="0.35">
      <c r="F1516" s="1"/>
      <c r="K1516" s="8" t="s">
        <v>235</v>
      </c>
      <c r="L1516" s="8" t="s">
        <v>370</v>
      </c>
      <c r="M1516" s="8">
        <v>1</v>
      </c>
      <c r="N1516" s="8"/>
    </row>
    <row r="1517" spans="6:14" x14ac:dyDescent="0.35">
      <c r="F1517" s="1"/>
      <c r="K1517" s="8" t="s">
        <v>235</v>
      </c>
      <c r="L1517" s="8" t="s">
        <v>491</v>
      </c>
      <c r="M1517" s="8">
        <v>0</v>
      </c>
      <c r="N1517" s="8"/>
    </row>
    <row r="1518" spans="6:14" x14ac:dyDescent="0.35">
      <c r="F1518" s="1"/>
      <c r="K1518" s="8" t="s">
        <v>235</v>
      </c>
      <c r="L1518" s="8" t="s">
        <v>492</v>
      </c>
      <c r="M1518" s="8">
        <v>0</v>
      </c>
      <c r="N1518" s="8"/>
    </row>
    <row r="1519" spans="6:14" x14ac:dyDescent="0.35">
      <c r="F1519" s="1"/>
      <c r="K1519" s="8" t="s">
        <v>235</v>
      </c>
      <c r="L1519" s="8" t="s">
        <v>493</v>
      </c>
      <c r="M1519" s="8">
        <v>0</v>
      </c>
      <c r="N1519" s="8"/>
    </row>
    <row r="1520" spans="6:14" x14ac:dyDescent="0.35">
      <c r="F1520" s="1"/>
      <c r="K1520" s="8" t="s">
        <v>235</v>
      </c>
      <c r="L1520" s="8" t="s">
        <v>494</v>
      </c>
      <c r="M1520" s="8">
        <v>0</v>
      </c>
      <c r="N1520" s="8"/>
    </row>
    <row r="1521" spans="6:14" x14ac:dyDescent="0.35">
      <c r="F1521" s="1"/>
      <c r="K1521" s="8" t="s">
        <v>235</v>
      </c>
      <c r="L1521" s="8" t="s">
        <v>495</v>
      </c>
      <c r="M1521" s="8">
        <v>0</v>
      </c>
      <c r="N1521" s="8"/>
    </row>
    <row r="1522" spans="6:14" x14ac:dyDescent="0.35">
      <c r="F1522" s="1"/>
      <c r="K1522" s="8" t="s">
        <v>236</v>
      </c>
      <c r="L1522" s="8" t="s">
        <v>480</v>
      </c>
      <c r="M1522" s="8">
        <v>0</v>
      </c>
      <c r="N1522" s="8"/>
    </row>
    <row r="1523" spans="6:14" x14ac:dyDescent="0.35">
      <c r="F1523" s="1"/>
      <c r="K1523" s="8" t="s">
        <v>236</v>
      </c>
      <c r="L1523" s="8" t="s">
        <v>481</v>
      </c>
      <c r="M1523" s="8">
        <v>0</v>
      </c>
      <c r="N1523" s="8"/>
    </row>
    <row r="1524" spans="6:14" x14ac:dyDescent="0.35">
      <c r="F1524" s="1"/>
      <c r="K1524" s="8" t="s">
        <v>236</v>
      </c>
      <c r="L1524" s="8" t="s">
        <v>482</v>
      </c>
      <c r="M1524" s="8">
        <v>0</v>
      </c>
      <c r="N1524" s="8"/>
    </row>
    <row r="1525" spans="6:14" x14ac:dyDescent="0.35">
      <c r="F1525" s="1"/>
      <c r="K1525" s="8" t="s">
        <v>236</v>
      </c>
      <c r="L1525" s="8" t="s">
        <v>483</v>
      </c>
      <c r="M1525" s="8">
        <v>0</v>
      </c>
      <c r="N1525" s="8"/>
    </row>
    <row r="1526" spans="6:14" x14ac:dyDescent="0.35">
      <c r="F1526" s="1"/>
      <c r="K1526" s="8" t="s">
        <v>236</v>
      </c>
      <c r="L1526" s="8" t="s">
        <v>484</v>
      </c>
      <c r="M1526" s="8">
        <v>0</v>
      </c>
      <c r="N1526" s="8"/>
    </row>
    <row r="1527" spans="6:14" x14ac:dyDescent="0.35">
      <c r="F1527" s="1"/>
      <c r="K1527" s="8" t="s">
        <v>236</v>
      </c>
      <c r="L1527" s="8" t="s">
        <v>428</v>
      </c>
      <c r="M1527" s="8">
        <v>1</v>
      </c>
      <c r="N1527" s="8"/>
    </row>
    <row r="1528" spans="6:14" x14ac:dyDescent="0.35">
      <c r="F1528" s="1"/>
      <c r="K1528" s="8" t="s">
        <v>236</v>
      </c>
      <c r="L1528" s="8" t="s">
        <v>429</v>
      </c>
      <c r="M1528" s="8">
        <v>1</v>
      </c>
      <c r="N1528" s="8"/>
    </row>
    <row r="1529" spans="6:14" x14ac:dyDescent="0.35">
      <c r="F1529" s="1"/>
      <c r="K1529" s="8" t="s">
        <v>236</v>
      </c>
      <c r="L1529" s="8" t="s">
        <v>989</v>
      </c>
      <c r="M1529" s="8">
        <v>0</v>
      </c>
      <c r="N1529" s="8"/>
    </row>
    <row r="1530" spans="6:14" x14ac:dyDescent="0.35">
      <c r="F1530" s="1"/>
      <c r="K1530" s="8" t="s">
        <v>236</v>
      </c>
      <c r="L1530" s="8" t="s">
        <v>990</v>
      </c>
      <c r="M1530" s="8">
        <v>0</v>
      </c>
      <c r="N1530" s="8"/>
    </row>
    <row r="1531" spans="6:14" x14ac:dyDescent="0.35">
      <c r="F1531" s="1"/>
      <c r="K1531" s="8" t="s">
        <v>236</v>
      </c>
      <c r="L1531" s="8" t="s">
        <v>991</v>
      </c>
      <c r="M1531" s="8">
        <v>1</v>
      </c>
      <c r="N1531" s="8" t="s">
        <v>476</v>
      </c>
    </row>
    <row r="1532" spans="6:14" x14ac:dyDescent="0.35">
      <c r="F1532" s="1"/>
      <c r="K1532" s="8" t="s">
        <v>236</v>
      </c>
      <c r="L1532" s="8" t="s">
        <v>992</v>
      </c>
      <c r="M1532" s="8">
        <v>1</v>
      </c>
      <c r="N1532" s="8" t="s">
        <v>539</v>
      </c>
    </row>
    <row r="1533" spans="6:14" x14ac:dyDescent="0.35">
      <c r="F1533" s="1"/>
      <c r="K1533" s="8" t="s">
        <v>236</v>
      </c>
      <c r="L1533" s="8" t="s">
        <v>993</v>
      </c>
      <c r="M1533" s="8">
        <v>0</v>
      </c>
      <c r="N1533" s="8"/>
    </row>
    <row r="1534" spans="6:14" x14ac:dyDescent="0.35">
      <c r="F1534" s="1"/>
      <c r="K1534" s="8" t="s">
        <v>236</v>
      </c>
      <c r="L1534" s="8" t="s">
        <v>994</v>
      </c>
      <c r="M1534" s="8">
        <v>0</v>
      </c>
      <c r="N1534" s="8"/>
    </row>
    <row r="1535" spans="6:14" x14ac:dyDescent="0.35">
      <c r="F1535" s="1"/>
      <c r="K1535" s="8" t="s">
        <v>236</v>
      </c>
      <c r="L1535" s="8" t="s">
        <v>427</v>
      </c>
      <c r="M1535" s="8">
        <v>1</v>
      </c>
      <c r="N1535" s="8"/>
    </row>
    <row r="1536" spans="6:14" x14ac:dyDescent="0.35">
      <c r="F1536" s="1"/>
      <c r="K1536" s="8" t="s">
        <v>236</v>
      </c>
      <c r="L1536" s="8" t="s">
        <v>486</v>
      </c>
      <c r="M1536" s="8">
        <v>0</v>
      </c>
      <c r="N1536" s="8"/>
    </row>
    <row r="1537" spans="6:14" x14ac:dyDescent="0.35">
      <c r="F1537" s="1"/>
      <c r="K1537" s="8" t="s">
        <v>236</v>
      </c>
      <c r="L1537" s="8" t="s">
        <v>487</v>
      </c>
      <c r="M1537" s="8">
        <v>0</v>
      </c>
      <c r="N1537" s="8"/>
    </row>
    <row r="1538" spans="6:14" x14ac:dyDescent="0.35">
      <c r="F1538" s="1"/>
      <c r="K1538" s="8" t="s">
        <v>236</v>
      </c>
      <c r="L1538" s="8" t="s">
        <v>488</v>
      </c>
      <c r="M1538" s="8">
        <v>0</v>
      </c>
      <c r="N1538" s="8"/>
    </row>
    <row r="1539" spans="6:14" x14ac:dyDescent="0.35">
      <c r="F1539" s="1"/>
      <c r="K1539" s="8" t="s">
        <v>236</v>
      </c>
      <c r="L1539" s="8" t="s">
        <v>489</v>
      </c>
      <c r="M1539" s="8">
        <v>0</v>
      </c>
      <c r="N1539" s="8"/>
    </row>
    <row r="1540" spans="6:14" x14ac:dyDescent="0.35">
      <c r="F1540" s="1"/>
      <c r="K1540" s="8" t="s">
        <v>236</v>
      </c>
      <c r="L1540" s="8" t="s">
        <v>490</v>
      </c>
      <c r="M1540" s="8">
        <v>0</v>
      </c>
      <c r="N1540" s="8"/>
    </row>
    <row r="1541" spans="6:14" x14ac:dyDescent="0.35">
      <c r="F1541" s="1"/>
      <c r="K1541" s="8" t="s">
        <v>236</v>
      </c>
      <c r="L1541" s="8" t="s">
        <v>370</v>
      </c>
      <c r="M1541" s="8">
        <v>1</v>
      </c>
      <c r="N1541" s="8"/>
    </row>
    <row r="1542" spans="6:14" x14ac:dyDescent="0.35">
      <c r="F1542" s="1"/>
      <c r="K1542" s="8" t="s">
        <v>236</v>
      </c>
      <c r="L1542" s="8" t="s">
        <v>491</v>
      </c>
      <c r="M1542" s="8">
        <v>0</v>
      </c>
      <c r="N1542" s="8"/>
    </row>
    <row r="1543" spans="6:14" x14ac:dyDescent="0.35">
      <c r="F1543" s="1"/>
      <c r="K1543" s="8" t="s">
        <v>236</v>
      </c>
      <c r="L1543" s="8" t="s">
        <v>492</v>
      </c>
      <c r="M1543" s="8">
        <v>0</v>
      </c>
      <c r="N1543" s="8"/>
    </row>
    <row r="1544" spans="6:14" x14ac:dyDescent="0.35">
      <c r="F1544" s="1"/>
      <c r="K1544" s="8" t="s">
        <v>236</v>
      </c>
      <c r="L1544" s="8" t="s">
        <v>493</v>
      </c>
      <c r="M1544" s="8">
        <v>0</v>
      </c>
      <c r="N1544" s="8"/>
    </row>
    <row r="1545" spans="6:14" x14ac:dyDescent="0.35">
      <c r="F1545" s="1"/>
      <c r="K1545" s="8" t="s">
        <v>236</v>
      </c>
      <c r="L1545" s="8" t="s">
        <v>494</v>
      </c>
      <c r="M1545" s="8">
        <v>0</v>
      </c>
      <c r="N1545" s="8"/>
    </row>
    <row r="1546" spans="6:14" x14ac:dyDescent="0.35">
      <c r="F1546" s="1"/>
      <c r="K1546" s="8" t="s">
        <v>236</v>
      </c>
      <c r="L1546" s="8" t="s">
        <v>495</v>
      </c>
      <c r="M1546" s="8">
        <v>0</v>
      </c>
      <c r="N1546" s="8"/>
    </row>
    <row r="1547" spans="6:14" x14ac:dyDescent="0.35">
      <c r="F1547" s="1"/>
      <c r="K1547" s="8" t="s">
        <v>237</v>
      </c>
      <c r="L1547" s="8" t="s">
        <v>430</v>
      </c>
      <c r="M1547" s="8">
        <v>1</v>
      </c>
      <c r="N1547" s="8"/>
    </row>
    <row r="1548" spans="6:14" x14ac:dyDescent="0.35">
      <c r="F1548" s="1"/>
      <c r="K1548" s="8" t="s">
        <v>237</v>
      </c>
      <c r="L1548" s="8" t="s">
        <v>388</v>
      </c>
      <c r="M1548" s="8">
        <v>1</v>
      </c>
      <c r="N1548" s="8"/>
    </row>
    <row r="1549" spans="6:14" x14ac:dyDescent="0.35">
      <c r="F1549" s="1"/>
      <c r="K1549" s="8" t="s">
        <v>237</v>
      </c>
      <c r="L1549" s="8" t="s">
        <v>480</v>
      </c>
      <c r="M1549" s="8">
        <v>0</v>
      </c>
      <c r="N1549" s="8"/>
    </row>
    <row r="1550" spans="6:14" x14ac:dyDescent="0.35">
      <c r="F1550" s="1"/>
      <c r="K1550" s="8" t="s">
        <v>237</v>
      </c>
      <c r="L1550" s="8" t="s">
        <v>481</v>
      </c>
      <c r="M1550" s="8">
        <v>0</v>
      </c>
      <c r="N1550" s="8"/>
    </row>
    <row r="1551" spans="6:14" x14ac:dyDescent="0.35">
      <c r="F1551" s="1"/>
      <c r="K1551" s="8" t="s">
        <v>237</v>
      </c>
      <c r="L1551" s="8" t="s">
        <v>482</v>
      </c>
      <c r="M1551" s="8">
        <v>0</v>
      </c>
      <c r="N1551" s="8"/>
    </row>
    <row r="1552" spans="6:14" x14ac:dyDescent="0.35">
      <c r="F1552" s="1"/>
      <c r="K1552" s="8" t="s">
        <v>237</v>
      </c>
      <c r="L1552" s="8" t="s">
        <v>483</v>
      </c>
      <c r="M1552" s="8">
        <v>0</v>
      </c>
      <c r="N1552" s="8"/>
    </row>
    <row r="1553" spans="6:14" x14ac:dyDescent="0.35">
      <c r="F1553" s="1"/>
      <c r="K1553" s="8" t="s">
        <v>237</v>
      </c>
      <c r="L1553" s="8" t="s">
        <v>484</v>
      </c>
      <c r="M1553" s="8">
        <v>0</v>
      </c>
      <c r="N1553" s="8"/>
    </row>
    <row r="1554" spans="6:14" x14ac:dyDescent="0.35">
      <c r="F1554" s="1"/>
      <c r="K1554" s="8" t="s">
        <v>237</v>
      </c>
      <c r="L1554" s="8" t="s">
        <v>643</v>
      </c>
      <c r="M1554" s="8">
        <v>0</v>
      </c>
      <c r="N1554" s="8"/>
    </row>
    <row r="1555" spans="6:14" x14ac:dyDescent="0.35">
      <c r="F1555" s="1"/>
      <c r="K1555" s="8" t="s">
        <v>237</v>
      </c>
      <c r="L1555" s="8" t="s">
        <v>644</v>
      </c>
      <c r="M1555" s="8">
        <v>0</v>
      </c>
      <c r="N1555" s="8"/>
    </row>
    <row r="1556" spans="6:14" x14ac:dyDescent="0.35">
      <c r="F1556" s="1"/>
      <c r="K1556" s="8" t="s">
        <v>237</v>
      </c>
      <c r="L1556" s="8" t="s">
        <v>645</v>
      </c>
      <c r="M1556" s="8">
        <v>0</v>
      </c>
      <c r="N1556" s="8"/>
    </row>
    <row r="1557" spans="6:14" x14ac:dyDescent="0.35">
      <c r="F1557" s="1"/>
      <c r="K1557" s="8" t="s">
        <v>237</v>
      </c>
      <c r="L1557" s="8" t="s">
        <v>646</v>
      </c>
      <c r="M1557" s="8">
        <v>0</v>
      </c>
      <c r="N1557" s="8"/>
    </row>
    <row r="1558" spans="6:14" x14ac:dyDescent="0.35">
      <c r="F1558" s="1"/>
      <c r="K1558" s="8" t="s">
        <v>237</v>
      </c>
      <c r="L1558" s="8" t="s">
        <v>647</v>
      </c>
      <c r="M1558" s="8">
        <v>1</v>
      </c>
      <c r="N1558" s="8" t="s">
        <v>476</v>
      </c>
    </row>
    <row r="1559" spans="6:14" x14ac:dyDescent="0.35">
      <c r="F1559" s="1"/>
      <c r="K1559" s="8" t="s">
        <v>237</v>
      </c>
      <c r="L1559" s="8" t="s">
        <v>648</v>
      </c>
      <c r="M1559" s="8">
        <v>1</v>
      </c>
      <c r="N1559" s="8" t="s">
        <v>539</v>
      </c>
    </row>
    <row r="1560" spans="6:14" x14ac:dyDescent="0.35">
      <c r="F1560" s="1"/>
      <c r="K1560" s="8" t="s">
        <v>237</v>
      </c>
      <c r="L1560" s="8" t="s">
        <v>486</v>
      </c>
      <c r="M1560" s="8">
        <v>0</v>
      </c>
      <c r="N1560" s="8"/>
    </row>
    <row r="1561" spans="6:14" x14ac:dyDescent="0.35">
      <c r="F1561" s="1"/>
      <c r="K1561" s="8" t="s">
        <v>237</v>
      </c>
      <c r="L1561" s="8" t="s">
        <v>487</v>
      </c>
      <c r="M1561" s="8">
        <v>0</v>
      </c>
      <c r="N1561" s="8"/>
    </row>
    <row r="1562" spans="6:14" x14ac:dyDescent="0.35">
      <c r="F1562" s="1"/>
      <c r="K1562" s="8" t="s">
        <v>237</v>
      </c>
      <c r="L1562" s="8" t="s">
        <v>488</v>
      </c>
      <c r="M1562" s="8">
        <v>0</v>
      </c>
      <c r="N1562" s="8"/>
    </row>
    <row r="1563" spans="6:14" x14ac:dyDescent="0.35">
      <c r="F1563" s="1"/>
      <c r="K1563" s="8" t="s">
        <v>237</v>
      </c>
      <c r="L1563" s="8" t="s">
        <v>489</v>
      </c>
      <c r="M1563" s="8">
        <v>0</v>
      </c>
      <c r="N1563" s="8"/>
    </row>
    <row r="1564" spans="6:14" x14ac:dyDescent="0.35">
      <c r="F1564" s="1"/>
      <c r="K1564" s="8" t="s">
        <v>237</v>
      </c>
      <c r="L1564" s="8" t="s">
        <v>490</v>
      </c>
      <c r="M1564" s="8">
        <v>0</v>
      </c>
      <c r="N1564" s="8"/>
    </row>
    <row r="1565" spans="6:14" x14ac:dyDescent="0.35">
      <c r="F1565" s="1"/>
      <c r="K1565" s="8" t="s">
        <v>237</v>
      </c>
      <c r="L1565" s="8" t="s">
        <v>491</v>
      </c>
      <c r="M1565" s="8">
        <v>0</v>
      </c>
      <c r="N1565" s="8"/>
    </row>
    <row r="1566" spans="6:14" x14ac:dyDescent="0.35">
      <c r="F1566" s="1"/>
      <c r="K1566" s="8" t="s">
        <v>237</v>
      </c>
      <c r="L1566" s="8" t="s">
        <v>492</v>
      </c>
      <c r="M1566" s="8">
        <v>0</v>
      </c>
      <c r="N1566" s="8"/>
    </row>
    <row r="1567" spans="6:14" x14ac:dyDescent="0.35">
      <c r="F1567" s="1"/>
      <c r="K1567" s="8" t="s">
        <v>237</v>
      </c>
      <c r="L1567" s="8" t="s">
        <v>493</v>
      </c>
      <c r="M1567" s="8">
        <v>0</v>
      </c>
      <c r="N1567" s="8"/>
    </row>
    <row r="1568" spans="6:14" x14ac:dyDescent="0.35">
      <c r="F1568" s="1"/>
      <c r="K1568" s="8" t="s">
        <v>237</v>
      </c>
      <c r="L1568" s="8" t="s">
        <v>494</v>
      </c>
      <c r="M1568" s="8">
        <v>0</v>
      </c>
      <c r="N1568" s="8"/>
    </row>
    <row r="1569" spans="6:14" x14ac:dyDescent="0.35">
      <c r="F1569" s="1"/>
      <c r="K1569" s="8" t="s">
        <v>237</v>
      </c>
      <c r="L1569" s="8" t="s">
        <v>495</v>
      </c>
      <c r="M1569" s="8">
        <v>0</v>
      </c>
      <c r="N1569" s="8"/>
    </row>
    <row r="1570" spans="6:14" x14ac:dyDescent="0.35">
      <c r="F1570" s="1"/>
      <c r="K1570" s="8" t="s">
        <v>238</v>
      </c>
      <c r="L1570" s="8" t="s">
        <v>929</v>
      </c>
      <c r="M1570" s="8">
        <v>1</v>
      </c>
      <c r="N1570" s="8" t="s">
        <v>517</v>
      </c>
    </row>
    <row r="1571" spans="6:14" x14ac:dyDescent="0.35">
      <c r="F1571" s="1"/>
      <c r="K1571" s="8" t="s">
        <v>238</v>
      </c>
      <c r="L1571" s="8" t="s">
        <v>431</v>
      </c>
      <c r="M1571" s="8">
        <v>1</v>
      </c>
      <c r="N1571" s="8"/>
    </row>
    <row r="1572" spans="6:14" x14ac:dyDescent="0.35">
      <c r="F1572" s="1"/>
      <c r="K1572" s="8" t="s">
        <v>238</v>
      </c>
      <c r="L1572" s="8" t="s">
        <v>930</v>
      </c>
      <c r="M1572" s="8">
        <v>1</v>
      </c>
      <c r="N1572" s="8" t="s">
        <v>931</v>
      </c>
    </row>
    <row r="1573" spans="6:14" x14ac:dyDescent="0.35">
      <c r="F1573" s="1"/>
      <c r="K1573" s="8" t="s">
        <v>238</v>
      </c>
      <c r="L1573" s="8" t="s">
        <v>350</v>
      </c>
      <c r="M1573" s="8">
        <v>1</v>
      </c>
      <c r="N1573" s="8"/>
    </row>
    <row r="1574" spans="6:14" x14ac:dyDescent="0.35">
      <c r="F1574" s="1"/>
      <c r="K1574" s="8" t="s">
        <v>238</v>
      </c>
      <c r="L1574" s="8" t="s">
        <v>480</v>
      </c>
      <c r="M1574" s="8">
        <v>0</v>
      </c>
      <c r="N1574" s="8"/>
    </row>
    <row r="1575" spans="6:14" x14ac:dyDescent="0.35">
      <c r="F1575" s="1"/>
      <c r="K1575" s="8" t="s">
        <v>238</v>
      </c>
      <c r="L1575" s="8" t="s">
        <v>481</v>
      </c>
      <c r="M1575" s="8">
        <v>0</v>
      </c>
      <c r="N1575" s="8"/>
    </row>
    <row r="1576" spans="6:14" x14ac:dyDescent="0.35">
      <c r="F1576" s="1"/>
      <c r="K1576" s="8" t="s">
        <v>238</v>
      </c>
      <c r="L1576" s="8" t="s">
        <v>482</v>
      </c>
      <c r="M1576" s="8">
        <v>0</v>
      </c>
      <c r="N1576" s="8"/>
    </row>
    <row r="1577" spans="6:14" x14ac:dyDescent="0.35">
      <c r="F1577" s="1"/>
      <c r="K1577" s="8" t="s">
        <v>238</v>
      </c>
      <c r="L1577" s="8" t="s">
        <v>483</v>
      </c>
      <c r="M1577" s="8">
        <v>0</v>
      </c>
      <c r="N1577" s="8"/>
    </row>
    <row r="1578" spans="6:14" x14ac:dyDescent="0.35">
      <c r="F1578" s="1"/>
      <c r="K1578" s="8" t="s">
        <v>238</v>
      </c>
      <c r="L1578" s="8" t="s">
        <v>484</v>
      </c>
      <c r="M1578" s="8">
        <v>0</v>
      </c>
      <c r="N1578" s="8"/>
    </row>
    <row r="1579" spans="6:14" x14ac:dyDescent="0.35">
      <c r="F1579" s="1"/>
      <c r="K1579" s="8" t="s">
        <v>238</v>
      </c>
      <c r="L1579" s="8" t="s">
        <v>1031</v>
      </c>
      <c r="M1579" s="8">
        <v>0</v>
      </c>
      <c r="N1579" s="8"/>
    </row>
    <row r="1580" spans="6:14" x14ac:dyDescent="0.35">
      <c r="F1580" s="1"/>
      <c r="K1580" s="8" t="s">
        <v>238</v>
      </c>
      <c r="L1580" s="8" t="s">
        <v>436</v>
      </c>
      <c r="M1580" s="8">
        <v>1</v>
      </c>
      <c r="N1580" s="8" t="s">
        <v>539</v>
      </c>
    </row>
    <row r="1581" spans="6:14" x14ac:dyDescent="0.35">
      <c r="F1581" s="1"/>
      <c r="K1581" s="8" t="s">
        <v>238</v>
      </c>
      <c r="L1581" s="8" t="s">
        <v>1032</v>
      </c>
      <c r="M1581" s="8">
        <v>0</v>
      </c>
      <c r="N1581" s="8"/>
    </row>
    <row r="1582" spans="6:14" x14ac:dyDescent="0.35">
      <c r="F1582" s="1"/>
      <c r="K1582" s="8" t="s">
        <v>238</v>
      </c>
      <c r="L1582" s="8" t="s">
        <v>1033</v>
      </c>
      <c r="M1582" s="8">
        <v>0</v>
      </c>
      <c r="N1582" s="8"/>
    </row>
    <row r="1583" spans="6:14" x14ac:dyDescent="0.35">
      <c r="F1583" s="1"/>
      <c r="K1583" s="8" t="s">
        <v>238</v>
      </c>
      <c r="L1583" s="8" t="s">
        <v>1034</v>
      </c>
      <c r="M1583" s="8">
        <v>1</v>
      </c>
      <c r="N1583" s="8" t="s">
        <v>476</v>
      </c>
    </row>
    <row r="1584" spans="6:14" x14ac:dyDescent="0.35">
      <c r="F1584" s="1"/>
      <c r="K1584" s="8" t="s">
        <v>238</v>
      </c>
      <c r="L1584" s="8" t="s">
        <v>1035</v>
      </c>
      <c r="M1584" s="8">
        <v>1</v>
      </c>
      <c r="N1584" s="8" t="s">
        <v>476</v>
      </c>
    </row>
    <row r="1585" spans="6:14" x14ac:dyDescent="0.35">
      <c r="F1585" s="1"/>
      <c r="K1585" s="8" t="s">
        <v>238</v>
      </c>
      <c r="L1585" s="8" t="s">
        <v>1036</v>
      </c>
      <c r="M1585" s="8">
        <v>1</v>
      </c>
      <c r="N1585" s="8" t="s">
        <v>539</v>
      </c>
    </row>
    <row r="1586" spans="6:14" x14ac:dyDescent="0.35">
      <c r="F1586" s="1"/>
      <c r="K1586" s="8" t="s">
        <v>238</v>
      </c>
      <c r="L1586" s="8" t="s">
        <v>1037</v>
      </c>
      <c r="M1586" s="8">
        <v>1</v>
      </c>
      <c r="N1586" s="8" t="s">
        <v>1030</v>
      </c>
    </row>
    <row r="1587" spans="6:14" x14ac:dyDescent="0.35">
      <c r="F1587" s="1"/>
      <c r="K1587" s="8" t="s">
        <v>238</v>
      </c>
      <c r="L1587" s="8" t="s">
        <v>1038</v>
      </c>
      <c r="M1587" s="8">
        <v>0</v>
      </c>
      <c r="N1587" s="8"/>
    </row>
    <row r="1588" spans="6:14" x14ac:dyDescent="0.35">
      <c r="F1588" s="1"/>
      <c r="K1588" s="8" t="s">
        <v>238</v>
      </c>
      <c r="L1588" s="8" t="s">
        <v>1039</v>
      </c>
      <c r="M1588" s="8">
        <v>0</v>
      </c>
      <c r="N1588" s="8"/>
    </row>
    <row r="1589" spans="6:14" x14ac:dyDescent="0.35">
      <c r="F1589" s="1"/>
      <c r="K1589" s="8" t="s">
        <v>238</v>
      </c>
      <c r="L1589" s="8" t="s">
        <v>1040</v>
      </c>
      <c r="M1589" s="8">
        <v>1</v>
      </c>
      <c r="N1589" s="8" t="s">
        <v>773</v>
      </c>
    </row>
    <row r="1590" spans="6:14" x14ac:dyDescent="0.35">
      <c r="F1590" s="1"/>
      <c r="K1590" s="8" t="s">
        <v>238</v>
      </c>
      <c r="L1590" s="8" t="s">
        <v>1041</v>
      </c>
      <c r="M1590" s="8">
        <v>0</v>
      </c>
      <c r="N1590" s="8"/>
    </row>
    <row r="1591" spans="6:14" x14ac:dyDescent="0.35">
      <c r="F1591" s="1"/>
      <c r="K1591" s="8" t="s">
        <v>238</v>
      </c>
      <c r="L1591" s="8" t="s">
        <v>1042</v>
      </c>
      <c r="M1591" s="8">
        <v>0</v>
      </c>
      <c r="N1591" s="8"/>
    </row>
    <row r="1592" spans="6:14" x14ac:dyDescent="0.35">
      <c r="F1592" s="1"/>
      <c r="K1592" s="8" t="s">
        <v>238</v>
      </c>
      <c r="L1592" s="8" t="s">
        <v>412</v>
      </c>
      <c r="M1592" s="8">
        <v>1</v>
      </c>
      <c r="N1592" s="8"/>
    </row>
    <row r="1593" spans="6:14" x14ac:dyDescent="0.35">
      <c r="F1593" s="1"/>
      <c r="K1593" s="8" t="s">
        <v>238</v>
      </c>
      <c r="L1593" s="8" t="s">
        <v>435</v>
      </c>
      <c r="M1593" s="8">
        <v>1</v>
      </c>
      <c r="N1593" s="8"/>
    </row>
    <row r="1594" spans="6:14" x14ac:dyDescent="0.35">
      <c r="F1594" s="1"/>
      <c r="K1594" s="8" t="s">
        <v>238</v>
      </c>
      <c r="L1594" s="8" t="s">
        <v>1043</v>
      </c>
      <c r="M1594" s="8">
        <v>0</v>
      </c>
      <c r="N1594" s="8"/>
    </row>
    <row r="1595" spans="6:14" x14ac:dyDescent="0.35">
      <c r="F1595" s="1"/>
      <c r="K1595" s="8" t="s">
        <v>238</v>
      </c>
      <c r="L1595" s="8" t="s">
        <v>1044</v>
      </c>
      <c r="M1595" s="8">
        <v>1</v>
      </c>
      <c r="N1595" s="8"/>
    </row>
    <row r="1596" spans="6:14" x14ac:dyDescent="0.35">
      <c r="F1596" s="1"/>
      <c r="K1596" s="8" t="s">
        <v>238</v>
      </c>
      <c r="L1596" s="8" t="s">
        <v>1045</v>
      </c>
      <c r="M1596" s="8">
        <v>1</v>
      </c>
      <c r="N1596" s="8"/>
    </row>
    <row r="1597" spans="6:14" x14ac:dyDescent="0.35">
      <c r="F1597" s="1"/>
      <c r="K1597" s="8" t="s">
        <v>238</v>
      </c>
      <c r="L1597" s="8" t="s">
        <v>486</v>
      </c>
      <c r="M1597" s="8">
        <v>0</v>
      </c>
      <c r="N1597" s="8"/>
    </row>
    <row r="1598" spans="6:14" x14ac:dyDescent="0.35">
      <c r="F1598" s="1"/>
      <c r="K1598" s="8" t="s">
        <v>238</v>
      </c>
      <c r="L1598" s="8" t="s">
        <v>487</v>
      </c>
      <c r="M1598" s="8">
        <v>0</v>
      </c>
      <c r="N1598" s="8"/>
    </row>
    <row r="1599" spans="6:14" x14ac:dyDescent="0.35">
      <c r="F1599" s="1"/>
      <c r="K1599" s="8" t="s">
        <v>238</v>
      </c>
      <c r="L1599" s="8" t="s">
        <v>488</v>
      </c>
      <c r="M1599" s="8">
        <v>0</v>
      </c>
      <c r="N1599" s="8"/>
    </row>
    <row r="1600" spans="6:14" x14ac:dyDescent="0.35">
      <c r="F1600" s="1"/>
      <c r="K1600" s="8" t="s">
        <v>238</v>
      </c>
      <c r="L1600" s="8" t="s">
        <v>489</v>
      </c>
      <c r="M1600" s="8">
        <v>0</v>
      </c>
      <c r="N1600" s="8"/>
    </row>
    <row r="1601" spans="6:14" x14ac:dyDescent="0.35">
      <c r="F1601" s="1"/>
      <c r="K1601" s="8" t="s">
        <v>238</v>
      </c>
      <c r="L1601" s="8" t="s">
        <v>490</v>
      </c>
      <c r="M1601" s="8">
        <v>0</v>
      </c>
      <c r="N1601" s="8"/>
    </row>
    <row r="1602" spans="6:14" x14ac:dyDescent="0.35">
      <c r="F1602" s="1"/>
      <c r="K1602" s="8" t="s">
        <v>238</v>
      </c>
      <c r="L1602" s="8" t="s">
        <v>1046</v>
      </c>
      <c r="M1602" s="8">
        <v>0</v>
      </c>
      <c r="N1602" s="8" t="s">
        <v>940</v>
      </c>
    </row>
    <row r="1603" spans="6:14" x14ac:dyDescent="0.35">
      <c r="F1603" s="1"/>
      <c r="K1603" s="8" t="s">
        <v>238</v>
      </c>
      <c r="L1603" s="8" t="s">
        <v>491</v>
      </c>
      <c r="M1603" s="8">
        <v>0</v>
      </c>
      <c r="N1603" s="8"/>
    </row>
    <row r="1604" spans="6:14" x14ac:dyDescent="0.35">
      <c r="F1604" s="1"/>
      <c r="K1604" s="8" t="s">
        <v>238</v>
      </c>
      <c r="L1604" s="8" t="s">
        <v>492</v>
      </c>
      <c r="M1604" s="8">
        <v>0</v>
      </c>
      <c r="N1604" s="8"/>
    </row>
    <row r="1605" spans="6:14" x14ac:dyDescent="0.35">
      <c r="F1605" s="1"/>
      <c r="K1605" s="8" t="s">
        <v>238</v>
      </c>
      <c r="L1605" s="8" t="s">
        <v>493</v>
      </c>
      <c r="M1605" s="8">
        <v>0</v>
      </c>
      <c r="N1605" s="8"/>
    </row>
    <row r="1606" spans="6:14" x14ac:dyDescent="0.35">
      <c r="F1606" s="1"/>
      <c r="K1606" s="8" t="s">
        <v>238</v>
      </c>
      <c r="L1606" s="8" t="s">
        <v>432</v>
      </c>
      <c r="M1606" s="8">
        <v>1</v>
      </c>
      <c r="N1606" s="8" t="s">
        <v>1004</v>
      </c>
    </row>
    <row r="1607" spans="6:14" x14ac:dyDescent="0.35">
      <c r="F1607" s="1"/>
      <c r="K1607" s="8" t="s">
        <v>238</v>
      </c>
      <c r="L1607" s="8" t="s">
        <v>433</v>
      </c>
      <c r="M1607" s="8">
        <v>1</v>
      </c>
      <c r="N1607" s="8" t="s">
        <v>1010</v>
      </c>
    </row>
    <row r="1608" spans="6:14" x14ac:dyDescent="0.35">
      <c r="F1608" s="1"/>
      <c r="K1608" s="8" t="s">
        <v>238</v>
      </c>
      <c r="L1608" s="8" t="s">
        <v>434</v>
      </c>
      <c r="M1608" s="8">
        <v>1</v>
      </c>
      <c r="N1608" s="8" t="s">
        <v>1011</v>
      </c>
    </row>
    <row r="1609" spans="6:14" x14ac:dyDescent="0.35">
      <c r="F1609" s="1"/>
      <c r="K1609" s="8" t="s">
        <v>240</v>
      </c>
      <c r="L1609" s="8" t="s">
        <v>1322</v>
      </c>
      <c r="M1609" s="8">
        <v>0</v>
      </c>
      <c r="N1609" s="8"/>
    </row>
    <row r="1610" spans="6:14" x14ac:dyDescent="0.35">
      <c r="F1610" s="1"/>
      <c r="K1610" s="8" t="s">
        <v>240</v>
      </c>
      <c r="L1610" s="8" t="s">
        <v>438</v>
      </c>
      <c r="M1610" s="8">
        <v>1</v>
      </c>
      <c r="N1610" s="8"/>
    </row>
    <row r="1611" spans="6:14" x14ac:dyDescent="0.35">
      <c r="F1611" s="1"/>
      <c r="K1611" s="8" t="s">
        <v>240</v>
      </c>
      <c r="L1611" s="8" t="s">
        <v>1323</v>
      </c>
      <c r="M1611" s="8">
        <v>1</v>
      </c>
      <c r="N1611" s="8" t="s">
        <v>476</v>
      </c>
    </row>
    <row r="1612" spans="6:14" x14ac:dyDescent="0.35">
      <c r="F1612" s="1"/>
      <c r="K1612" s="8" t="s">
        <v>240</v>
      </c>
      <c r="L1612" s="8" t="s">
        <v>1324</v>
      </c>
      <c r="M1612" s="8">
        <v>1</v>
      </c>
      <c r="N1612" s="8" t="s">
        <v>476</v>
      </c>
    </row>
    <row r="1613" spans="6:14" x14ac:dyDescent="0.35">
      <c r="F1613" s="1"/>
      <c r="K1613" s="8" t="s">
        <v>240</v>
      </c>
      <c r="L1613" s="8" t="s">
        <v>1325</v>
      </c>
      <c r="M1613" s="8">
        <v>1</v>
      </c>
      <c r="N1613" s="8"/>
    </row>
    <row r="1614" spans="6:14" x14ac:dyDescent="0.35">
      <c r="F1614" s="1"/>
      <c r="K1614" s="8" t="s">
        <v>240</v>
      </c>
      <c r="L1614" s="8" t="s">
        <v>1326</v>
      </c>
      <c r="M1614" s="8">
        <v>0</v>
      </c>
      <c r="N1614" s="8"/>
    </row>
    <row r="1615" spans="6:14" x14ac:dyDescent="0.35">
      <c r="F1615" s="1"/>
      <c r="K1615" s="8" t="s">
        <v>241</v>
      </c>
      <c r="L1615" s="8" t="s">
        <v>375</v>
      </c>
      <c r="M1615" s="8">
        <v>1</v>
      </c>
      <c r="N1615" s="8"/>
    </row>
    <row r="1616" spans="6:14" x14ac:dyDescent="0.35">
      <c r="F1616" s="1"/>
      <c r="K1616" s="8" t="s">
        <v>241</v>
      </c>
      <c r="L1616" s="8" t="s">
        <v>376</v>
      </c>
      <c r="M1616" s="8">
        <v>1</v>
      </c>
      <c r="N1616" s="8"/>
    </row>
    <row r="1617" spans="6:14" x14ac:dyDescent="0.35">
      <c r="F1617" s="1"/>
      <c r="K1617" s="8" t="s">
        <v>241</v>
      </c>
      <c r="L1617" s="8" t="s">
        <v>438</v>
      </c>
      <c r="M1617" s="8">
        <v>1</v>
      </c>
      <c r="N1617" s="8"/>
    </row>
    <row r="1618" spans="6:14" x14ac:dyDescent="0.35">
      <c r="F1618" s="1"/>
      <c r="K1618" s="8" t="s">
        <v>241</v>
      </c>
      <c r="L1618" s="8" t="s">
        <v>1334</v>
      </c>
      <c r="M1618" s="8">
        <v>0</v>
      </c>
      <c r="N1618" s="8" t="s">
        <v>476</v>
      </c>
    </row>
    <row r="1619" spans="6:14" x14ac:dyDescent="0.35">
      <c r="F1619" s="1"/>
      <c r="K1619" s="8" t="s">
        <v>241</v>
      </c>
      <c r="L1619" s="8" t="s">
        <v>1335</v>
      </c>
      <c r="M1619" s="8">
        <v>0</v>
      </c>
      <c r="N1619" s="8" t="s">
        <v>517</v>
      </c>
    </row>
    <row r="1620" spans="6:14" x14ac:dyDescent="0.35">
      <c r="F1620" s="1"/>
      <c r="K1620" s="8" t="s">
        <v>241</v>
      </c>
      <c r="L1620" s="8" t="s">
        <v>374</v>
      </c>
      <c r="M1620" s="8">
        <v>1</v>
      </c>
      <c r="N1620" s="8"/>
    </row>
    <row r="1621" spans="6:14" x14ac:dyDescent="0.35">
      <c r="F1621" s="1"/>
      <c r="K1621" s="8" t="s">
        <v>241</v>
      </c>
      <c r="L1621" s="8" t="s">
        <v>1336</v>
      </c>
      <c r="M1621" s="8">
        <v>0</v>
      </c>
      <c r="N1621" s="8" t="s">
        <v>476</v>
      </c>
    </row>
    <row r="1622" spans="6:14" x14ac:dyDescent="0.35">
      <c r="F1622" s="1"/>
      <c r="K1622" s="8" t="s">
        <v>241</v>
      </c>
      <c r="L1622" s="8" t="s">
        <v>1337</v>
      </c>
      <c r="M1622" s="8">
        <v>0</v>
      </c>
      <c r="N1622" s="8" t="s">
        <v>476</v>
      </c>
    </row>
    <row r="1623" spans="6:14" x14ac:dyDescent="0.35">
      <c r="F1623" s="1"/>
      <c r="K1623" s="8" t="s">
        <v>241</v>
      </c>
      <c r="L1623" s="8" t="s">
        <v>1338</v>
      </c>
      <c r="M1623" s="8">
        <v>0</v>
      </c>
      <c r="N1623" s="8" t="s">
        <v>476</v>
      </c>
    </row>
    <row r="1624" spans="6:14" x14ac:dyDescent="0.35">
      <c r="F1624" s="1"/>
      <c r="K1624" s="8" t="s">
        <v>242</v>
      </c>
      <c r="L1624" s="8" t="s">
        <v>1327</v>
      </c>
      <c r="M1624" s="8">
        <v>1</v>
      </c>
      <c r="N1624" s="8" t="s">
        <v>517</v>
      </c>
    </row>
    <row r="1625" spans="6:14" x14ac:dyDescent="0.35">
      <c r="F1625" s="1"/>
      <c r="K1625" s="8" t="s">
        <v>242</v>
      </c>
      <c r="L1625" s="8" t="s">
        <v>375</v>
      </c>
      <c r="M1625" s="8">
        <v>1</v>
      </c>
      <c r="N1625" s="8"/>
    </row>
    <row r="1626" spans="6:14" x14ac:dyDescent="0.35">
      <c r="F1626" s="1"/>
      <c r="K1626" s="8" t="s">
        <v>242</v>
      </c>
      <c r="L1626" s="8" t="s">
        <v>376</v>
      </c>
      <c r="M1626" s="8">
        <v>1</v>
      </c>
      <c r="N1626" s="8"/>
    </row>
    <row r="1627" spans="6:14" x14ac:dyDescent="0.35">
      <c r="F1627" s="1"/>
      <c r="K1627" s="8" t="s">
        <v>242</v>
      </c>
      <c r="L1627" s="8" t="s">
        <v>438</v>
      </c>
      <c r="M1627" s="8">
        <v>1</v>
      </c>
      <c r="N1627" s="8"/>
    </row>
    <row r="1628" spans="6:14" x14ac:dyDescent="0.35">
      <c r="F1628" s="1"/>
      <c r="K1628" s="8" t="s">
        <v>242</v>
      </c>
      <c r="L1628" s="8" t="s">
        <v>1328</v>
      </c>
      <c r="M1628" s="8">
        <v>1</v>
      </c>
      <c r="N1628" s="8" t="s">
        <v>476</v>
      </c>
    </row>
    <row r="1629" spans="6:14" x14ac:dyDescent="0.35">
      <c r="F1629" s="1"/>
      <c r="K1629" s="8" t="s">
        <v>242</v>
      </c>
      <c r="L1629" s="8" t="s">
        <v>1329</v>
      </c>
      <c r="M1629" s="8">
        <v>1</v>
      </c>
      <c r="N1629" s="8" t="s">
        <v>517</v>
      </c>
    </row>
    <row r="1630" spans="6:14" x14ac:dyDescent="0.35">
      <c r="F1630" s="1"/>
      <c r="K1630" s="8" t="s">
        <v>242</v>
      </c>
      <c r="L1630" s="8" t="s">
        <v>1330</v>
      </c>
      <c r="M1630" s="8">
        <v>1</v>
      </c>
      <c r="N1630" s="8" t="s">
        <v>476</v>
      </c>
    </row>
    <row r="1631" spans="6:14" x14ac:dyDescent="0.35">
      <c r="F1631" s="1"/>
      <c r="K1631" s="8" t="s">
        <v>242</v>
      </c>
      <c r="L1631" s="8" t="s">
        <v>1331</v>
      </c>
      <c r="M1631" s="8">
        <v>1</v>
      </c>
      <c r="N1631" s="8" t="s">
        <v>476</v>
      </c>
    </row>
    <row r="1632" spans="6:14" x14ac:dyDescent="0.35">
      <c r="F1632" s="1"/>
      <c r="K1632" s="8" t="s">
        <v>242</v>
      </c>
      <c r="L1632" s="8" t="s">
        <v>1332</v>
      </c>
      <c r="M1632" s="8">
        <v>1</v>
      </c>
      <c r="N1632" s="8" t="s">
        <v>476</v>
      </c>
    </row>
    <row r="1633" spans="6:14" x14ac:dyDescent="0.35">
      <c r="F1633" s="1"/>
      <c r="K1633" s="8" t="s">
        <v>242</v>
      </c>
      <c r="L1633" s="8" t="s">
        <v>1333</v>
      </c>
      <c r="M1633" s="8">
        <v>1</v>
      </c>
      <c r="N1633" s="8" t="s">
        <v>476</v>
      </c>
    </row>
    <row r="1634" spans="6:14" x14ac:dyDescent="0.35">
      <c r="F1634" s="1"/>
      <c r="K1634" s="8" t="s">
        <v>243</v>
      </c>
      <c r="L1634" s="8" t="s">
        <v>350</v>
      </c>
      <c r="M1634" s="8">
        <v>0</v>
      </c>
      <c r="N1634" s="8"/>
    </row>
    <row r="1635" spans="6:14" x14ac:dyDescent="0.35">
      <c r="F1635" s="1"/>
      <c r="K1635" s="8" t="s">
        <v>243</v>
      </c>
      <c r="L1635" s="8" t="s">
        <v>1094</v>
      </c>
      <c r="M1635" s="8">
        <v>0</v>
      </c>
      <c r="N1635" s="8"/>
    </row>
    <row r="1636" spans="6:14" x14ac:dyDescent="0.35">
      <c r="F1636" s="1"/>
      <c r="K1636" s="8" t="s">
        <v>243</v>
      </c>
      <c r="L1636" s="8" t="s">
        <v>1095</v>
      </c>
      <c r="M1636" s="8">
        <v>0</v>
      </c>
      <c r="N1636" s="8"/>
    </row>
    <row r="1637" spans="6:14" x14ac:dyDescent="0.35">
      <c r="F1637" s="1"/>
      <c r="K1637" s="8" t="s">
        <v>243</v>
      </c>
      <c r="L1637" s="8" t="s">
        <v>1096</v>
      </c>
      <c r="M1637" s="8">
        <v>1</v>
      </c>
      <c r="N1637" s="8"/>
    </row>
    <row r="1638" spans="6:14" x14ac:dyDescent="0.35">
      <c r="F1638" s="1"/>
      <c r="K1638" s="8" t="s">
        <v>243</v>
      </c>
      <c r="L1638" s="8" t="s">
        <v>1097</v>
      </c>
      <c r="M1638" s="8">
        <v>0</v>
      </c>
      <c r="N1638" s="8" t="s">
        <v>630</v>
      </c>
    </row>
    <row r="1639" spans="6:14" x14ac:dyDescent="0.35">
      <c r="F1639" s="1"/>
      <c r="K1639" s="8" t="s">
        <v>243</v>
      </c>
      <c r="L1639" s="8" t="s">
        <v>1098</v>
      </c>
      <c r="M1639" s="8">
        <v>1</v>
      </c>
      <c r="N1639" s="8" t="s">
        <v>517</v>
      </c>
    </row>
    <row r="1640" spans="6:14" x14ac:dyDescent="0.35">
      <c r="F1640" s="1"/>
      <c r="K1640" s="8" t="s">
        <v>243</v>
      </c>
      <c r="L1640" s="8" t="s">
        <v>1099</v>
      </c>
      <c r="M1640" s="8">
        <v>0</v>
      </c>
      <c r="N1640" s="8"/>
    </row>
    <row r="1641" spans="6:14" x14ac:dyDescent="0.35">
      <c r="F1641" s="1"/>
      <c r="K1641" s="8" t="s">
        <v>243</v>
      </c>
      <c r="L1641" s="8" t="s">
        <v>1100</v>
      </c>
      <c r="M1641" s="8">
        <v>0</v>
      </c>
      <c r="N1641" s="8"/>
    </row>
    <row r="1642" spans="6:14" x14ac:dyDescent="0.35">
      <c r="F1642" s="1"/>
      <c r="K1642" s="8" t="s">
        <v>243</v>
      </c>
      <c r="L1642" s="8" t="s">
        <v>1101</v>
      </c>
      <c r="M1642" s="8">
        <v>0</v>
      </c>
      <c r="N1642" s="8"/>
    </row>
    <row r="1643" spans="6:14" x14ac:dyDescent="0.35">
      <c r="F1643" s="1"/>
      <c r="K1643" s="8" t="s">
        <v>243</v>
      </c>
      <c r="L1643" s="8" t="s">
        <v>1102</v>
      </c>
      <c r="M1643" s="8">
        <v>1</v>
      </c>
      <c r="N1643" s="8"/>
    </row>
    <row r="1644" spans="6:14" x14ac:dyDescent="0.35">
      <c r="F1644" s="1"/>
      <c r="K1644" s="8" t="s">
        <v>243</v>
      </c>
      <c r="L1644" s="8" t="s">
        <v>1103</v>
      </c>
      <c r="M1644" s="8">
        <v>0</v>
      </c>
      <c r="N1644" s="8"/>
    </row>
    <row r="1645" spans="6:14" x14ac:dyDescent="0.35">
      <c r="F1645" s="1"/>
      <c r="K1645" s="8" t="s">
        <v>243</v>
      </c>
      <c r="L1645" s="8" t="s">
        <v>1104</v>
      </c>
      <c r="M1645" s="8">
        <v>1</v>
      </c>
      <c r="N1645" s="8"/>
    </row>
    <row r="1646" spans="6:14" x14ac:dyDescent="0.35">
      <c r="F1646" s="1"/>
      <c r="K1646" s="8" t="s">
        <v>243</v>
      </c>
      <c r="L1646" s="8" t="s">
        <v>480</v>
      </c>
      <c r="M1646" s="8">
        <v>0</v>
      </c>
      <c r="N1646" s="8"/>
    </row>
    <row r="1647" spans="6:14" x14ac:dyDescent="0.35">
      <c r="F1647" s="1"/>
      <c r="K1647" s="8" t="s">
        <v>243</v>
      </c>
      <c r="L1647" s="8" t="s">
        <v>481</v>
      </c>
      <c r="M1647" s="8">
        <v>0</v>
      </c>
      <c r="N1647" s="8"/>
    </row>
    <row r="1648" spans="6:14" x14ac:dyDescent="0.35">
      <c r="F1648" s="1"/>
      <c r="K1648" s="8" t="s">
        <v>243</v>
      </c>
      <c r="L1648" s="8" t="s">
        <v>482</v>
      </c>
      <c r="M1648" s="8">
        <v>0</v>
      </c>
      <c r="N1648" s="8"/>
    </row>
    <row r="1649" spans="6:14" x14ac:dyDescent="0.35">
      <c r="F1649" s="1"/>
      <c r="K1649" s="8" t="s">
        <v>243</v>
      </c>
      <c r="L1649" s="8" t="s">
        <v>483</v>
      </c>
      <c r="M1649" s="8">
        <v>0</v>
      </c>
      <c r="N1649" s="8"/>
    </row>
    <row r="1650" spans="6:14" x14ac:dyDescent="0.35">
      <c r="F1650" s="1"/>
      <c r="K1650" s="8" t="s">
        <v>243</v>
      </c>
      <c r="L1650" s="8" t="s">
        <v>484</v>
      </c>
      <c r="M1650" s="8">
        <v>0</v>
      </c>
      <c r="N1650" s="8"/>
    </row>
    <row r="1651" spans="6:14" x14ac:dyDescent="0.35">
      <c r="F1651" s="1"/>
      <c r="K1651" s="8" t="s">
        <v>243</v>
      </c>
      <c r="L1651" s="8" t="s">
        <v>861</v>
      </c>
      <c r="M1651" s="8">
        <v>1</v>
      </c>
      <c r="N1651" s="8" t="s">
        <v>476</v>
      </c>
    </row>
    <row r="1652" spans="6:14" x14ac:dyDescent="0.35">
      <c r="F1652" s="1"/>
      <c r="K1652" s="8" t="s">
        <v>243</v>
      </c>
      <c r="L1652" s="8" t="s">
        <v>863</v>
      </c>
      <c r="M1652" s="8">
        <v>1</v>
      </c>
      <c r="N1652" s="8" t="s">
        <v>476</v>
      </c>
    </row>
    <row r="1653" spans="6:14" x14ac:dyDescent="0.35">
      <c r="F1653" s="1"/>
      <c r="K1653" s="8" t="s">
        <v>243</v>
      </c>
      <c r="L1653" s="8" t="s">
        <v>860</v>
      </c>
      <c r="M1653" s="8">
        <v>0</v>
      </c>
      <c r="N1653" s="8"/>
    </row>
    <row r="1654" spans="6:14" x14ac:dyDescent="0.35">
      <c r="F1654" s="1"/>
      <c r="K1654" s="8" t="s">
        <v>243</v>
      </c>
      <c r="L1654" s="8" t="s">
        <v>862</v>
      </c>
      <c r="M1654" s="8">
        <v>0</v>
      </c>
      <c r="N1654" s="8"/>
    </row>
    <row r="1655" spans="6:14" x14ac:dyDescent="0.35">
      <c r="F1655" s="1"/>
      <c r="K1655" s="8" t="s">
        <v>243</v>
      </c>
      <c r="L1655" s="8" t="s">
        <v>858</v>
      </c>
      <c r="M1655" s="8">
        <v>1</v>
      </c>
      <c r="N1655" s="8" t="s">
        <v>476</v>
      </c>
    </row>
    <row r="1656" spans="6:14" x14ac:dyDescent="0.35">
      <c r="F1656" s="1"/>
      <c r="K1656" s="8" t="s">
        <v>243</v>
      </c>
      <c r="L1656" s="8" t="s">
        <v>914</v>
      </c>
      <c r="M1656" s="8">
        <v>1</v>
      </c>
      <c r="N1656" s="8" t="s">
        <v>476</v>
      </c>
    </row>
    <row r="1657" spans="6:14" x14ac:dyDescent="0.35">
      <c r="F1657" s="1"/>
      <c r="K1657" s="8" t="s">
        <v>243</v>
      </c>
      <c r="L1657" s="8" t="s">
        <v>915</v>
      </c>
      <c r="M1657" s="8">
        <v>1</v>
      </c>
      <c r="N1657" s="8" t="s">
        <v>476</v>
      </c>
    </row>
    <row r="1658" spans="6:14" x14ac:dyDescent="0.35">
      <c r="F1658" s="1"/>
      <c r="K1658" s="8" t="s">
        <v>243</v>
      </c>
      <c r="L1658" s="8" t="s">
        <v>1105</v>
      </c>
      <c r="M1658" s="8">
        <v>0</v>
      </c>
      <c r="N1658" s="8"/>
    </row>
    <row r="1659" spans="6:14" x14ac:dyDescent="0.35">
      <c r="F1659" s="1"/>
      <c r="K1659" s="8" t="s">
        <v>243</v>
      </c>
      <c r="L1659" s="8" t="s">
        <v>439</v>
      </c>
      <c r="M1659" s="8">
        <v>1</v>
      </c>
      <c r="N1659" s="8"/>
    </row>
    <row r="1660" spans="6:14" x14ac:dyDescent="0.35">
      <c r="F1660" s="1"/>
      <c r="K1660" s="8" t="s">
        <v>243</v>
      </c>
      <c r="L1660" s="8" t="s">
        <v>412</v>
      </c>
      <c r="M1660" s="8">
        <v>1</v>
      </c>
      <c r="N1660" s="8"/>
    </row>
    <row r="1661" spans="6:14" x14ac:dyDescent="0.35">
      <c r="F1661" s="1"/>
      <c r="K1661" s="8" t="s">
        <v>243</v>
      </c>
      <c r="L1661" s="8" t="s">
        <v>1108</v>
      </c>
      <c r="M1661" s="8">
        <v>0</v>
      </c>
      <c r="N1661" s="8"/>
    </row>
    <row r="1662" spans="6:14" x14ac:dyDescent="0.35">
      <c r="F1662" s="1"/>
      <c r="K1662" s="8" t="s">
        <v>243</v>
      </c>
      <c r="L1662" s="8" t="s">
        <v>1106</v>
      </c>
      <c r="M1662" s="8">
        <v>0</v>
      </c>
      <c r="N1662" s="8"/>
    </row>
    <row r="1663" spans="6:14" x14ac:dyDescent="0.35">
      <c r="F1663" s="1"/>
      <c r="K1663" s="8" t="s">
        <v>243</v>
      </c>
      <c r="L1663" s="8" t="s">
        <v>1107</v>
      </c>
      <c r="M1663" s="8">
        <v>0</v>
      </c>
      <c r="N1663" s="8"/>
    </row>
    <row r="1664" spans="6:14" x14ac:dyDescent="0.35">
      <c r="F1664" s="1"/>
      <c r="K1664" s="8" t="s">
        <v>243</v>
      </c>
      <c r="L1664" s="8" t="s">
        <v>1109</v>
      </c>
      <c r="M1664" s="8">
        <v>0</v>
      </c>
      <c r="N1664" s="8"/>
    </row>
    <row r="1665" spans="6:14" x14ac:dyDescent="0.35">
      <c r="F1665" s="1"/>
      <c r="K1665" s="8" t="s">
        <v>243</v>
      </c>
      <c r="L1665" s="8" t="s">
        <v>1110</v>
      </c>
      <c r="M1665" s="8">
        <v>0</v>
      </c>
      <c r="N1665" s="8"/>
    </row>
    <row r="1666" spans="6:14" x14ac:dyDescent="0.35">
      <c r="F1666" s="1"/>
      <c r="K1666" s="8" t="s">
        <v>243</v>
      </c>
      <c r="L1666" s="8" t="s">
        <v>1111</v>
      </c>
      <c r="M1666" s="8">
        <v>1</v>
      </c>
      <c r="N1666" s="8" t="s">
        <v>517</v>
      </c>
    </row>
    <row r="1667" spans="6:14" x14ac:dyDescent="0.35">
      <c r="F1667" s="1"/>
      <c r="K1667" s="8" t="s">
        <v>243</v>
      </c>
      <c r="L1667" s="8" t="s">
        <v>1112</v>
      </c>
      <c r="M1667" s="8">
        <v>0</v>
      </c>
      <c r="N1667" s="8"/>
    </row>
    <row r="1668" spans="6:14" x14ac:dyDescent="0.35">
      <c r="F1668" s="1"/>
      <c r="K1668" s="8" t="s">
        <v>243</v>
      </c>
      <c r="L1668" s="8" t="s">
        <v>1113</v>
      </c>
      <c r="M1668" s="8">
        <v>0</v>
      </c>
      <c r="N1668" s="8"/>
    </row>
    <row r="1669" spans="6:14" x14ac:dyDescent="0.35">
      <c r="F1669" s="1"/>
      <c r="K1669" s="8" t="s">
        <v>243</v>
      </c>
      <c r="L1669" s="8" t="s">
        <v>1114</v>
      </c>
      <c r="M1669" s="8">
        <v>0</v>
      </c>
      <c r="N1669" s="8"/>
    </row>
    <row r="1670" spans="6:14" x14ac:dyDescent="0.35">
      <c r="F1670" s="1"/>
      <c r="K1670" s="8" t="s">
        <v>243</v>
      </c>
      <c r="L1670" s="8" t="s">
        <v>1115</v>
      </c>
      <c r="M1670" s="8">
        <v>1</v>
      </c>
      <c r="N1670" s="8" t="s">
        <v>517</v>
      </c>
    </row>
    <row r="1671" spans="6:14" x14ac:dyDescent="0.35">
      <c r="F1671" s="1"/>
      <c r="K1671" s="8" t="s">
        <v>243</v>
      </c>
      <c r="L1671" s="8" t="s">
        <v>1116</v>
      </c>
      <c r="M1671" s="8">
        <v>1</v>
      </c>
      <c r="N1671" s="8" t="s">
        <v>517</v>
      </c>
    </row>
    <row r="1672" spans="6:14" x14ac:dyDescent="0.35">
      <c r="F1672" s="1"/>
      <c r="K1672" s="8" t="s">
        <v>243</v>
      </c>
      <c r="L1672" s="8" t="s">
        <v>1117</v>
      </c>
      <c r="M1672" s="8">
        <v>1</v>
      </c>
      <c r="N1672" s="8" t="s">
        <v>476</v>
      </c>
    </row>
    <row r="1673" spans="6:14" x14ac:dyDescent="0.35">
      <c r="F1673" s="1"/>
      <c r="K1673" s="8" t="s">
        <v>243</v>
      </c>
      <c r="L1673" s="8" t="s">
        <v>486</v>
      </c>
      <c r="M1673" s="8">
        <v>0</v>
      </c>
      <c r="N1673" s="8"/>
    </row>
    <row r="1674" spans="6:14" x14ac:dyDescent="0.35">
      <c r="F1674" s="1"/>
      <c r="K1674" s="8" t="s">
        <v>243</v>
      </c>
      <c r="L1674" s="8" t="s">
        <v>487</v>
      </c>
      <c r="M1674" s="8">
        <v>0</v>
      </c>
      <c r="N1674" s="8"/>
    </row>
    <row r="1675" spans="6:14" x14ac:dyDescent="0.35">
      <c r="F1675" s="1"/>
      <c r="K1675" s="8" t="s">
        <v>243</v>
      </c>
      <c r="L1675" s="8" t="s">
        <v>488</v>
      </c>
      <c r="M1675" s="8">
        <v>0</v>
      </c>
      <c r="N1675" s="8"/>
    </row>
    <row r="1676" spans="6:14" x14ac:dyDescent="0.35">
      <c r="F1676" s="1"/>
      <c r="K1676" s="8" t="s">
        <v>243</v>
      </c>
      <c r="L1676" s="8" t="s">
        <v>489</v>
      </c>
      <c r="M1676" s="8">
        <v>0</v>
      </c>
      <c r="N1676" s="8"/>
    </row>
    <row r="1677" spans="6:14" x14ac:dyDescent="0.35">
      <c r="F1677" s="1"/>
      <c r="K1677" s="8" t="s">
        <v>243</v>
      </c>
      <c r="L1677" s="8" t="s">
        <v>490</v>
      </c>
      <c r="M1677" s="8">
        <v>0</v>
      </c>
      <c r="N1677" s="8"/>
    </row>
    <row r="1678" spans="6:14" x14ac:dyDescent="0.35">
      <c r="F1678" s="1"/>
      <c r="K1678" s="8" t="s">
        <v>243</v>
      </c>
      <c r="L1678" s="8" t="s">
        <v>373</v>
      </c>
      <c r="M1678" s="8">
        <v>1</v>
      </c>
      <c r="N1678" s="8"/>
    </row>
    <row r="1679" spans="6:14" x14ac:dyDescent="0.35">
      <c r="F1679" s="1"/>
      <c r="K1679" s="8" t="s">
        <v>243</v>
      </c>
      <c r="L1679" s="8" t="s">
        <v>387</v>
      </c>
      <c r="M1679" s="8">
        <v>0</v>
      </c>
      <c r="N1679" s="8"/>
    </row>
    <row r="1680" spans="6:14" x14ac:dyDescent="0.35">
      <c r="F1680" s="1"/>
      <c r="K1680" s="8" t="s">
        <v>243</v>
      </c>
      <c r="L1680" s="8" t="s">
        <v>491</v>
      </c>
      <c r="M1680" s="8">
        <v>0</v>
      </c>
      <c r="N1680" s="8"/>
    </row>
    <row r="1681" spans="6:14" x14ac:dyDescent="0.35">
      <c r="F1681" s="1"/>
      <c r="K1681" s="8" t="s">
        <v>243</v>
      </c>
      <c r="L1681" s="8" t="s">
        <v>492</v>
      </c>
      <c r="M1681" s="8">
        <v>0</v>
      </c>
      <c r="N1681" s="8"/>
    </row>
    <row r="1682" spans="6:14" x14ac:dyDescent="0.35">
      <c r="F1682" s="1"/>
      <c r="K1682" s="8" t="s">
        <v>243</v>
      </c>
      <c r="L1682" s="8" t="s">
        <v>493</v>
      </c>
      <c r="M1682" s="8">
        <v>0</v>
      </c>
      <c r="N1682" s="8"/>
    </row>
    <row r="1683" spans="6:14" x14ac:dyDescent="0.35">
      <c r="F1683" s="1"/>
      <c r="K1683" s="8" t="s">
        <v>243</v>
      </c>
      <c r="L1683" s="8" t="s">
        <v>494</v>
      </c>
      <c r="M1683" s="8">
        <v>0</v>
      </c>
      <c r="N1683" s="8"/>
    </row>
    <row r="1684" spans="6:14" x14ac:dyDescent="0.35">
      <c r="F1684" s="1"/>
      <c r="K1684" s="8" t="s">
        <v>243</v>
      </c>
      <c r="L1684" s="8" t="s">
        <v>495</v>
      </c>
      <c r="M1684" s="8">
        <v>0</v>
      </c>
      <c r="N1684" s="8"/>
    </row>
    <row r="1685" spans="6:14" x14ac:dyDescent="0.35">
      <c r="F1685" s="1"/>
      <c r="K1685" s="8" t="s">
        <v>243</v>
      </c>
      <c r="L1685" s="8" t="s">
        <v>604</v>
      </c>
      <c r="M1685" s="8">
        <v>0</v>
      </c>
      <c r="N1685" s="8"/>
    </row>
    <row r="1686" spans="6:14" x14ac:dyDescent="0.35">
      <c r="F1686" s="1"/>
      <c r="K1686" s="8" t="s">
        <v>243</v>
      </c>
      <c r="L1686" s="8" t="s">
        <v>380</v>
      </c>
      <c r="M1686" s="8">
        <v>0</v>
      </c>
      <c r="N1686" s="8"/>
    </row>
    <row r="1687" spans="6:14" x14ac:dyDescent="0.35">
      <c r="F1687" s="1"/>
      <c r="K1687" s="8" t="s">
        <v>243</v>
      </c>
      <c r="L1687" s="8" t="s">
        <v>432</v>
      </c>
      <c r="M1687" s="8">
        <v>0</v>
      </c>
      <c r="N1687" s="8" t="s">
        <v>1004</v>
      </c>
    </row>
    <row r="1688" spans="6:14" x14ac:dyDescent="0.35">
      <c r="F1688" s="1"/>
      <c r="K1688" s="8" t="s">
        <v>243</v>
      </c>
      <c r="L1688" s="8" t="s">
        <v>433</v>
      </c>
      <c r="M1688" s="8">
        <v>0</v>
      </c>
      <c r="N1688" s="8" t="s">
        <v>1010</v>
      </c>
    </row>
    <row r="1689" spans="6:14" x14ac:dyDescent="0.35">
      <c r="F1689" s="1"/>
      <c r="K1689" s="8" t="s">
        <v>243</v>
      </c>
      <c r="L1689" s="8" t="s">
        <v>434</v>
      </c>
      <c r="M1689" s="8">
        <v>0</v>
      </c>
      <c r="N1689" s="8" t="s">
        <v>1011</v>
      </c>
    </row>
    <row r="1690" spans="6:14" x14ac:dyDescent="0.35">
      <c r="F1690" s="1"/>
      <c r="K1690" s="8" t="s">
        <v>243</v>
      </c>
      <c r="L1690" s="8" t="s">
        <v>1118</v>
      </c>
      <c r="M1690" s="8">
        <v>1</v>
      </c>
      <c r="N1690" s="8" t="s">
        <v>476</v>
      </c>
    </row>
    <row r="1691" spans="6:14" x14ac:dyDescent="0.35">
      <c r="F1691" s="1"/>
      <c r="K1691" s="8" t="s">
        <v>243</v>
      </c>
      <c r="L1691" s="8" t="s">
        <v>1119</v>
      </c>
      <c r="M1691" s="8">
        <v>1</v>
      </c>
      <c r="N1691" s="8" t="s">
        <v>476</v>
      </c>
    </row>
    <row r="1692" spans="6:14" x14ac:dyDescent="0.35">
      <c r="F1692" s="1"/>
      <c r="K1692" s="8" t="s">
        <v>244</v>
      </c>
      <c r="L1692" s="8" t="s">
        <v>480</v>
      </c>
      <c r="M1692" s="8">
        <v>0</v>
      </c>
      <c r="N1692" s="8"/>
    </row>
    <row r="1693" spans="6:14" x14ac:dyDescent="0.35">
      <c r="F1693" s="1"/>
      <c r="K1693" s="8" t="s">
        <v>244</v>
      </c>
      <c r="L1693" s="8" t="s">
        <v>481</v>
      </c>
      <c r="M1693" s="8">
        <v>0</v>
      </c>
      <c r="N1693" s="8"/>
    </row>
    <row r="1694" spans="6:14" x14ac:dyDescent="0.35">
      <c r="F1694" s="1"/>
      <c r="K1694" s="8" t="s">
        <v>244</v>
      </c>
      <c r="L1694" s="8" t="s">
        <v>482</v>
      </c>
      <c r="M1694" s="8">
        <v>0</v>
      </c>
      <c r="N1694" s="8"/>
    </row>
    <row r="1695" spans="6:14" x14ac:dyDescent="0.35">
      <c r="F1695" s="1"/>
      <c r="K1695" s="8" t="s">
        <v>244</v>
      </c>
      <c r="L1695" s="8" t="s">
        <v>483</v>
      </c>
      <c r="M1695" s="8">
        <v>0</v>
      </c>
      <c r="N1695" s="8"/>
    </row>
    <row r="1696" spans="6:14" x14ac:dyDescent="0.35">
      <c r="F1696" s="1"/>
      <c r="K1696" s="8" t="s">
        <v>244</v>
      </c>
      <c r="L1696" s="8" t="s">
        <v>484</v>
      </c>
      <c r="M1696" s="8">
        <v>0</v>
      </c>
      <c r="N1696" s="8"/>
    </row>
    <row r="1697" spans="6:14" x14ac:dyDescent="0.35">
      <c r="F1697" s="1"/>
      <c r="K1697" s="8" t="s">
        <v>244</v>
      </c>
      <c r="L1697" s="8" t="s">
        <v>439</v>
      </c>
      <c r="M1697" s="8">
        <v>1</v>
      </c>
      <c r="N1697" s="8"/>
    </row>
    <row r="1698" spans="6:14" x14ac:dyDescent="0.35">
      <c r="F1698" s="1"/>
      <c r="K1698" s="8" t="s">
        <v>244</v>
      </c>
      <c r="L1698" s="8" t="s">
        <v>1129</v>
      </c>
      <c r="M1698" s="8">
        <v>0</v>
      </c>
      <c r="N1698" s="8"/>
    </row>
    <row r="1699" spans="6:14" x14ac:dyDescent="0.35">
      <c r="F1699" s="1"/>
      <c r="K1699" s="8" t="s">
        <v>244</v>
      </c>
      <c r="L1699" s="8" t="s">
        <v>1130</v>
      </c>
      <c r="M1699" s="8">
        <v>0</v>
      </c>
      <c r="N1699" s="8"/>
    </row>
    <row r="1700" spans="6:14" x14ac:dyDescent="0.35">
      <c r="F1700" s="1"/>
      <c r="K1700" s="8" t="s">
        <v>244</v>
      </c>
      <c r="L1700" s="8" t="s">
        <v>1131</v>
      </c>
      <c r="M1700" s="8">
        <v>0</v>
      </c>
      <c r="N1700" s="8"/>
    </row>
    <row r="1701" spans="6:14" x14ac:dyDescent="0.35">
      <c r="F1701" s="1"/>
      <c r="K1701" s="8" t="s">
        <v>244</v>
      </c>
      <c r="L1701" s="8" t="s">
        <v>1132</v>
      </c>
      <c r="M1701" s="8">
        <v>0</v>
      </c>
      <c r="N1701" s="8"/>
    </row>
    <row r="1702" spans="6:14" x14ac:dyDescent="0.35">
      <c r="F1702" s="1"/>
      <c r="K1702" s="8" t="s">
        <v>244</v>
      </c>
      <c r="L1702" s="8" t="s">
        <v>486</v>
      </c>
      <c r="M1702" s="8">
        <v>0</v>
      </c>
      <c r="N1702" s="8"/>
    </row>
    <row r="1703" spans="6:14" x14ac:dyDescent="0.35">
      <c r="F1703" s="1"/>
      <c r="K1703" s="8" t="s">
        <v>244</v>
      </c>
      <c r="L1703" s="8" t="s">
        <v>487</v>
      </c>
      <c r="M1703" s="8">
        <v>0</v>
      </c>
      <c r="N1703" s="8"/>
    </row>
    <row r="1704" spans="6:14" x14ac:dyDescent="0.35">
      <c r="F1704" s="1"/>
      <c r="K1704" s="8" t="s">
        <v>244</v>
      </c>
      <c r="L1704" s="8" t="s">
        <v>488</v>
      </c>
      <c r="M1704" s="8">
        <v>0</v>
      </c>
      <c r="N1704" s="8"/>
    </row>
    <row r="1705" spans="6:14" x14ac:dyDescent="0.35">
      <c r="F1705" s="1"/>
      <c r="K1705" s="8" t="s">
        <v>244</v>
      </c>
      <c r="L1705" s="8" t="s">
        <v>489</v>
      </c>
      <c r="M1705" s="8">
        <v>0</v>
      </c>
      <c r="N1705" s="8"/>
    </row>
    <row r="1706" spans="6:14" x14ac:dyDescent="0.35">
      <c r="F1706" s="1"/>
      <c r="K1706" s="8" t="s">
        <v>244</v>
      </c>
      <c r="L1706" s="8" t="s">
        <v>490</v>
      </c>
      <c r="M1706" s="8">
        <v>0</v>
      </c>
      <c r="N1706" s="8"/>
    </row>
    <row r="1707" spans="6:14" x14ac:dyDescent="0.35">
      <c r="F1707" s="1"/>
      <c r="K1707" s="8" t="s">
        <v>244</v>
      </c>
      <c r="L1707" s="8" t="s">
        <v>373</v>
      </c>
      <c r="M1707" s="8">
        <v>1</v>
      </c>
      <c r="N1707" s="8"/>
    </row>
    <row r="1708" spans="6:14" x14ac:dyDescent="0.35">
      <c r="F1708" s="1"/>
      <c r="K1708" s="8" t="s">
        <v>244</v>
      </c>
      <c r="L1708" s="8" t="s">
        <v>491</v>
      </c>
      <c r="M1708" s="8">
        <v>0</v>
      </c>
      <c r="N1708" s="8"/>
    </row>
    <row r="1709" spans="6:14" x14ac:dyDescent="0.35">
      <c r="F1709" s="1"/>
      <c r="K1709" s="8" t="s">
        <v>244</v>
      </c>
      <c r="L1709" s="8" t="s">
        <v>492</v>
      </c>
      <c r="M1709" s="8">
        <v>0</v>
      </c>
      <c r="N1709" s="8"/>
    </row>
    <row r="1710" spans="6:14" x14ac:dyDescent="0.35">
      <c r="F1710" s="1"/>
      <c r="K1710" s="8" t="s">
        <v>244</v>
      </c>
      <c r="L1710" s="8" t="s">
        <v>493</v>
      </c>
      <c r="M1710" s="8">
        <v>0</v>
      </c>
      <c r="N1710" s="8"/>
    </row>
    <row r="1711" spans="6:14" x14ac:dyDescent="0.35">
      <c r="F1711" s="1"/>
      <c r="K1711" s="8" t="s">
        <v>244</v>
      </c>
      <c r="L1711" s="8" t="s">
        <v>494</v>
      </c>
      <c r="M1711" s="8">
        <v>0</v>
      </c>
      <c r="N1711" s="8"/>
    </row>
    <row r="1712" spans="6:14" x14ac:dyDescent="0.35">
      <c r="F1712" s="1"/>
      <c r="K1712" s="8" t="s">
        <v>244</v>
      </c>
      <c r="L1712" s="8" t="s">
        <v>495</v>
      </c>
      <c r="M1712" s="8">
        <v>0</v>
      </c>
      <c r="N1712" s="8"/>
    </row>
    <row r="1713" spans="6:14" x14ac:dyDescent="0.35">
      <c r="F1713" s="1"/>
      <c r="K1713" s="8" t="s">
        <v>245</v>
      </c>
      <c r="L1713" s="8" t="s">
        <v>1096</v>
      </c>
      <c r="M1713" s="8">
        <v>0</v>
      </c>
      <c r="N1713" s="8"/>
    </row>
    <row r="1714" spans="6:14" x14ac:dyDescent="0.35">
      <c r="F1714" s="1"/>
      <c r="K1714" s="8" t="s">
        <v>245</v>
      </c>
      <c r="L1714" s="8" t="s">
        <v>417</v>
      </c>
      <c r="M1714" s="8">
        <v>0</v>
      </c>
      <c r="N1714" s="8"/>
    </row>
    <row r="1715" spans="6:14" x14ac:dyDescent="0.35">
      <c r="F1715" s="1"/>
      <c r="K1715" s="8" t="s">
        <v>245</v>
      </c>
      <c r="L1715" s="8" t="s">
        <v>1102</v>
      </c>
      <c r="M1715" s="8">
        <v>1</v>
      </c>
      <c r="N1715" s="8"/>
    </row>
    <row r="1716" spans="6:14" x14ac:dyDescent="0.35">
      <c r="F1716" s="1"/>
      <c r="K1716" s="8" t="s">
        <v>245</v>
      </c>
      <c r="L1716" s="8" t="s">
        <v>1172</v>
      </c>
      <c r="M1716" s="8">
        <v>0</v>
      </c>
      <c r="N1716" s="8"/>
    </row>
    <row r="1717" spans="6:14" x14ac:dyDescent="0.35">
      <c r="F1717" s="1"/>
      <c r="K1717" s="8" t="s">
        <v>245</v>
      </c>
      <c r="L1717" s="8" t="s">
        <v>1104</v>
      </c>
      <c r="M1717" s="8">
        <v>1</v>
      </c>
      <c r="N1717" s="8"/>
    </row>
    <row r="1718" spans="6:14" x14ac:dyDescent="0.35">
      <c r="F1718" s="1"/>
      <c r="K1718" s="8" t="s">
        <v>245</v>
      </c>
      <c r="L1718" s="8" t="s">
        <v>480</v>
      </c>
      <c r="M1718" s="8">
        <v>0</v>
      </c>
      <c r="N1718" s="8"/>
    </row>
    <row r="1719" spans="6:14" x14ac:dyDescent="0.35">
      <c r="F1719" s="1"/>
      <c r="K1719" s="8" t="s">
        <v>245</v>
      </c>
      <c r="L1719" s="8" t="s">
        <v>481</v>
      </c>
      <c r="M1719" s="8">
        <v>0</v>
      </c>
      <c r="N1719" s="8"/>
    </row>
    <row r="1720" spans="6:14" x14ac:dyDescent="0.35">
      <c r="F1720" s="1"/>
      <c r="K1720" s="8" t="s">
        <v>245</v>
      </c>
      <c r="L1720" s="8" t="s">
        <v>482</v>
      </c>
      <c r="M1720" s="8">
        <v>0</v>
      </c>
      <c r="N1720" s="8"/>
    </row>
    <row r="1721" spans="6:14" x14ac:dyDescent="0.35">
      <c r="F1721" s="1"/>
      <c r="K1721" s="8" t="s">
        <v>245</v>
      </c>
      <c r="L1721" s="8" t="s">
        <v>483</v>
      </c>
      <c r="M1721" s="8">
        <v>0</v>
      </c>
      <c r="N1721" s="8"/>
    </row>
    <row r="1722" spans="6:14" x14ac:dyDescent="0.35">
      <c r="F1722" s="1"/>
      <c r="K1722" s="8" t="s">
        <v>245</v>
      </c>
      <c r="L1722" s="8" t="s">
        <v>484</v>
      </c>
      <c r="M1722" s="8">
        <v>0</v>
      </c>
      <c r="N1722" s="8"/>
    </row>
    <row r="1723" spans="6:14" x14ac:dyDescent="0.35">
      <c r="F1723" s="1"/>
      <c r="K1723" s="8" t="s">
        <v>245</v>
      </c>
      <c r="L1723" s="8" t="s">
        <v>1173</v>
      </c>
      <c r="M1723" s="8">
        <v>0</v>
      </c>
      <c r="N1723" s="8"/>
    </row>
    <row r="1724" spans="6:14" x14ac:dyDescent="0.35">
      <c r="F1724" s="1"/>
      <c r="K1724" s="8" t="s">
        <v>245</v>
      </c>
      <c r="L1724" s="8" t="s">
        <v>410</v>
      </c>
      <c r="M1724" s="8">
        <v>0</v>
      </c>
      <c r="N1724" s="8"/>
    </row>
    <row r="1725" spans="6:14" x14ac:dyDescent="0.35">
      <c r="F1725" s="1"/>
      <c r="K1725" s="8" t="s">
        <v>245</v>
      </c>
      <c r="L1725" s="8" t="s">
        <v>440</v>
      </c>
      <c r="M1725" s="8">
        <v>1</v>
      </c>
      <c r="N1725" s="8"/>
    </row>
    <row r="1726" spans="6:14" x14ac:dyDescent="0.35">
      <c r="F1726" s="1"/>
      <c r="K1726" s="8" t="s">
        <v>245</v>
      </c>
      <c r="L1726" s="8" t="s">
        <v>1174</v>
      </c>
      <c r="M1726" s="8">
        <v>0</v>
      </c>
      <c r="N1726" s="8"/>
    </row>
    <row r="1727" spans="6:14" x14ac:dyDescent="0.35">
      <c r="F1727" s="1"/>
      <c r="K1727" s="8" t="s">
        <v>245</v>
      </c>
      <c r="L1727" s="8" t="s">
        <v>1175</v>
      </c>
      <c r="M1727" s="8">
        <v>0</v>
      </c>
      <c r="N1727" s="8"/>
    </row>
    <row r="1728" spans="6:14" x14ac:dyDescent="0.35">
      <c r="F1728" s="1"/>
      <c r="K1728" s="8" t="s">
        <v>245</v>
      </c>
      <c r="L1728" s="8" t="s">
        <v>1176</v>
      </c>
      <c r="M1728" s="8">
        <v>0</v>
      </c>
      <c r="N1728" s="8"/>
    </row>
    <row r="1729" spans="6:14" x14ac:dyDescent="0.35">
      <c r="F1729" s="1"/>
      <c r="K1729" s="8" t="s">
        <v>245</v>
      </c>
      <c r="L1729" s="8" t="s">
        <v>1177</v>
      </c>
      <c r="M1729" s="8">
        <v>0</v>
      </c>
      <c r="N1729" s="8"/>
    </row>
    <row r="1730" spans="6:14" x14ac:dyDescent="0.35">
      <c r="F1730" s="1"/>
      <c r="K1730" s="8" t="s">
        <v>245</v>
      </c>
      <c r="L1730" s="8" t="s">
        <v>1178</v>
      </c>
      <c r="M1730" s="8">
        <v>0</v>
      </c>
      <c r="N1730" s="8"/>
    </row>
    <row r="1731" spans="6:14" x14ac:dyDescent="0.35">
      <c r="F1731" s="1"/>
      <c r="K1731" s="8" t="s">
        <v>245</v>
      </c>
      <c r="L1731" s="8" t="s">
        <v>1179</v>
      </c>
      <c r="M1731" s="8">
        <v>0</v>
      </c>
      <c r="N1731" s="8"/>
    </row>
    <row r="1732" spans="6:14" x14ac:dyDescent="0.35">
      <c r="F1732" s="1"/>
      <c r="K1732" s="8" t="s">
        <v>245</v>
      </c>
      <c r="L1732" s="8" t="s">
        <v>1180</v>
      </c>
      <c r="M1732" s="8">
        <v>0</v>
      </c>
      <c r="N1732" s="8"/>
    </row>
    <row r="1733" spans="6:14" x14ac:dyDescent="0.35">
      <c r="F1733" s="1"/>
      <c r="K1733" s="8" t="s">
        <v>245</v>
      </c>
      <c r="L1733" s="8" t="s">
        <v>1181</v>
      </c>
      <c r="M1733" s="8">
        <v>0</v>
      </c>
      <c r="N1733" s="8"/>
    </row>
    <row r="1734" spans="6:14" x14ac:dyDescent="0.35">
      <c r="F1734" s="1"/>
      <c r="K1734" s="8" t="s">
        <v>245</v>
      </c>
      <c r="L1734" s="8" t="s">
        <v>1115</v>
      </c>
      <c r="M1734" s="8">
        <v>1</v>
      </c>
      <c r="N1734" s="8" t="s">
        <v>517</v>
      </c>
    </row>
    <row r="1735" spans="6:14" x14ac:dyDescent="0.35">
      <c r="F1735" s="1"/>
      <c r="K1735" s="8" t="s">
        <v>245</v>
      </c>
      <c r="L1735" s="8" t="s">
        <v>1116</v>
      </c>
      <c r="M1735" s="8">
        <v>0</v>
      </c>
      <c r="N1735" s="8" t="s">
        <v>517</v>
      </c>
    </row>
    <row r="1736" spans="6:14" x14ac:dyDescent="0.35">
      <c r="F1736" s="1"/>
      <c r="K1736" s="8" t="s">
        <v>245</v>
      </c>
      <c r="L1736" s="8" t="s">
        <v>486</v>
      </c>
      <c r="M1736" s="8">
        <v>0</v>
      </c>
      <c r="N1736" s="8"/>
    </row>
    <row r="1737" spans="6:14" x14ac:dyDescent="0.35">
      <c r="F1737" s="1"/>
      <c r="K1737" s="8" t="s">
        <v>245</v>
      </c>
      <c r="L1737" s="8" t="s">
        <v>487</v>
      </c>
      <c r="M1737" s="8">
        <v>0</v>
      </c>
      <c r="N1737" s="8"/>
    </row>
    <row r="1738" spans="6:14" x14ac:dyDescent="0.35">
      <c r="F1738" s="1"/>
      <c r="K1738" s="8" t="s">
        <v>245</v>
      </c>
      <c r="L1738" s="8" t="s">
        <v>488</v>
      </c>
      <c r="M1738" s="8">
        <v>0</v>
      </c>
      <c r="N1738" s="8"/>
    </row>
    <row r="1739" spans="6:14" x14ac:dyDescent="0.35">
      <c r="F1739" s="1"/>
      <c r="K1739" s="8" t="s">
        <v>245</v>
      </c>
      <c r="L1739" s="8" t="s">
        <v>489</v>
      </c>
      <c r="M1739" s="8">
        <v>0</v>
      </c>
      <c r="N1739" s="8"/>
    </row>
    <row r="1740" spans="6:14" x14ac:dyDescent="0.35">
      <c r="F1740" s="1"/>
      <c r="K1740" s="8" t="s">
        <v>245</v>
      </c>
      <c r="L1740" s="8" t="s">
        <v>490</v>
      </c>
      <c r="M1740" s="8">
        <v>0</v>
      </c>
      <c r="N1740" s="8"/>
    </row>
    <row r="1741" spans="6:14" x14ac:dyDescent="0.35">
      <c r="F1741" s="1"/>
      <c r="K1741" s="8" t="s">
        <v>245</v>
      </c>
      <c r="L1741" s="8" t="s">
        <v>1185</v>
      </c>
      <c r="M1741" s="8">
        <v>0</v>
      </c>
      <c r="N1741" s="8"/>
    </row>
    <row r="1742" spans="6:14" x14ac:dyDescent="0.35">
      <c r="F1742" s="1"/>
      <c r="K1742" s="8" t="s">
        <v>245</v>
      </c>
      <c r="L1742" s="8" t="s">
        <v>1183</v>
      </c>
      <c r="M1742" s="8">
        <v>0</v>
      </c>
      <c r="N1742" s="8"/>
    </row>
    <row r="1743" spans="6:14" x14ac:dyDescent="0.35">
      <c r="F1743" s="1"/>
      <c r="K1743" s="8" t="s">
        <v>245</v>
      </c>
      <c r="L1743" s="8" t="s">
        <v>1184</v>
      </c>
      <c r="M1743" s="8">
        <v>0</v>
      </c>
      <c r="N1743" s="8"/>
    </row>
    <row r="1744" spans="6:14" x14ac:dyDescent="0.35">
      <c r="F1744" s="1"/>
      <c r="K1744" s="8" t="s">
        <v>245</v>
      </c>
      <c r="L1744" s="8" t="s">
        <v>1182</v>
      </c>
      <c r="M1744" s="8">
        <v>0</v>
      </c>
      <c r="N1744" s="8"/>
    </row>
    <row r="1745" spans="6:14" x14ac:dyDescent="0.35">
      <c r="F1745" s="1"/>
      <c r="K1745" s="8" t="s">
        <v>245</v>
      </c>
      <c r="L1745" s="8" t="s">
        <v>491</v>
      </c>
      <c r="M1745" s="8">
        <v>0</v>
      </c>
      <c r="N1745" s="8"/>
    </row>
    <row r="1746" spans="6:14" x14ac:dyDescent="0.35">
      <c r="F1746" s="1"/>
      <c r="K1746" s="8" t="s">
        <v>245</v>
      </c>
      <c r="L1746" s="8" t="s">
        <v>492</v>
      </c>
      <c r="M1746" s="8">
        <v>0</v>
      </c>
      <c r="N1746" s="8"/>
    </row>
    <row r="1747" spans="6:14" x14ac:dyDescent="0.35">
      <c r="F1747" s="1"/>
      <c r="K1747" s="8" t="s">
        <v>245</v>
      </c>
      <c r="L1747" s="8" t="s">
        <v>493</v>
      </c>
      <c r="M1747" s="8">
        <v>0</v>
      </c>
      <c r="N1747" s="8"/>
    </row>
    <row r="1748" spans="6:14" x14ac:dyDescent="0.35">
      <c r="F1748" s="1"/>
      <c r="K1748" s="8" t="s">
        <v>245</v>
      </c>
      <c r="L1748" s="8" t="s">
        <v>380</v>
      </c>
      <c r="M1748" s="8">
        <v>0</v>
      </c>
      <c r="N1748" s="8"/>
    </row>
    <row r="1749" spans="6:14" x14ac:dyDescent="0.35">
      <c r="F1749" s="1"/>
      <c r="K1749" s="8" t="s">
        <v>245</v>
      </c>
      <c r="L1749" s="8" t="s">
        <v>293</v>
      </c>
      <c r="M1749" s="8">
        <v>0</v>
      </c>
      <c r="N1749" s="8" t="s">
        <v>1004</v>
      </c>
    </row>
    <row r="1750" spans="6:14" x14ac:dyDescent="0.35">
      <c r="F1750" s="1"/>
      <c r="K1750" s="8" t="s">
        <v>246</v>
      </c>
      <c r="L1750" s="8" t="s">
        <v>393</v>
      </c>
      <c r="M1750" s="8">
        <v>0</v>
      </c>
      <c r="N1750" s="8"/>
    </row>
    <row r="1751" spans="6:14" x14ac:dyDescent="0.35">
      <c r="F1751" s="1"/>
      <c r="K1751" s="8" t="s">
        <v>246</v>
      </c>
      <c r="L1751" s="8" t="s">
        <v>386</v>
      </c>
      <c r="M1751" s="8">
        <v>0</v>
      </c>
      <c r="N1751" s="8"/>
    </row>
    <row r="1752" spans="6:14" x14ac:dyDescent="0.35">
      <c r="F1752" s="1"/>
      <c r="K1752" s="8" t="s">
        <v>246</v>
      </c>
      <c r="L1752" s="8" t="s">
        <v>743</v>
      </c>
      <c r="M1752" s="8">
        <v>1</v>
      </c>
      <c r="N1752" s="8" t="s">
        <v>517</v>
      </c>
    </row>
    <row r="1753" spans="6:14" x14ac:dyDescent="0.35">
      <c r="F1753" s="1"/>
      <c r="K1753" s="8" t="s">
        <v>246</v>
      </c>
      <c r="L1753" s="8" t="s">
        <v>744</v>
      </c>
      <c r="M1753" s="8">
        <v>1</v>
      </c>
      <c r="N1753" s="8" t="s">
        <v>517</v>
      </c>
    </row>
    <row r="1754" spans="6:14" x14ac:dyDescent="0.35">
      <c r="F1754" s="1"/>
      <c r="K1754" s="8" t="s">
        <v>246</v>
      </c>
      <c r="L1754" s="8" t="s">
        <v>388</v>
      </c>
      <c r="M1754" s="8">
        <v>0</v>
      </c>
      <c r="N1754" s="8"/>
    </row>
    <row r="1755" spans="6:14" x14ac:dyDescent="0.35">
      <c r="F1755" s="1"/>
      <c r="K1755" s="8" t="s">
        <v>246</v>
      </c>
      <c r="L1755" s="8" t="s">
        <v>745</v>
      </c>
      <c r="M1755" s="8">
        <v>1</v>
      </c>
      <c r="N1755" s="8" t="s">
        <v>746</v>
      </c>
    </row>
    <row r="1756" spans="6:14" x14ac:dyDescent="0.35">
      <c r="F1756" s="1"/>
      <c r="K1756" s="8" t="s">
        <v>246</v>
      </c>
      <c r="L1756" s="8" t="s">
        <v>747</v>
      </c>
      <c r="M1756" s="8">
        <v>0</v>
      </c>
      <c r="N1756" s="8" t="s">
        <v>476</v>
      </c>
    </row>
    <row r="1757" spans="6:14" x14ac:dyDescent="0.35">
      <c r="F1757" s="1"/>
      <c r="K1757" s="8" t="s">
        <v>246</v>
      </c>
      <c r="L1757" s="8" t="s">
        <v>748</v>
      </c>
      <c r="M1757" s="8">
        <v>0</v>
      </c>
      <c r="N1757" s="8" t="s">
        <v>539</v>
      </c>
    </row>
    <row r="1758" spans="6:14" x14ac:dyDescent="0.35">
      <c r="F1758" s="1"/>
      <c r="K1758" s="8" t="s">
        <v>246</v>
      </c>
      <c r="L1758" s="8" t="s">
        <v>749</v>
      </c>
      <c r="M1758" s="8">
        <v>1</v>
      </c>
      <c r="N1758" s="8" t="s">
        <v>476</v>
      </c>
    </row>
    <row r="1759" spans="6:14" x14ac:dyDescent="0.35">
      <c r="F1759" s="1"/>
      <c r="K1759" s="8" t="s">
        <v>246</v>
      </c>
      <c r="L1759" s="8" t="s">
        <v>750</v>
      </c>
      <c r="M1759" s="8">
        <v>1</v>
      </c>
      <c r="N1759" s="8" t="s">
        <v>751</v>
      </c>
    </row>
    <row r="1760" spans="6:14" x14ac:dyDescent="0.35">
      <c r="F1760" s="1"/>
      <c r="K1760" s="8" t="s">
        <v>246</v>
      </c>
      <c r="L1760" s="8" t="s">
        <v>752</v>
      </c>
      <c r="M1760" s="8">
        <v>0</v>
      </c>
      <c r="N1760" s="8"/>
    </row>
    <row r="1761" spans="6:14" x14ac:dyDescent="0.35">
      <c r="F1761" s="1"/>
      <c r="K1761" s="8" t="s">
        <v>246</v>
      </c>
      <c r="L1761" s="8" t="s">
        <v>753</v>
      </c>
      <c r="M1761" s="8">
        <v>0</v>
      </c>
      <c r="N1761" s="8"/>
    </row>
    <row r="1762" spans="6:14" x14ac:dyDescent="0.35">
      <c r="F1762" s="1"/>
      <c r="K1762" s="8" t="s">
        <v>246</v>
      </c>
      <c r="L1762" s="8" t="s">
        <v>754</v>
      </c>
      <c r="M1762" s="8">
        <v>1</v>
      </c>
      <c r="N1762" s="8" t="s">
        <v>476</v>
      </c>
    </row>
    <row r="1763" spans="6:14" x14ac:dyDescent="0.35">
      <c r="F1763" s="1"/>
      <c r="K1763" s="8" t="s">
        <v>246</v>
      </c>
      <c r="L1763" s="8" t="s">
        <v>755</v>
      </c>
      <c r="M1763" s="8">
        <v>1</v>
      </c>
      <c r="N1763" s="8" t="s">
        <v>476</v>
      </c>
    </row>
    <row r="1764" spans="6:14" x14ac:dyDescent="0.35">
      <c r="F1764" s="1"/>
      <c r="K1764" s="8" t="s">
        <v>246</v>
      </c>
      <c r="L1764" s="8" t="s">
        <v>756</v>
      </c>
      <c r="M1764" s="8">
        <v>1</v>
      </c>
      <c r="N1764" s="8" t="s">
        <v>517</v>
      </c>
    </row>
    <row r="1765" spans="6:14" x14ac:dyDescent="0.35">
      <c r="F1765" s="1"/>
      <c r="K1765" s="8" t="s">
        <v>246</v>
      </c>
      <c r="L1765" s="8" t="s">
        <v>757</v>
      </c>
      <c r="M1765" s="8">
        <v>1</v>
      </c>
      <c r="N1765" s="8" t="s">
        <v>476</v>
      </c>
    </row>
    <row r="1766" spans="6:14" x14ac:dyDescent="0.35">
      <c r="F1766" s="1"/>
      <c r="K1766" s="8" t="s">
        <v>246</v>
      </c>
      <c r="L1766" s="8" t="s">
        <v>758</v>
      </c>
      <c r="M1766" s="8">
        <v>1</v>
      </c>
      <c r="N1766" s="8" t="s">
        <v>476</v>
      </c>
    </row>
    <row r="1767" spans="6:14" x14ac:dyDescent="0.35">
      <c r="F1767" s="1"/>
      <c r="K1767" s="8" t="s">
        <v>246</v>
      </c>
      <c r="L1767" s="8" t="s">
        <v>759</v>
      </c>
      <c r="M1767" s="8">
        <v>1</v>
      </c>
      <c r="N1767" s="8" t="s">
        <v>476</v>
      </c>
    </row>
    <row r="1768" spans="6:14" x14ac:dyDescent="0.35">
      <c r="F1768" s="1"/>
      <c r="K1768" s="8" t="s">
        <v>246</v>
      </c>
      <c r="L1768" s="8" t="s">
        <v>760</v>
      </c>
      <c r="M1768" s="8">
        <v>1</v>
      </c>
      <c r="N1768" s="8" t="s">
        <v>476</v>
      </c>
    </row>
    <row r="1769" spans="6:14" x14ac:dyDescent="0.35">
      <c r="F1769" s="1"/>
      <c r="K1769" s="8" t="s">
        <v>246</v>
      </c>
      <c r="L1769" s="8" t="s">
        <v>480</v>
      </c>
      <c r="M1769" s="8">
        <v>0</v>
      </c>
      <c r="N1769" s="8"/>
    </row>
    <row r="1770" spans="6:14" x14ac:dyDescent="0.35">
      <c r="F1770" s="1"/>
      <c r="K1770" s="8" t="s">
        <v>246</v>
      </c>
      <c r="L1770" s="8" t="s">
        <v>481</v>
      </c>
      <c r="M1770" s="8">
        <v>0</v>
      </c>
      <c r="N1770" s="8"/>
    </row>
    <row r="1771" spans="6:14" x14ac:dyDescent="0.35">
      <c r="F1771" s="1"/>
      <c r="K1771" s="8" t="s">
        <v>246</v>
      </c>
      <c r="L1771" s="8" t="s">
        <v>482</v>
      </c>
      <c r="M1771" s="8">
        <v>0</v>
      </c>
      <c r="N1771" s="8"/>
    </row>
    <row r="1772" spans="6:14" x14ac:dyDescent="0.35">
      <c r="F1772" s="1"/>
      <c r="K1772" s="8" t="s">
        <v>246</v>
      </c>
      <c r="L1772" s="8" t="s">
        <v>483</v>
      </c>
      <c r="M1772" s="8">
        <v>0</v>
      </c>
      <c r="N1772" s="8"/>
    </row>
    <row r="1773" spans="6:14" x14ac:dyDescent="0.35">
      <c r="F1773" s="1"/>
      <c r="K1773" s="8" t="s">
        <v>246</v>
      </c>
      <c r="L1773" s="8" t="s">
        <v>484</v>
      </c>
      <c r="M1773" s="8">
        <v>0</v>
      </c>
      <c r="N1773" s="8"/>
    </row>
    <row r="1774" spans="6:14" x14ac:dyDescent="0.35">
      <c r="F1774" s="1"/>
      <c r="K1774" s="8" t="s">
        <v>246</v>
      </c>
      <c r="L1774" s="8" t="s">
        <v>375</v>
      </c>
      <c r="M1774" s="8">
        <v>1</v>
      </c>
      <c r="N1774" s="8"/>
    </row>
    <row r="1775" spans="6:14" x14ac:dyDescent="0.35">
      <c r="F1775" s="1"/>
      <c r="K1775" s="8" t="s">
        <v>246</v>
      </c>
      <c r="L1775" s="8" t="s">
        <v>761</v>
      </c>
      <c r="M1775" s="8">
        <v>1</v>
      </c>
      <c r="N1775" s="8" t="s">
        <v>476</v>
      </c>
    </row>
    <row r="1776" spans="6:14" x14ac:dyDescent="0.35">
      <c r="F1776" s="1"/>
      <c r="K1776" s="8" t="s">
        <v>246</v>
      </c>
      <c r="L1776" s="8" t="s">
        <v>762</v>
      </c>
      <c r="M1776" s="8">
        <v>0</v>
      </c>
      <c r="N1776" s="8"/>
    </row>
    <row r="1777" spans="6:14" x14ac:dyDescent="0.35">
      <c r="F1777" s="1"/>
      <c r="K1777" s="8" t="s">
        <v>246</v>
      </c>
      <c r="L1777" s="8" t="s">
        <v>376</v>
      </c>
      <c r="M1777" s="8">
        <v>0</v>
      </c>
      <c r="N1777" s="8"/>
    </row>
    <row r="1778" spans="6:14" x14ac:dyDescent="0.35">
      <c r="F1778" s="1"/>
      <c r="K1778" s="8" t="s">
        <v>246</v>
      </c>
      <c r="L1778" s="8" t="s">
        <v>763</v>
      </c>
      <c r="M1778" s="8">
        <v>1</v>
      </c>
      <c r="N1778" s="8" t="s">
        <v>764</v>
      </c>
    </row>
    <row r="1779" spans="6:14" x14ac:dyDescent="0.35">
      <c r="F1779" s="1"/>
      <c r="K1779" s="8" t="s">
        <v>246</v>
      </c>
      <c r="L1779" s="8" t="s">
        <v>765</v>
      </c>
      <c r="M1779" s="8">
        <v>0</v>
      </c>
      <c r="N1779" s="8"/>
    </row>
    <row r="1780" spans="6:14" x14ac:dyDescent="0.35">
      <c r="F1780" s="1"/>
      <c r="K1780" s="8" t="s">
        <v>246</v>
      </c>
      <c r="L1780" s="8" t="s">
        <v>766</v>
      </c>
      <c r="M1780" s="8">
        <v>0</v>
      </c>
      <c r="N1780" s="8"/>
    </row>
    <row r="1781" spans="6:14" x14ac:dyDescent="0.35">
      <c r="F1781" s="1"/>
      <c r="K1781" s="8" t="s">
        <v>246</v>
      </c>
      <c r="L1781" s="8" t="s">
        <v>374</v>
      </c>
      <c r="M1781" s="8">
        <v>1</v>
      </c>
      <c r="N1781" s="8"/>
    </row>
    <row r="1782" spans="6:14" x14ac:dyDescent="0.35">
      <c r="F1782" s="1"/>
      <c r="K1782" s="8" t="s">
        <v>246</v>
      </c>
      <c r="L1782" s="8" t="s">
        <v>767</v>
      </c>
      <c r="M1782" s="8">
        <v>0</v>
      </c>
      <c r="N1782" s="8" t="s">
        <v>768</v>
      </c>
    </row>
    <row r="1783" spans="6:14" x14ac:dyDescent="0.35">
      <c r="F1783" s="1"/>
      <c r="K1783" s="8" t="s">
        <v>246</v>
      </c>
      <c r="L1783" s="8" t="s">
        <v>769</v>
      </c>
      <c r="M1783" s="8">
        <v>0</v>
      </c>
      <c r="N1783" s="8" t="s">
        <v>476</v>
      </c>
    </row>
    <row r="1784" spans="6:14" x14ac:dyDescent="0.35">
      <c r="F1784" s="1"/>
      <c r="K1784" s="8" t="s">
        <v>246</v>
      </c>
      <c r="L1784" s="8" t="s">
        <v>770</v>
      </c>
      <c r="M1784" s="8">
        <v>0</v>
      </c>
      <c r="N1784" s="8"/>
    </row>
    <row r="1785" spans="6:14" x14ac:dyDescent="0.35">
      <c r="F1785" s="1"/>
      <c r="K1785" s="8" t="s">
        <v>246</v>
      </c>
      <c r="L1785" s="8" t="s">
        <v>771</v>
      </c>
      <c r="M1785" s="8">
        <v>0</v>
      </c>
      <c r="N1785" s="8"/>
    </row>
    <row r="1786" spans="6:14" x14ac:dyDescent="0.35">
      <c r="F1786" s="1"/>
      <c r="K1786" s="8" t="s">
        <v>246</v>
      </c>
      <c r="L1786" s="8" t="s">
        <v>772</v>
      </c>
      <c r="M1786" s="8">
        <v>1</v>
      </c>
      <c r="N1786" s="8" t="s">
        <v>773</v>
      </c>
    </row>
    <row r="1787" spans="6:14" x14ac:dyDescent="0.35">
      <c r="F1787" s="1"/>
      <c r="K1787" s="8" t="s">
        <v>246</v>
      </c>
      <c r="L1787" s="8" t="s">
        <v>774</v>
      </c>
      <c r="M1787" s="8">
        <v>1</v>
      </c>
      <c r="N1787" s="8" t="s">
        <v>476</v>
      </c>
    </row>
    <row r="1788" spans="6:14" x14ac:dyDescent="0.35">
      <c r="F1788" s="1"/>
      <c r="K1788" s="8" t="s">
        <v>246</v>
      </c>
      <c r="L1788" s="8" t="s">
        <v>775</v>
      </c>
      <c r="M1788" s="8">
        <v>0</v>
      </c>
      <c r="N1788" s="8"/>
    </row>
    <row r="1789" spans="6:14" x14ac:dyDescent="0.35">
      <c r="F1789" s="1"/>
      <c r="K1789" s="8" t="s">
        <v>246</v>
      </c>
      <c r="L1789" s="8" t="s">
        <v>776</v>
      </c>
      <c r="M1789" s="8">
        <v>0</v>
      </c>
      <c r="N1789" s="8"/>
    </row>
    <row r="1790" spans="6:14" x14ac:dyDescent="0.35">
      <c r="F1790" s="1"/>
      <c r="K1790" s="8" t="s">
        <v>246</v>
      </c>
      <c r="L1790" s="8" t="s">
        <v>777</v>
      </c>
      <c r="M1790" s="8">
        <v>1</v>
      </c>
      <c r="N1790" s="8" t="s">
        <v>476</v>
      </c>
    </row>
    <row r="1791" spans="6:14" x14ac:dyDescent="0.35">
      <c r="F1791" s="1"/>
      <c r="K1791" s="8" t="s">
        <v>246</v>
      </c>
      <c r="L1791" s="8" t="s">
        <v>778</v>
      </c>
      <c r="M1791" s="8">
        <v>1</v>
      </c>
      <c r="N1791" s="8" t="s">
        <v>476</v>
      </c>
    </row>
    <row r="1792" spans="6:14" x14ac:dyDescent="0.35">
      <c r="F1792" s="1"/>
      <c r="K1792" s="8" t="s">
        <v>246</v>
      </c>
      <c r="L1792" s="8" t="s">
        <v>486</v>
      </c>
      <c r="M1792" s="8">
        <v>0</v>
      </c>
      <c r="N1792" s="8"/>
    </row>
    <row r="1793" spans="6:14" x14ac:dyDescent="0.35">
      <c r="F1793" s="1"/>
      <c r="K1793" s="8" t="s">
        <v>246</v>
      </c>
      <c r="L1793" s="8" t="s">
        <v>487</v>
      </c>
      <c r="M1793" s="8">
        <v>0</v>
      </c>
      <c r="N1793" s="8"/>
    </row>
    <row r="1794" spans="6:14" x14ac:dyDescent="0.35">
      <c r="F1794" s="1"/>
      <c r="K1794" s="8" t="s">
        <v>246</v>
      </c>
      <c r="L1794" s="8" t="s">
        <v>488</v>
      </c>
      <c r="M1794" s="8">
        <v>0</v>
      </c>
      <c r="N1794" s="8"/>
    </row>
    <row r="1795" spans="6:14" x14ac:dyDescent="0.35">
      <c r="F1795" s="1"/>
      <c r="K1795" s="8" t="s">
        <v>246</v>
      </c>
      <c r="L1795" s="8" t="s">
        <v>489</v>
      </c>
      <c r="M1795" s="8">
        <v>0</v>
      </c>
      <c r="N1795" s="8"/>
    </row>
    <row r="1796" spans="6:14" x14ac:dyDescent="0.35">
      <c r="F1796" s="1"/>
      <c r="K1796" s="8" t="s">
        <v>246</v>
      </c>
      <c r="L1796" s="8" t="s">
        <v>490</v>
      </c>
      <c r="M1796" s="8">
        <v>0</v>
      </c>
      <c r="N1796" s="8"/>
    </row>
    <row r="1797" spans="6:14" x14ac:dyDescent="0.35">
      <c r="F1797" s="1"/>
      <c r="K1797" s="8" t="s">
        <v>246</v>
      </c>
      <c r="L1797" s="8" t="s">
        <v>779</v>
      </c>
      <c r="M1797" s="8">
        <v>1</v>
      </c>
      <c r="N1797" s="8" t="s">
        <v>476</v>
      </c>
    </row>
    <row r="1798" spans="6:14" x14ac:dyDescent="0.35">
      <c r="F1798" s="1"/>
      <c r="K1798" s="8" t="s">
        <v>246</v>
      </c>
      <c r="L1798" s="8" t="s">
        <v>780</v>
      </c>
      <c r="M1798" s="8">
        <v>1</v>
      </c>
      <c r="N1798" s="8" t="s">
        <v>476</v>
      </c>
    </row>
    <row r="1799" spans="6:14" x14ac:dyDescent="0.35">
      <c r="F1799" s="1"/>
      <c r="K1799" s="8" t="s">
        <v>246</v>
      </c>
      <c r="L1799" s="8" t="s">
        <v>781</v>
      </c>
      <c r="M1799" s="8">
        <v>1</v>
      </c>
      <c r="N1799" s="8" t="s">
        <v>476</v>
      </c>
    </row>
    <row r="1800" spans="6:14" x14ac:dyDescent="0.35">
      <c r="F1800" s="1"/>
      <c r="K1800" s="8" t="s">
        <v>246</v>
      </c>
      <c r="L1800" s="8" t="s">
        <v>782</v>
      </c>
      <c r="M1800" s="8">
        <v>1</v>
      </c>
      <c r="N1800" s="8" t="s">
        <v>476</v>
      </c>
    </row>
    <row r="1801" spans="6:14" x14ac:dyDescent="0.35">
      <c r="F1801" s="1"/>
      <c r="K1801" s="8" t="s">
        <v>246</v>
      </c>
      <c r="L1801" s="8" t="s">
        <v>387</v>
      </c>
      <c r="M1801" s="8">
        <v>0</v>
      </c>
      <c r="N1801" s="8"/>
    </row>
    <row r="1802" spans="6:14" x14ac:dyDescent="0.35">
      <c r="F1802" s="1"/>
      <c r="K1802" s="8" t="s">
        <v>246</v>
      </c>
      <c r="L1802" s="8" t="s">
        <v>491</v>
      </c>
      <c r="M1802" s="8">
        <v>0</v>
      </c>
      <c r="N1802" s="8"/>
    </row>
    <row r="1803" spans="6:14" x14ac:dyDescent="0.35">
      <c r="F1803" s="1"/>
      <c r="K1803" s="8" t="s">
        <v>246</v>
      </c>
      <c r="L1803" s="8" t="s">
        <v>492</v>
      </c>
      <c r="M1803" s="8">
        <v>0</v>
      </c>
      <c r="N1803" s="8"/>
    </row>
    <row r="1804" spans="6:14" x14ac:dyDescent="0.35">
      <c r="F1804" s="1"/>
      <c r="K1804" s="8" t="s">
        <v>246</v>
      </c>
      <c r="L1804" s="8" t="s">
        <v>493</v>
      </c>
      <c r="M1804" s="8">
        <v>0</v>
      </c>
      <c r="N1804" s="8"/>
    </row>
    <row r="1805" spans="6:14" x14ac:dyDescent="0.35">
      <c r="F1805" s="1"/>
      <c r="K1805" s="8" t="s">
        <v>246</v>
      </c>
      <c r="L1805" s="8" t="s">
        <v>494</v>
      </c>
      <c r="M1805" s="8">
        <v>0</v>
      </c>
      <c r="N1805" s="8"/>
    </row>
    <row r="1806" spans="6:14" x14ac:dyDescent="0.35">
      <c r="F1806" s="1"/>
      <c r="K1806" s="8" t="s">
        <v>246</v>
      </c>
      <c r="L1806" s="8" t="s">
        <v>495</v>
      </c>
      <c r="M1806" s="8">
        <v>0</v>
      </c>
      <c r="N1806" s="8"/>
    </row>
    <row r="1807" spans="6:14" x14ac:dyDescent="0.35">
      <c r="F1807" s="1"/>
      <c r="K1807" s="8" t="s">
        <v>246</v>
      </c>
      <c r="L1807" s="8" t="s">
        <v>783</v>
      </c>
      <c r="M1807" s="8">
        <v>1</v>
      </c>
      <c r="N1807" s="8" t="s">
        <v>539</v>
      </c>
    </row>
    <row r="1808" spans="6:14" x14ac:dyDescent="0.35">
      <c r="F1808" s="1"/>
      <c r="K1808" s="8" t="s">
        <v>246</v>
      </c>
      <c r="L1808" s="8" t="s">
        <v>786</v>
      </c>
      <c r="M1808" s="8">
        <v>1</v>
      </c>
      <c r="N1808" s="8" t="s">
        <v>539</v>
      </c>
    </row>
    <row r="1809" spans="6:14" x14ac:dyDescent="0.35">
      <c r="F1809" s="1"/>
      <c r="K1809" s="8" t="s">
        <v>246</v>
      </c>
      <c r="L1809" s="8" t="s">
        <v>787</v>
      </c>
      <c r="M1809" s="8">
        <v>1</v>
      </c>
      <c r="N1809" s="8" t="s">
        <v>539</v>
      </c>
    </row>
    <row r="1810" spans="6:14" x14ac:dyDescent="0.35">
      <c r="F1810" s="1"/>
      <c r="K1810" s="8" t="s">
        <v>246</v>
      </c>
      <c r="L1810" s="8" t="s">
        <v>784</v>
      </c>
      <c r="M1810" s="8">
        <v>1</v>
      </c>
      <c r="N1810" s="8" t="s">
        <v>539</v>
      </c>
    </row>
    <row r="1811" spans="6:14" x14ac:dyDescent="0.35">
      <c r="F1811" s="1"/>
      <c r="K1811" s="8" t="s">
        <v>246</v>
      </c>
      <c r="L1811" s="8" t="s">
        <v>785</v>
      </c>
      <c r="M1811" s="8">
        <v>1</v>
      </c>
      <c r="N1811" s="8" t="s">
        <v>539</v>
      </c>
    </row>
    <row r="1812" spans="6:14" x14ac:dyDescent="0.35">
      <c r="F1812" s="1"/>
      <c r="K1812" s="8" t="s">
        <v>246</v>
      </c>
      <c r="L1812" s="8" t="s">
        <v>604</v>
      </c>
      <c r="M1812" s="8">
        <v>0</v>
      </c>
      <c r="N1812" s="8"/>
    </row>
    <row r="1813" spans="6:14" x14ac:dyDescent="0.35">
      <c r="F1813" s="1"/>
      <c r="K1813" s="8" t="s">
        <v>246</v>
      </c>
      <c r="L1813" s="8" t="s">
        <v>380</v>
      </c>
      <c r="M1813" s="8">
        <v>0</v>
      </c>
      <c r="N1813" s="8"/>
    </row>
    <row r="1814" spans="6:14" x14ac:dyDescent="0.35">
      <c r="F1814" s="1"/>
      <c r="K1814" s="8" t="s">
        <v>247</v>
      </c>
      <c r="L1814" s="8" t="s">
        <v>480</v>
      </c>
      <c r="M1814" s="8">
        <v>0</v>
      </c>
      <c r="N1814" s="8"/>
    </row>
    <row r="1815" spans="6:14" x14ac:dyDescent="0.35">
      <c r="F1815" s="1"/>
      <c r="K1815" s="8" t="s">
        <v>247</v>
      </c>
      <c r="L1815" s="8" t="s">
        <v>481</v>
      </c>
      <c r="M1815" s="8">
        <v>0</v>
      </c>
      <c r="N1815" s="8"/>
    </row>
    <row r="1816" spans="6:14" x14ac:dyDescent="0.35">
      <c r="F1816" s="1"/>
      <c r="K1816" s="8" t="s">
        <v>247</v>
      </c>
      <c r="L1816" s="8" t="s">
        <v>482</v>
      </c>
      <c r="M1816" s="8">
        <v>0</v>
      </c>
      <c r="N1816" s="8"/>
    </row>
    <row r="1817" spans="6:14" x14ac:dyDescent="0.35">
      <c r="F1817" s="1"/>
      <c r="K1817" s="8" t="s">
        <v>247</v>
      </c>
      <c r="L1817" s="8" t="s">
        <v>483</v>
      </c>
      <c r="M1817" s="8">
        <v>0</v>
      </c>
      <c r="N1817" s="8"/>
    </row>
    <row r="1818" spans="6:14" x14ac:dyDescent="0.35">
      <c r="F1818" s="1"/>
      <c r="K1818" s="8" t="s">
        <v>247</v>
      </c>
      <c r="L1818" s="8" t="s">
        <v>484</v>
      </c>
      <c r="M1818" s="8">
        <v>0</v>
      </c>
      <c r="N1818" s="8"/>
    </row>
    <row r="1819" spans="6:14" x14ac:dyDescent="0.35">
      <c r="F1819" s="1"/>
      <c r="K1819" s="8" t="s">
        <v>247</v>
      </c>
      <c r="L1819" s="8" t="s">
        <v>374</v>
      </c>
      <c r="M1819" s="8">
        <v>1</v>
      </c>
      <c r="N1819" s="8"/>
    </row>
    <row r="1820" spans="6:14" x14ac:dyDescent="0.35">
      <c r="F1820" s="1"/>
      <c r="K1820" s="8" t="s">
        <v>247</v>
      </c>
      <c r="L1820" s="8" t="s">
        <v>486</v>
      </c>
      <c r="M1820" s="8">
        <v>0</v>
      </c>
      <c r="N1820" s="8"/>
    </row>
    <row r="1821" spans="6:14" x14ac:dyDescent="0.35">
      <c r="F1821" s="1"/>
      <c r="K1821" s="8" t="s">
        <v>247</v>
      </c>
      <c r="L1821" s="8" t="s">
        <v>487</v>
      </c>
      <c r="M1821" s="8">
        <v>0</v>
      </c>
      <c r="N1821" s="8"/>
    </row>
    <row r="1822" spans="6:14" x14ac:dyDescent="0.35">
      <c r="F1822" s="1"/>
      <c r="K1822" s="8" t="s">
        <v>247</v>
      </c>
      <c r="L1822" s="8" t="s">
        <v>488</v>
      </c>
      <c r="M1822" s="8">
        <v>0</v>
      </c>
      <c r="N1822" s="8"/>
    </row>
    <row r="1823" spans="6:14" x14ac:dyDescent="0.35">
      <c r="F1823" s="1"/>
      <c r="K1823" s="8" t="s">
        <v>247</v>
      </c>
      <c r="L1823" s="8" t="s">
        <v>489</v>
      </c>
      <c r="M1823" s="8">
        <v>0</v>
      </c>
      <c r="N1823" s="8"/>
    </row>
    <row r="1824" spans="6:14" x14ac:dyDescent="0.35">
      <c r="F1824" s="1"/>
      <c r="K1824" s="8" t="s">
        <v>247</v>
      </c>
      <c r="L1824" s="8" t="s">
        <v>490</v>
      </c>
      <c r="M1824" s="8">
        <v>0</v>
      </c>
      <c r="N1824" s="8"/>
    </row>
    <row r="1825" spans="6:14" x14ac:dyDescent="0.35">
      <c r="F1825" s="1"/>
      <c r="K1825" s="8" t="s">
        <v>247</v>
      </c>
      <c r="L1825" s="8" t="s">
        <v>373</v>
      </c>
      <c r="M1825" s="8">
        <v>1</v>
      </c>
      <c r="N1825" s="8"/>
    </row>
    <row r="1826" spans="6:14" x14ac:dyDescent="0.35">
      <c r="F1826" s="1"/>
      <c r="K1826" s="8" t="s">
        <v>247</v>
      </c>
      <c r="L1826" s="8" t="s">
        <v>491</v>
      </c>
      <c r="M1826" s="8">
        <v>0</v>
      </c>
      <c r="N1826" s="8"/>
    </row>
    <row r="1827" spans="6:14" x14ac:dyDescent="0.35">
      <c r="F1827" s="1"/>
      <c r="K1827" s="8" t="s">
        <v>247</v>
      </c>
      <c r="L1827" s="8" t="s">
        <v>492</v>
      </c>
      <c r="M1827" s="8">
        <v>0</v>
      </c>
      <c r="N1827" s="8"/>
    </row>
    <row r="1828" spans="6:14" x14ac:dyDescent="0.35">
      <c r="F1828" s="1"/>
      <c r="K1828" s="8" t="s">
        <v>247</v>
      </c>
      <c r="L1828" s="8" t="s">
        <v>493</v>
      </c>
      <c r="M1828" s="8">
        <v>0</v>
      </c>
      <c r="N1828" s="8"/>
    </row>
    <row r="1829" spans="6:14" x14ac:dyDescent="0.35">
      <c r="F1829" s="1"/>
      <c r="K1829" s="8" t="s">
        <v>247</v>
      </c>
      <c r="L1829" s="8" t="s">
        <v>494</v>
      </c>
      <c r="M1829" s="8">
        <v>0</v>
      </c>
      <c r="N1829" s="8"/>
    </row>
    <row r="1830" spans="6:14" x14ac:dyDescent="0.35">
      <c r="F1830" s="1"/>
      <c r="K1830" s="8" t="s">
        <v>247</v>
      </c>
      <c r="L1830" s="8" t="s">
        <v>495</v>
      </c>
      <c r="M1830" s="8">
        <v>0</v>
      </c>
      <c r="N1830" s="8"/>
    </row>
    <row r="1831" spans="6:14" x14ac:dyDescent="0.35">
      <c r="F1831" s="1"/>
      <c r="K1831" s="8" t="s">
        <v>248</v>
      </c>
      <c r="L1831" s="8" t="s">
        <v>369</v>
      </c>
      <c r="M1831" s="8">
        <v>1</v>
      </c>
      <c r="N1831" s="8"/>
    </row>
    <row r="1832" spans="6:14" x14ac:dyDescent="0.35">
      <c r="F1832" s="1"/>
      <c r="K1832" s="8" t="s">
        <v>248</v>
      </c>
      <c r="L1832" s="8" t="s">
        <v>480</v>
      </c>
      <c r="M1832" s="8">
        <v>0</v>
      </c>
      <c r="N1832" s="8"/>
    </row>
    <row r="1833" spans="6:14" x14ac:dyDescent="0.35">
      <c r="F1833" s="1"/>
      <c r="K1833" s="8" t="s">
        <v>248</v>
      </c>
      <c r="L1833" s="8" t="s">
        <v>481</v>
      </c>
      <c r="M1833" s="8">
        <v>0</v>
      </c>
      <c r="N1833" s="8"/>
    </row>
    <row r="1834" spans="6:14" x14ac:dyDescent="0.35">
      <c r="F1834" s="1"/>
      <c r="K1834" s="8" t="s">
        <v>248</v>
      </c>
      <c r="L1834" s="8" t="s">
        <v>482</v>
      </c>
      <c r="M1834" s="8">
        <v>0</v>
      </c>
      <c r="N1834" s="8"/>
    </row>
    <row r="1835" spans="6:14" x14ac:dyDescent="0.35">
      <c r="F1835" s="1"/>
      <c r="K1835" s="8" t="s">
        <v>248</v>
      </c>
      <c r="L1835" s="8" t="s">
        <v>483</v>
      </c>
      <c r="M1835" s="8">
        <v>0</v>
      </c>
      <c r="N1835" s="8"/>
    </row>
    <row r="1836" spans="6:14" x14ac:dyDescent="0.35">
      <c r="F1836" s="1"/>
      <c r="K1836" s="8" t="s">
        <v>248</v>
      </c>
      <c r="L1836" s="8" t="s">
        <v>484</v>
      </c>
      <c r="M1836" s="8">
        <v>0</v>
      </c>
      <c r="N1836" s="8"/>
    </row>
    <row r="1837" spans="6:14" x14ac:dyDescent="0.35">
      <c r="F1837" s="1"/>
      <c r="K1837" s="8" t="s">
        <v>248</v>
      </c>
      <c r="L1837" s="8" t="s">
        <v>374</v>
      </c>
      <c r="M1837" s="8">
        <v>1</v>
      </c>
      <c r="N1837" s="8"/>
    </row>
    <row r="1838" spans="6:14" x14ac:dyDescent="0.35">
      <c r="F1838" s="1"/>
      <c r="K1838" s="8" t="s">
        <v>248</v>
      </c>
      <c r="L1838" s="8" t="s">
        <v>889</v>
      </c>
      <c r="M1838" s="8">
        <v>1</v>
      </c>
      <c r="N1838" s="8"/>
    </row>
    <row r="1839" spans="6:14" x14ac:dyDescent="0.35">
      <c r="F1839" s="1"/>
      <c r="K1839" s="8" t="s">
        <v>248</v>
      </c>
      <c r="L1839" s="8" t="s">
        <v>890</v>
      </c>
      <c r="M1839" s="8">
        <v>0</v>
      </c>
      <c r="N1839" s="8"/>
    </row>
    <row r="1840" spans="6:14" x14ac:dyDescent="0.35">
      <c r="F1840" s="1"/>
      <c r="K1840" s="8" t="s">
        <v>248</v>
      </c>
      <c r="L1840" s="8" t="s">
        <v>891</v>
      </c>
      <c r="M1840" s="8">
        <v>0</v>
      </c>
      <c r="N1840" s="8"/>
    </row>
    <row r="1841" spans="6:14" x14ac:dyDescent="0.35">
      <c r="F1841" s="1"/>
      <c r="K1841" s="8" t="s">
        <v>248</v>
      </c>
      <c r="L1841" s="8" t="s">
        <v>892</v>
      </c>
      <c r="M1841" s="8">
        <v>0</v>
      </c>
      <c r="N1841" s="8"/>
    </row>
    <row r="1842" spans="6:14" x14ac:dyDescent="0.35">
      <c r="F1842" s="1"/>
      <c r="K1842" s="8" t="s">
        <v>248</v>
      </c>
      <c r="L1842" s="8" t="s">
        <v>893</v>
      </c>
      <c r="M1842" s="8">
        <v>0</v>
      </c>
      <c r="N1842" s="8"/>
    </row>
    <row r="1843" spans="6:14" x14ac:dyDescent="0.35">
      <c r="F1843" s="1"/>
      <c r="K1843" s="8" t="s">
        <v>248</v>
      </c>
      <c r="L1843" s="8" t="s">
        <v>486</v>
      </c>
      <c r="M1843" s="8">
        <v>0</v>
      </c>
      <c r="N1843" s="8"/>
    </row>
    <row r="1844" spans="6:14" x14ac:dyDescent="0.35">
      <c r="F1844" s="1"/>
      <c r="K1844" s="8" t="s">
        <v>248</v>
      </c>
      <c r="L1844" s="8" t="s">
        <v>487</v>
      </c>
      <c r="M1844" s="8">
        <v>0</v>
      </c>
      <c r="N1844" s="8"/>
    </row>
    <row r="1845" spans="6:14" x14ac:dyDescent="0.35">
      <c r="F1845" s="1"/>
      <c r="K1845" s="8" t="s">
        <v>248</v>
      </c>
      <c r="L1845" s="8" t="s">
        <v>488</v>
      </c>
      <c r="M1845" s="8">
        <v>0</v>
      </c>
      <c r="N1845" s="8"/>
    </row>
    <row r="1846" spans="6:14" x14ac:dyDescent="0.35">
      <c r="F1846" s="1"/>
      <c r="K1846" s="8" t="s">
        <v>248</v>
      </c>
      <c r="L1846" s="8" t="s">
        <v>489</v>
      </c>
      <c r="M1846" s="8">
        <v>0</v>
      </c>
      <c r="N1846" s="8"/>
    </row>
    <row r="1847" spans="6:14" x14ac:dyDescent="0.35">
      <c r="F1847" s="1"/>
      <c r="K1847" s="8" t="s">
        <v>248</v>
      </c>
      <c r="L1847" s="8" t="s">
        <v>490</v>
      </c>
      <c r="M1847" s="8">
        <v>0</v>
      </c>
      <c r="N1847" s="8"/>
    </row>
    <row r="1848" spans="6:14" x14ac:dyDescent="0.35">
      <c r="F1848" s="1"/>
      <c r="K1848" s="8" t="s">
        <v>248</v>
      </c>
      <c r="L1848" s="8" t="s">
        <v>491</v>
      </c>
      <c r="M1848" s="8">
        <v>0</v>
      </c>
      <c r="N1848" s="8"/>
    </row>
    <row r="1849" spans="6:14" x14ac:dyDescent="0.35">
      <c r="F1849" s="1"/>
      <c r="K1849" s="8" t="s">
        <v>248</v>
      </c>
      <c r="L1849" s="8" t="s">
        <v>492</v>
      </c>
      <c r="M1849" s="8">
        <v>0</v>
      </c>
      <c r="N1849" s="8"/>
    </row>
    <row r="1850" spans="6:14" x14ac:dyDescent="0.35">
      <c r="F1850" s="1"/>
      <c r="K1850" s="8" t="s">
        <v>248</v>
      </c>
      <c r="L1850" s="8" t="s">
        <v>493</v>
      </c>
      <c r="M1850" s="8">
        <v>0</v>
      </c>
      <c r="N1850" s="8"/>
    </row>
    <row r="1851" spans="6:14" x14ac:dyDescent="0.35">
      <c r="F1851" s="1"/>
      <c r="K1851" s="8" t="s">
        <v>248</v>
      </c>
      <c r="L1851" s="8" t="s">
        <v>494</v>
      </c>
      <c r="M1851" s="8">
        <v>0</v>
      </c>
      <c r="N1851" s="8"/>
    </row>
    <row r="1852" spans="6:14" x14ac:dyDescent="0.35">
      <c r="F1852" s="1"/>
      <c r="K1852" s="8" t="s">
        <v>248</v>
      </c>
      <c r="L1852" s="8" t="s">
        <v>495</v>
      </c>
      <c r="M1852" s="8">
        <v>0</v>
      </c>
      <c r="N1852" s="8"/>
    </row>
    <row r="1853" spans="6:14" x14ac:dyDescent="0.35">
      <c r="F1853" s="1"/>
      <c r="K1853" s="8" t="s">
        <v>249</v>
      </c>
      <c r="L1853" s="8" t="s">
        <v>414</v>
      </c>
      <c r="M1853" s="8">
        <v>0</v>
      </c>
      <c r="N1853" s="8"/>
    </row>
    <row r="1854" spans="6:14" x14ac:dyDescent="0.35">
      <c r="F1854" s="1"/>
      <c r="K1854" s="8" t="s">
        <v>249</v>
      </c>
      <c r="L1854" s="8" t="s">
        <v>692</v>
      </c>
      <c r="M1854" s="8">
        <v>1</v>
      </c>
      <c r="N1854" s="8" t="s">
        <v>476</v>
      </c>
    </row>
    <row r="1855" spans="6:14" x14ac:dyDescent="0.35">
      <c r="F1855" s="1"/>
      <c r="K1855" s="8" t="s">
        <v>249</v>
      </c>
      <c r="L1855" s="8" t="s">
        <v>480</v>
      </c>
      <c r="M1855" s="8">
        <v>0</v>
      </c>
      <c r="N1855" s="8"/>
    </row>
    <row r="1856" spans="6:14" x14ac:dyDescent="0.35">
      <c r="F1856" s="1"/>
      <c r="K1856" s="8" t="s">
        <v>249</v>
      </c>
      <c r="L1856" s="8" t="s">
        <v>481</v>
      </c>
      <c r="M1856" s="8">
        <v>0</v>
      </c>
      <c r="N1856" s="8"/>
    </row>
    <row r="1857" spans="6:14" x14ac:dyDescent="0.35">
      <c r="F1857" s="1"/>
      <c r="K1857" s="8" t="s">
        <v>249</v>
      </c>
      <c r="L1857" s="8" t="s">
        <v>482</v>
      </c>
      <c r="M1857" s="8">
        <v>0</v>
      </c>
      <c r="N1857" s="8"/>
    </row>
    <row r="1858" spans="6:14" x14ac:dyDescent="0.35">
      <c r="F1858" s="1"/>
      <c r="K1858" s="8" t="s">
        <v>249</v>
      </c>
      <c r="L1858" s="8" t="s">
        <v>483</v>
      </c>
      <c r="M1858" s="8">
        <v>0</v>
      </c>
      <c r="N1858" s="8"/>
    </row>
    <row r="1859" spans="6:14" x14ac:dyDescent="0.35">
      <c r="F1859" s="1"/>
      <c r="K1859" s="8" t="s">
        <v>249</v>
      </c>
      <c r="L1859" s="8" t="s">
        <v>484</v>
      </c>
      <c r="M1859" s="8">
        <v>0</v>
      </c>
      <c r="N1859" s="8"/>
    </row>
    <row r="1860" spans="6:14" x14ac:dyDescent="0.35">
      <c r="F1860" s="1"/>
      <c r="K1860" s="8" t="s">
        <v>249</v>
      </c>
      <c r="L1860" s="8" t="s">
        <v>377</v>
      </c>
      <c r="M1860" s="8">
        <v>1</v>
      </c>
      <c r="N1860" s="8"/>
    </row>
    <row r="1861" spans="6:14" x14ac:dyDescent="0.35">
      <c r="F1861" s="1"/>
      <c r="K1861" s="8" t="s">
        <v>249</v>
      </c>
      <c r="L1861" s="8" t="s">
        <v>395</v>
      </c>
      <c r="M1861" s="8">
        <v>0</v>
      </c>
      <c r="N1861" s="8"/>
    </row>
    <row r="1862" spans="6:14" x14ac:dyDescent="0.35">
      <c r="F1862" s="1"/>
      <c r="K1862" s="8" t="s">
        <v>249</v>
      </c>
      <c r="L1862" s="8" t="s">
        <v>693</v>
      </c>
      <c r="M1862" s="8">
        <v>1</v>
      </c>
      <c r="N1862" s="8"/>
    </row>
    <row r="1863" spans="6:14" x14ac:dyDescent="0.35">
      <c r="F1863" s="1"/>
      <c r="K1863" s="8" t="s">
        <v>249</v>
      </c>
      <c r="L1863" s="8" t="s">
        <v>694</v>
      </c>
      <c r="M1863" s="8">
        <v>0</v>
      </c>
      <c r="N1863" s="8"/>
    </row>
    <row r="1864" spans="6:14" x14ac:dyDescent="0.35">
      <c r="F1864" s="1"/>
      <c r="K1864" s="8" t="s">
        <v>249</v>
      </c>
      <c r="L1864" s="8" t="s">
        <v>695</v>
      </c>
      <c r="M1864" s="8">
        <v>1</v>
      </c>
      <c r="N1864" s="8"/>
    </row>
    <row r="1865" spans="6:14" x14ac:dyDescent="0.35">
      <c r="F1865" s="1"/>
      <c r="K1865" s="8" t="s">
        <v>249</v>
      </c>
      <c r="L1865" s="8" t="s">
        <v>372</v>
      </c>
      <c r="M1865" s="8">
        <v>1</v>
      </c>
      <c r="N1865" s="8"/>
    </row>
    <row r="1866" spans="6:14" x14ac:dyDescent="0.35">
      <c r="F1866" s="1"/>
      <c r="K1866" s="8" t="s">
        <v>249</v>
      </c>
      <c r="L1866" s="8" t="s">
        <v>486</v>
      </c>
      <c r="M1866" s="8">
        <v>0</v>
      </c>
      <c r="N1866" s="8"/>
    </row>
    <row r="1867" spans="6:14" x14ac:dyDescent="0.35">
      <c r="F1867" s="1"/>
      <c r="K1867" s="8" t="s">
        <v>249</v>
      </c>
      <c r="L1867" s="8" t="s">
        <v>487</v>
      </c>
      <c r="M1867" s="8">
        <v>0</v>
      </c>
      <c r="N1867" s="8"/>
    </row>
    <row r="1868" spans="6:14" x14ac:dyDescent="0.35">
      <c r="F1868" s="1"/>
      <c r="K1868" s="8" t="s">
        <v>249</v>
      </c>
      <c r="L1868" s="8" t="s">
        <v>488</v>
      </c>
      <c r="M1868" s="8">
        <v>0</v>
      </c>
      <c r="N1868" s="8"/>
    </row>
    <row r="1869" spans="6:14" x14ac:dyDescent="0.35">
      <c r="F1869" s="1"/>
      <c r="K1869" s="8" t="s">
        <v>249</v>
      </c>
      <c r="L1869" s="8" t="s">
        <v>489</v>
      </c>
      <c r="M1869" s="8">
        <v>0</v>
      </c>
      <c r="N1869" s="8"/>
    </row>
    <row r="1870" spans="6:14" x14ac:dyDescent="0.35">
      <c r="F1870" s="1"/>
      <c r="K1870" s="8" t="s">
        <v>249</v>
      </c>
      <c r="L1870" s="8" t="s">
        <v>490</v>
      </c>
      <c r="M1870" s="8">
        <v>0</v>
      </c>
      <c r="N1870" s="8"/>
    </row>
    <row r="1871" spans="6:14" x14ac:dyDescent="0.35">
      <c r="F1871" s="1"/>
      <c r="K1871" s="8" t="s">
        <v>249</v>
      </c>
      <c r="L1871" s="8" t="s">
        <v>491</v>
      </c>
      <c r="M1871" s="8">
        <v>0</v>
      </c>
      <c r="N1871" s="8"/>
    </row>
    <row r="1872" spans="6:14" x14ac:dyDescent="0.35">
      <c r="F1872" s="1"/>
      <c r="K1872" s="8" t="s">
        <v>249</v>
      </c>
      <c r="L1872" s="8" t="s">
        <v>492</v>
      </c>
      <c r="M1872" s="8">
        <v>0</v>
      </c>
      <c r="N1872" s="8"/>
    </row>
    <row r="1873" spans="6:14" x14ac:dyDescent="0.35">
      <c r="F1873" s="1"/>
      <c r="K1873" s="8" t="s">
        <v>249</v>
      </c>
      <c r="L1873" s="8" t="s">
        <v>493</v>
      </c>
      <c r="M1873" s="8">
        <v>0</v>
      </c>
      <c r="N1873" s="8"/>
    </row>
    <row r="1874" spans="6:14" x14ac:dyDescent="0.35">
      <c r="F1874" s="1"/>
      <c r="K1874" s="8" t="s">
        <v>249</v>
      </c>
      <c r="L1874" s="8" t="s">
        <v>604</v>
      </c>
      <c r="M1874" s="8">
        <v>0</v>
      </c>
      <c r="N1874" s="8"/>
    </row>
    <row r="1875" spans="6:14" x14ac:dyDescent="0.35">
      <c r="F1875" s="1"/>
      <c r="K1875" s="8" t="s">
        <v>250</v>
      </c>
      <c r="L1875" s="8" t="s">
        <v>388</v>
      </c>
      <c r="M1875" s="8">
        <v>1</v>
      </c>
      <c r="N1875" s="8"/>
    </row>
    <row r="1876" spans="6:14" x14ac:dyDescent="0.35">
      <c r="F1876" s="1"/>
      <c r="K1876" s="8" t="s">
        <v>250</v>
      </c>
      <c r="L1876" s="8" t="s">
        <v>480</v>
      </c>
      <c r="M1876" s="8">
        <v>0</v>
      </c>
      <c r="N1876" s="8"/>
    </row>
    <row r="1877" spans="6:14" x14ac:dyDescent="0.35">
      <c r="F1877" s="1"/>
      <c r="K1877" s="8" t="s">
        <v>250</v>
      </c>
      <c r="L1877" s="8" t="s">
        <v>481</v>
      </c>
      <c r="M1877" s="8">
        <v>0</v>
      </c>
      <c r="N1877" s="8"/>
    </row>
    <row r="1878" spans="6:14" x14ac:dyDescent="0.35">
      <c r="F1878" s="1"/>
      <c r="K1878" s="8" t="s">
        <v>250</v>
      </c>
      <c r="L1878" s="8" t="s">
        <v>482</v>
      </c>
      <c r="M1878" s="8">
        <v>0</v>
      </c>
      <c r="N1878" s="8"/>
    </row>
    <row r="1879" spans="6:14" x14ac:dyDescent="0.35">
      <c r="F1879" s="1"/>
      <c r="K1879" s="8" t="s">
        <v>250</v>
      </c>
      <c r="L1879" s="8" t="s">
        <v>483</v>
      </c>
      <c r="M1879" s="8">
        <v>0</v>
      </c>
      <c r="N1879" s="8"/>
    </row>
    <row r="1880" spans="6:14" x14ac:dyDescent="0.35">
      <c r="F1880" s="1"/>
      <c r="K1880" s="8" t="s">
        <v>250</v>
      </c>
      <c r="L1880" s="8" t="s">
        <v>484</v>
      </c>
      <c r="M1880" s="8">
        <v>0</v>
      </c>
      <c r="N1880" s="8"/>
    </row>
    <row r="1881" spans="6:14" x14ac:dyDescent="0.35">
      <c r="F1881" s="1"/>
      <c r="K1881" s="8" t="s">
        <v>250</v>
      </c>
      <c r="L1881" s="8" t="s">
        <v>638</v>
      </c>
      <c r="M1881" s="8">
        <v>0</v>
      </c>
      <c r="N1881" s="8"/>
    </row>
    <row r="1882" spans="6:14" x14ac:dyDescent="0.35">
      <c r="F1882" s="1"/>
      <c r="K1882" s="8" t="s">
        <v>250</v>
      </c>
      <c r="L1882" s="8" t="s">
        <v>639</v>
      </c>
      <c r="M1882" s="8">
        <v>0</v>
      </c>
      <c r="N1882" s="8"/>
    </row>
    <row r="1883" spans="6:14" x14ac:dyDescent="0.35">
      <c r="F1883" s="1"/>
      <c r="K1883" s="8" t="s">
        <v>250</v>
      </c>
      <c r="L1883" s="8" t="s">
        <v>640</v>
      </c>
      <c r="M1883" s="8">
        <v>0</v>
      </c>
      <c r="N1883" s="8"/>
    </row>
    <row r="1884" spans="6:14" x14ac:dyDescent="0.35">
      <c r="F1884" s="1"/>
      <c r="K1884" s="8" t="s">
        <v>250</v>
      </c>
      <c r="L1884" s="8" t="s">
        <v>641</v>
      </c>
      <c r="M1884" s="8">
        <v>0</v>
      </c>
      <c r="N1884" s="8"/>
    </row>
    <row r="1885" spans="6:14" x14ac:dyDescent="0.35">
      <c r="F1885" s="1"/>
      <c r="K1885" s="8" t="s">
        <v>250</v>
      </c>
      <c r="L1885" s="8" t="s">
        <v>642</v>
      </c>
      <c r="M1885" s="8">
        <v>0</v>
      </c>
      <c r="N1885" s="8"/>
    </row>
    <row r="1886" spans="6:14" x14ac:dyDescent="0.35">
      <c r="F1886" s="1"/>
      <c r="K1886" s="8" t="s">
        <v>250</v>
      </c>
      <c r="L1886" s="8" t="s">
        <v>486</v>
      </c>
      <c r="M1886" s="8">
        <v>0</v>
      </c>
      <c r="N1886" s="8"/>
    </row>
    <row r="1887" spans="6:14" x14ac:dyDescent="0.35">
      <c r="F1887" s="1"/>
      <c r="K1887" s="8" t="s">
        <v>250</v>
      </c>
      <c r="L1887" s="8" t="s">
        <v>487</v>
      </c>
      <c r="M1887" s="8">
        <v>0</v>
      </c>
      <c r="N1887" s="8"/>
    </row>
    <row r="1888" spans="6:14" x14ac:dyDescent="0.35">
      <c r="F1888" s="1"/>
      <c r="K1888" s="8" t="s">
        <v>250</v>
      </c>
      <c r="L1888" s="8" t="s">
        <v>488</v>
      </c>
      <c r="M1888" s="8">
        <v>0</v>
      </c>
      <c r="N1888" s="8"/>
    </row>
    <row r="1889" spans="6:14" x14ac:dyDescent="0.35">
      <c r="F1889" s="1"/>
      <c r="K1889" s="8" t="s">
        <v>250</v>
      </c>
      <c r="L1889" s="8" t="s">
        <v>489</v>
      </c>
      <c r="M1889" s="8">
        <v>0</v>
      </c>
      <c r="N1889" s="8"/>
    </row>
    <row r="1890" spans="6:14" x14ac:dyDescent="0.35">
      <c r="F1890" s="1"/>
      <c r="K1890" s="8" t="s">
        <v>250</v>
      </c>
      <c r="L1890" s="8" t="s">
        <v>490</v>
      </c>
      <c r="M1890" s="8">
        <v>0</v>
      </c>
      <c r="N1890" s="8"/>
    </row>
    <row r="1891" spans="6:14" x14ac:dyDescent="0.35">
      <c r="F1891" s="1"/>
      <c r="K1891" s="8" t="s">
        <v>250</v>
      </c>
      <c r="L1891" s="8" t="s">
        <v>491</v>
      </c>
      <c r="M1891" s="8">
        <v>0</v>
      </c>
      <c r="N1891" s="8"/>
    </row>
    <row r="1892" spans="6:14" x14ac:dyDescent="0.35">
      <c r="F1892" s="1"/>
      <c r="K1892" s="8" t="s">
        <v>250</v>
      </c>
      <c r="L1892" s="8" t="s">
        <v>492</v>
      </c>
      <c r="M1892" s="8">
        <v>0</v>
      </c>
      <c r="N1892" s="8"/>
    </row>
    <row r="1893" spans="6:14" x14ac:dyDescent="0.35">
      <c r="F1893" s="1"/>
      <c r="K1893" s="8" t="s">
        <v>250</v>
      </c>
      <c r="L1893" s="8" t="s">
        <v>493</v>
      </c>
      <c r="M1893" s="8">
        <v>0</v>
      </c>
      <c r="N1893" s="8"/>
    </row>
    <row r="1894" spans="6:14" x14ac:dyDescent="0.35">
      <c r="F1894" s="1"/>
      <c r="K1894" s="8" t="s">
        <v>251</v>
      </c>
      <c r="L1894" s="8" t="s">
        <v>480</v>
      </c>
      <c r="M1894" s="8">
        <v>0</v>
      </c>
      <c r="N1894" s="8"/>
    </row>
    <row r="1895" spans="6:14" x14ac:dyDescent="0.35">
      <c r="F1895" s="1"/>
      <c r="K1895" s="8" t="s">
        <v>251</v>
      </c>
      <c r="L1895" s="8" t="s">
        <v>481</v>
      </c>
      <c r="M1895" s="8">
        <v>0</v>
      </c>
      <c r="N1895" s="8"/>
    </row>
    <row r="1896" spans="6:14" x14ac:dyDescent="0.35">
      <c r="F1896" s="1"/>
      <c r="K1896" s="8" t="s">
        <v>251</v>
      </c>
      <c r="L1896" s="8" t="s">
        <v>482</v>
      </c>
      <c r="M1896" s="8">
        <v>0</v>
      </c>
      <c r="N1896" s="8"/>
    </row>
    <row r="1897" spans="6:14" x14ac:dyDescent="0.35">
      <c r="F1897" s="1"/>
      <c r="K1897" s="8" t="s">
        <v>251</v>
      </c>
      <c r="L1897" s="8" t="s">
        <v>483</v>
      </c>
      <c r="M1897" s="8">
        <v>0</v>
      </c>
      <c r="N1897" s="8"/>
    </row>
    <row r="1898" spans="6:14" x14ac:dyDescent="0.35">
      <c r="F1898" s="1"/>
      <c r="K1898" s="8" t="s">
        <v>251</v>
      </c>
      <c r="L1898" s="8" t="s">
        <v>484</v>
      </c>
      <c r="M1898" s="8">
        <v>0</v>
      </c>
      <c r="N1898" s="8"/>
    </row>
    <row r="1899" spans="6:14" x14ac:dyDescent="0.35">
      <c r="F1899" s="1"/>
      <c r="K1899" s="8" t="s">
        <v>251</v>
      </c>
      <c r="L1899" s="8" t="s">
        <v>954</v>
      </c>
      <c r="M1899" s="8">
        <v>0</v>
      </c>
      <c r="N1899" s="8"/>
    </row>
    <row r="1900" spans="6:14" x14ac:dyDescent="0.35">
      <c r="F1900" s="1"/>
      <c r="K1900" s="8" t="s">
        <v>251</v>
      </c>
      <c r="L1900" s="8" t="s">
        <v>371</v>
      </c>
      <c r="M1900" s="8">
        <v>1</v>
      </c>
      <c r="N1900" s="8"/>
    </row>
    <row r="1901" spans="6:14" x14ac:dyDescent="0.35">
      <c r="F1901" s="1"/>
      <c r="K1901" s="8" t="s">
        <v>251</v>
      </c>
      <c r="L1901" s="8" t="s">
        <v>371</v>
      </c>
      <c r="M1901" s="8">
        <v>1</v>
      </c>
      <c r="N1901" s="8"/>
    </row>
    <row r="1902" spans="6:14" x14ac:dyDescent="0.35">
      <c r="F1902" s="1"/>
      <c r="K1902" s="8" t="s">
        <v>251</v>
      </c>
      <c r="L1902" s="8" t="s">
        <v>371</v>
      </c>
      <c r="M1902" s="8">
        <v>1</v>
      </c>
      <c r="N1902" s="8"/>
    </row>
    <row r="1903" spans="6:14" x14ac:dyDescent="0.35">
      <c r="F1903" s="1"/>
      <c r="K1903" s="8" t="s">
        <v>251</v>
      </c>
      <c r="L1903" s="8" t="s">
        <v>955</v>
      </c>
      <c r="M1903" s="8">
        <v>0</v>
      </c>
      <c r="N1903" s="8"/>
    </row>
    <row r="1904" spans="6:14" x14ac:dyDescent="0.35">
      <c r="F1904" s="1"/>
      <c r="K1904" s="8" t="s">
        <v>251</v>
      </c>
      <c r="L1904" s="8" t="s">
        <v>956</v>
      </c>
      <c r="M1904" s="8">
        <v>0</v>
      </c>
      <c r="N1904" s="8"/>
    </row>
    <row r="1905" spans="6:14" x14ac:dyDescent="0.35">
      <c r="F1905" s="1"/>
      <c r="K1905" s="8" t="s">
        <v>251</v>
      </c>
      <c r="L1905" s="8" t="s">
        <v>957</v>
      </c>
      <c r="M1905" s="8">
        <v>0</v>
      </c>
      <c r="N1905" s="8"/>
    </row>
    <row r="1906" spans="6:14" x14ac:dyDescent="0.35">
      <c r="F1906" s="1"/>
      <c r="K1906" s="8" t="s">
        <v>251</v>
      </c>
      <c r="L1906" s="8" t="s">
        <v>958</v>
      </c>
      <c r="M1906" s="8">
        <v>0</v>
      </c>
      <c r="N1906" s="8"/>
    </row>
    <row r="1907" spans="6:14" x14ac:dyDescent="0.35">
      <c r="F1907" s="1"/>
      <c r="K1907" s="8" t="s">
        <v>251</v>
      </c>
      <c r="L1907" s="8" t="s">
        <v>486</v>
      </c>
      <c r="M1907" s="8">
        <v>0</v>
      </c>
      <c r="N1907" s="8"/>
    </row>
    <row r="1908" spans="6:14" x14ac:dyDescent="0.35">
      <c r="F1908" s="1"/>
      <c r="K1908" s="8" t="s">
        <v>251</v>
      </c>
      <c r="L1908" s="8" t="s">
        <v>487</v>
      </c>
      <c r="M1908" s="8">
        <v>0</v>
      </c>
      <c r="N1908" s="8"/>
    </row>
    <row r="1909" spans="6:14" x14ac:dyDescent="0.35">
      <c r="F1909" s="1"/>
      <c r="K1909" s="8" t="s">
        <v>251</v>
      </c>
      <c r="L1909" s="8" t="s">
        <v>488</v>
      </c>
      <c r="M1909" s="8">
        <v>0</v>
      </c>
      <c r="N1909" s="8"/>
    </row>
    <row r="1910" spans="6:14" x14ac:dyDescent="0.35">
      <c r="F1910" s="1"/>
      <c r="K1910" s="8" t="s">
        <v>251</v>
      </c>
      <c r="L1910" s="8" t="s">
        <v>489</v>
      </c>
      <c r="M1910" s="8">
        <v>0</v>
      </c>
      <c r="N1910" s="8"/>
    </row>
    <row r="1911" spans="6:14" x14ac:dyDescent="0.35">
      <c r="F1911" s="1"/>
      <c r="K1911" s="8" t="s">
        <v>251</v>
      </c>
      <c r="L1911" s="8" t="s">
        <v>490</v>
      </c>
      <c r="M1911" s="8">
        <v>0</v>
      </c>
      <c r="N1911" s="8"/>
    </row>
    <row r="1912" spans="6:14" x14ac:dyDescent="0.35">
      <c r="F1912" s="1"/>
      <c r="K1912" s="8" t="s">
        <v>251</v>
      </c>
      <c r="L1912" s="8" t="s">
        <v>370</v>
      </c>
      <c r="M1912" s="8">
        <v>1</v>
      </c>
      <c r="N1912" s="8"/>
    </row>
    <row r="1913" spans="6:14" x14ac:dyDescent="0.35">
      <c r="F1913" s="1"/>
      <c r="K1913" s="8" t="s">
        <v>251</v>
      </c>
      <c r="L1913" s="8" t="s">
        <v>370</v>
      </c>
      <c r="M1913" s="8">
        <v>1</v>
      </c>
      <c r="N1913" s="8"/>
    </row>
    <row r="1914" spans="6:14" x14ac:dyDescent="0.35">
      <c r="F1914" s="1"/>
      <c r="K1914" s="8" t="s">
        <v>251</v>
      </c>
      <c r="L1914" s="8" t="s">
        <v>370</v>
      </c>
      <c r="M1914" s="8">
        <v>1</v>
      </c>
      <c r="N1914" s="8"/>
    </row>
    <row r="1915" spans="6:14" x14ac:dyDescent="0.35">
      <c r="F1915" s="1"/>
      <c r="K1915" s="8" t="s">
        <v>251</v>
      </c>
      <c r="L1915" s="8" t="s">
        <v>491</v>
      </c>
      <c r="M1915" s="8">
        <v>0</v>
      </c>
      <c r="N1915" s="8"/>
    </row>
    <row r="1916" spans="6:14" x14ac:dyDescent="0.35">
      <c r="F1916" s="1"/>
      <c r="K1916" s="8" t="s">
        <v>251</v>
      </c>
      <c r="L1916" s="8" t="s">
        <v>492</v>
      </c>
      <c r="M1916" s="8">
        <v>0</v>
      </c>
      <c r="N1916" s="8"/>
    </row>
    <row r="1917" spans="6:14" x14ac:dyDescent="0.35">
      <c r="F1917" s="1"/>
      <c r="K1917" s="8" t="s">
        <v>251</v>
      </c>
      <c r="L1917" s="8" t="s">
        <v>493</v>
      </c>
      <c r="M1917" s="8">
        <v>0</v>
      </c>
      <c r="N1917" s="8"/>
    </row>
    <row r="1918" spans="6:14" x14ac:dyDescent="0.35">
      <c r="F1918" s="1"/>
      <c r="K1918" s="8" t="s">
        <v>252</v>
      </c>
      <c r="L1918" s="8" t="s">
        <v>419</v>
      </c>
      <c r="M1918" s="8">
        <v>1</v>
      </c>
      <c r="N1918" s="8"/>
    </row>
    <row r="1919" spans="6:14" x14ac:dyDescent="0.35">
      <c r="F1919" s="1"/>
      <c r="K1919" s="8" t="s">
        <v>252</v>
      </c>
      <c r="L1919" s="8" t="s">
        <v>350</v>
      </c>
      <c r="M1919" s="8">
        <v>1</v>
      </c>
      <c r="N1919" s="8"/>
    </row>
    <row r="1920" spans="6:14" x14ac:dyDescent="0.35">
      <c r="F1920" s="1"/>
      <c r="K1920" s="8" t="s">
        <v>252</v>
      </c>
      <c r="L1920" s="8" t="s">
        <v>480</v>
      </c>
      <c r="M1920" s="8">
        <v>0</v>
      </c>
      <c r="N1920" s="8"/>
    </row>
    <row r="1921" spans="6:14" x14ac:dyDescent="0.35">
      <c r="F1921" s="1"/>
      <c r="K1921" s="8" t="s">
        <v>252</v>
      </c>
      <c r="L1921" s="8" t="s">
        <v>481</v>
      </c>
      <c r="M1921" s="8">
        <v>0</v>
      </c>
      <c r="N1921" s="8"/>
    </row>
    <row r="1922" spans="6:14" x14ac:dyDescent="0.35">
      <c r="F1922" s="1"/>
      <c r="K1922" s="8" t="s">
        <v>252</v>
      </c>
      <c r="L1922" s="8" t="s">
        <v>482</v>
      </c>
      <c r="M1922" s="8">
        <v>0</v>
      </c>
      <c r="N1922" s="8"/>
    </row>
    <row r="1923" spans="6:14" x14ac:dyDescent="0.35">
      <c r="F1923" s="1"/>
      <c r="K1923" s="8" t="s">
        <v>252</v>
      </c>
      <c r="L1923" s="8" t="s">
        <v>483</v>
      </c>
      <c r="M1923" s="8">
        <v>0</v>
      </c>
      <c r="N1923" s="8"/>
    </row>
    <row r="1924" spans="6:14" x14ac:dyDescent="0.35">
      <c r="F1924" s="1"/>
      <c r="K1924" s="8" t="s">
        <v>252</v>
      </c>
      <c r="L1924" s="8" t="s">
        <v>484</v>
      </c>
      <c r="M1924" s="8">
        <v>0</v>
      </c>
      <c r="N1924" s="8"/>
    </row>
    <row r="1925" spans="6:14" x14ac:dyDescent="0.35">
      <c r="F1925" s="1"/>
      <c r="K1925" s="8" t="s">
        <v>252</v>
      </c>
      <c r="L1925" s="8" t="s">
        <v>412</v>
      </c>
      <c r="M1925" s="8">
        <v>1</v>
      </c>
      <c r="N1925" s="8"/>
    </row>
    <row r="1926" spans="6:14" x14ac:dyDescent="0.35">
      <c r="F1926" s="1"/>
      <c r="K1926" s="8" t="s">
        <v>252</v>
      </c>
      <c r="L1926" s="8" t="s">
        <v>435</v>
      </c>
      <c r="M1926" s="8">
        <v>1</v>
      </c>
      <c r="N1926" s="8"/>
    </row>
    <row r="1927" spans="6:14" x14ac:dyDescent="0.35">
      <c r="F1927" s="1"/>
      <c r="K1927" s="8" t="s">
        <v>252</v>
      </c>
      <c r="L1927" s="8" t="s">
        <v>371</v>
      </c>
      <c r="M1927" s="8">
        <v>1</v>
      </c>
      <c r="N1927" s="8"/>
    </row>
    <row r="1928" spans="6:14" x14ac:dyDescent="0.35">
      <c r="F1928" s="1"/>
      <c r="K1928" s="8" t="s">
        <v>252</v>
      </c>
      <c r="L1928" s="8" t="s">
        <v>1021</v>
      </c>
      <c r="M1928" s="8">
        <v>0</v>
      </c>
      <c r="N1928" s="8"/>
    </row>
    <row r="1929" spans="6:14" x14ac:dyDescent="0.35">
      <c r="F1929" s="1"/>
      <c r="K1929" s="8" t="s">
        <v>252</v>
      </c>
      <c r="L1929" s="8" t="s">
        <v>1022</v>
      </c>
      <c r="M1929" s="8">
        <v>0</v>
      </c>
      <c r="N1929" s="8"/>
    </row>
    <row r="1930" spans="6:14" x14ac:dyDescent="0.35">
      <c r="F1930" s="1"/>
      <c r="K1930" s="8" t="s">
        <v>252</v>
      </c>
      <c r="L1930" s="8" t="s">
        <v>1023</v>
      </c>
      <c r="M1930" s="8">
        <v>0</v>
      </c>
      <c r="N1930" s="8"/>
    </row>
    <row r="1931" spans="6:14" x14ac:dyDescent="0.35">
      <c r="F1931" s="1"/>
      <c r="K1931" s="8" t="s">
        <v>252</v>
      </c>
      <c r="L1931" s="8" t="s">
        <v>1024</v>
      </c>
      <c r="M1931" s="8">
        <v>0</v>
      </c>
      <c r="N1931" s="8"/>
    </row>
    <row r="1932" spans="6:14" x14ac:dyDescent="0.35">
      <c r="F1932" s="1"/>
      <c r="K1932" s="8" t="s">
        <v>252</v>
      </c>
      <c r="L1932" s="8" t="s">
        <v>486</v>
      </c>
      <c r="M1932" s="8">
        <v>0</v>
      </c>
      <c r="N1932" s="8"/>
    </row>
    <row r="1933" spans="6:14" x14ac:dyDescent="0.35">
      <c r="F1933" s="1"/>
      <c r="K1933" s="8" t="s">
        <v>252</v>
      </c>
      <c r="L1933" s="8" t="s">
        <v>487</v>
      </c>
      <c r="M1933" s="8">
        <v>0</v>
      </c>
      <c r="N1933" s="8"/>
    </row>
    <row r="1934" spans="6:14" x14ac:dyDescent="0.35">
      <c r="F1934" s="1"/>
      <c r="K1934" s="8" t="s">
        <v>252</v>
      </c>
      <c r="L1934" s="8" t="s">
        <v>488</v>
      </c>
      <c r="M1934" s="8">
        <v>0</v>
      </c>
      <c r="N1934" s="8"/>
    </row>
    <row r="1935" spans="6:14" x14ac:dyDescent="0.35">
      <c r="F1935" s="1"/>
      <c r="K1935" s="8" t="s">
        <v>252</v>
      </c>
      <c r="L1935" s="8" t="s">
        <v>489</v>
      </c>
      <c r="M1935" s="8">
        <v>0</v>
      </c>
      <c r="N1935" s="8"/>
    </row>
    <row r="1936" spans="6:14" x14ac:dyDescent="0.35">
      <c r="F1936" s="1"/>
      <c r="K1936" s="8" t="s">
        <v>252</v>
      </c>
      <c r="L1936" s="8" t="s">
        <v>490</v>
      </c>
      <c r="M1936" s="8">
        <v>0</v>
      </c>
      <c r="N1936" s="8"/>
    </row>
    <row r="1937" spans="6:14" x14ac:dyDescent="0.35">
      <c r="F1937" s="1"/>
      <c r="K1937" s="8" t="s">
        <v>252</v>
      </c>
      <c r="L1937" s="8" t="s">
        <v>370</v>
      </c>
      <c r="M1937" s="8">
        <v>1</v>
      </c>
      <c r="N1937" s="8"/>
    </row>
    <row r="1938" spans="6:14" x14ac:dyDescent="0.35">
      <c r="F1938" s="1"/>
      <c r="K1938" s="8" t="s">
        <v>252</v>
      </c>
      <c r="L1938" s="8" t="s">
        <v>491</v>
      </c>
      <c r="M1938" s="8">
        <v>0</v>
      </c>
      <c r="N1938" s="8"/>
    </row>
    <row r="1939" spans="6:14" x14ac:dyDescent="0.35">
      <c r="F1939" s="1"/>
      <c r="K1939" s="8" t="s">
        <v>252</v>
      </c>
      <c r="L1939" s="8" t="s">
        <v>492</v>
      </c>
      <c r="M1939" s="8">
        <v>0</v>
      </c>
      <c r="N1939" s="8"/>
    </row>
    <row r="1940" spans="6:14" x14ac:dyDescent="0.35">
      <c r="F1940" s="1"/>
      <c r="K1940" s="8" t="s">
        <v>252</v>
      </c>
      <c r="L1940" s="8" t="s">
        <v>493</v>
      </c>
      <c r="M1940" s="8">
        <v>0</v>
      </c>
      <c r="N1940" s="8"/>
    </row>
    <row r="1941" spans="6:14" x14ac:dyDescent="0.35">
      <c r="F1941" s="1"/>
      <c r="K1941" s="8" t="s">
        <v>252</v>
      </c>
      <c r="L1941" s="8" t="s">
        <v>494</v>
      </c>
      <c r="M1941" s="8">
        <v>0</v>
      </c>
      <c r="N1941" s="8"/>
    </row>
    <row r="1942" spans="6:14" x14ac:dyDescent="0.35">
      <c r="F1942" s="1"/>
      <c r="K1942" s="8" t="s">
        <v>252</v>
      </c>
      <c r="L1942" s="8" t="s">
        <v>495</v>
      </c>
      <c r="M1942" s="8">
        <v>0</v>
      </c>
      <c r="N1942" s="8"/>
    </row>
    <row r="1943" spans="6:14" x14ac:dyDescent="0.35">
      <c r="F1943" s="1"/>
      <c r="K1943" s="8" t="s">
        <v>252</v>
      </c>
      <c r="L1943" s="8" t="s">
        <v>432</v>
      </c>
      <c r="M1943" s="8">
        <v>1</v>
      </c>
      <c r="N1943" s="8" t="s">
        <v>1004</v>
      </c>
    </row>
    <row r="1944" spans="6:14" x14ac:dyDescent="0.35">
      <c r="F1944" s="1"/>
      <c r="K1944" s="8" t="s">
        <v>252</v>
      </c>
      <c r="L1944" s="8" t="s">
        <v>433</v>
      </c>
      <c r="M1944" s="8">
        <v>1</v>
      </c>
      <c r="N1944" s="8" t="s">
        <v>1010</v>
      </c>
    </row>
    <row r="1945" spans="6:14" x14ac:dyDescent="0.35">
      <c r="F1945" s="1"/>
      <c r="K1945" s="8" t="s">
        <v>252</v>
      </c>
      <c r="L1945" s="8" t="s">
        <v>434</v>
      </c>
      <c r="M1945" s="8">
        <v>1</v>
      </c>
      <c r="N1945" s="8" t="s">
        <v>1011</v>
      </c>
    </row>
    <row r="1946" spans="6:14" x14ac:dyDescent="0.35">
      <c r="F1946" s="1"/>
      <c r="K1946" s="8" t="s">
        <v>253</v>
      </c>
      <c r="L1946" s="8" t="s">
        <v>350</v>
      </c>
      <c r="M1946" s="8">
        <v>1</v>
      </c>
      <c r="N1946" s="8"/>
    </row>
    <row r="1947" spans="6:14" x14ac:dyDescent="0.35">
      <c r="F1947" s="1"/>
      <c r="K1947" s="8" t="s">
        <v>253</v>
      </c>
      <c r="L1947" s="8" t="s">
        <v>480</v>
      </c>
      <c r="M1947" s="8">
        <v>0</v>
      </c>
      <c r="N1947" s="8"/>
    </row>
    <row r="1948" spans="6:14" x14ac:dyDescent="0.35">
      <c r="F1948" s="1"/>
      <c r="K1948" s="8" t="s">
        <v>253</v>
      </c>
      <c r="L1948" s="8" t="s">
        <v>481</v>
      </c>
      <c r="M1948" s="8">
        <v>0</v>
      </c>
      <c r="N1948" s="8"/>
    </row>
    <row r="1949" spans="6:14" x14ac:dyDescent="0.35">
      <c r="F1949" s="1"/>
      <c r="K1949" s="8" t="s">
        <v>253</v>
      </c>
      <c r="L1949" s="8" t="s">
        <v>482</v>
      </c>
      <c r="M1949" s="8">
        <v>0</v>
      </c>
      <c r="N1949" s="8"/>
    </row>
    <row r="1950" spans="6:14" x14ac:dyDescent="0.35">
      <c r="F1950" s="1"/>
      <c r="K1950" s="8" t="s">
        <v>253</v>
      </c>
      <c r="L1950" s="8" t="s">
        <v>483</v>
      </c>
      <c r="M1950" s="8">
        <v>0</v>
      </c>
      <c r="N1950" s="8"/>
    </row>
    <row r="1951" spans="6:14" x14ac:dyDescent="0.35">
      <c r="F1951" s="1"/>
      <c r="K1951" s="8" t="s">
        <v>253</v>
      </c>
      <c r="L1951" s="8" t="s">
        <v>484</v>
      </c>
      <c r="M1951" s="8">
        <v>0</v>
      </c>
      <c r="N1951" s="8"/>
    </row>
    <row r="1952" spans="6:14" x14ac:dyDescent="0.35">
      <c r="F1952" s="1"/>
      <c r="K1952" s="8" t="s">
        <v>253</v>
      </c>
      <c r="L1952" s="8" t="s">
        <v>412</v>
      </c>
      <c r="M1952" s="8">
        <v>1</v>
      </c>
      <c r="N1952" s="8"/>
    </row>
    <row r="1953" spans="6:14" x14ac:dyDescent="0.35">
      <c r="F1953" s="1"/>
      <c r="K1953" s="8" t="s">
        <v>253</v>
      </c>
      <c r="L1953" s="8" t="s">
        <v>435</v>
      </c>
      <c r="M1953" s="8">
        <v>1</v>
      </c>
      <c r="N1953" s="8"/>
    </row>
    <row r="1954" spans="6:14" x14ac:dyDescent="0.35">
      <c r="F1954" s="1"/>
      <c r="K1954" s="8" t="s">
        <v>253</v>
      </c>
      <c r="L1954" s="8" t="s">
        <v>1025</v>
      </c>
      <c r="M1954" s="8">
        <v>0</v>
      </c>
      <c r="N1954" s="8"/>
    </row>
    <row r="1955" spans="6:14" x14ac:dyDescent="0.35">
      <c r="F1955" s="1"/>
      <c r="K1955" s="8" t="s">
        <v>253</v>
      </c>
      <c r="L1955" s="8" t="s">
        <v>1026</v>
      </c>
      <c r="M1955" s="8">
        <v>0</v>
      </c>
      <c r="N1955" s="8"/>
    </row>
    <row r="1956" spans="6:14" x14ac:dyDescent="0.35">
      <c r="F1956" s="1"/>
      <c r="K1956" s="8" t="s">
        <v>253</v>
      </c>
      <c r="L1956" s="8" t="s">
        <v>1027</v>
      </c>
      <c r="M1956" s="8">
        <v>0</v>
      </c>
      <c r="N1956" s="8"/>
    </row>
    <row r="1957" spans="6:14" x14ac:dyDescent="0.35">
      <c r="F1957" s="1"/>
      <c r="K1957" s="8" t="s">
        <v>253</v>
      </c>
      <c r="L1957" s="8" t="s">
        <v>1028</v>
      </c>
      <c r="M1957" s="8">
        <v>0</v>
      </c>
      <c r="N1957" s="8"/>
    </row>
    <row r="1958" spans="6:14" x14ac:dyDescent="0.35">
      <c r="F1958" s="1"/>
      <c r="K1958" s="8" t="s">
        <v>253</v>
      </c>
      <c r="L1958" s="8" t="s">
        <v>1029</v>
      </c>
      <c r="M1958" s="8">
        <v>1</v>
      </c>
      <c r="N1958" s="8"/>
    </row>
    <row r="1959" spans="6:14" x14ac:dyDescent="0.35">
      <c r="F1959" s="1"/>
      <c r="K1959" s="8" t="s">
        <v>253</v>
      </c>
      <c r="L1959" s="8" t="s">
        <v>486</v>
      </c>
      <c r="M1959" s="8">
        <v>0</v>
      </c>
      <c r="N1959" s="8"/>
    </row>
    <row r="1960" spans="6:14" x14ac:dyDescent="0.35">
      <c r="F1960" s="1"/>
      <c r="K1960" s="8" t="s">
        <v>253</v>
      </c>
      <c r="L1960" s="8" t="s">
        <v>487</v>
      </c>
      <c r="M1960" s="8">
        <v>0</v>
      </c>
      <c r="N1960" s="8"/>
    </row>
    <row r="1961" spans="6:14" x14ac:dyDescent="0.35">
      <c r="F1961" s="1"/>
      <c r="K1961" s="8" t="s">
        <v>253</v>
      </c>
      <c r="L1961" s="8" t="s">
        <v>488</v>
      </c>
      <c r="M1961" s="8">
        <v>0</v>
      </c>
      <c r="N1961" s="8"/>
    </row>
    <row r="1962" spans="6:14" x14ac:dyDescent="0.35">
      <c r="F1962" s="1"/>
      <c r="K1962" s="8" t="s">
        <v>253</v>
      </c>
      <c r="L1962" s="8" t="s">
        <v>489</v>
      </c>
      <c r="M1962" s="8">
        <v>0</v>
      </c>
      <c r="N1962" s="8"/>
    </row>
    <row r="1963" spans="6:14" x14ac:dyDescent="0.35">
      <c r="F1963" s="1"/>
      <c r="K1963" s="8" t="s">
        <v>253</v>
      </c>
      <c r="L1963" s="8" t="s">
        <v>490</v>
      </c>
      <c r="M1963" s="8">
        <v>0</v>
      </c>
      <c r="N1963" s="8"/>
    </row>
    <row r="1964" spans="6:14" x14ac:dyDescent="0.35">
      <c r="F1964" s="1"/>
      <c r="K1964" s="8" t="s">
        <v>253</v>
      </c>
      <c r="L1964" s="8" t="s">
        <v>370</v>
      </c>
      <c r="M1964" s="8">
        <v>1</v>
      </c>
      <c r="N1964" s="8"/>
    </row>
    <row r="1965" spans="6:14" x14ac:dyDescent="0.35">
      <c r="F1965" s="1"/>
      <c r="K1965" s="8" t="s">
        <v>253</v>
      </c>
      <c r="L1965" s="8" t="s">
        <v>491</v>
      </c>
      <c r="M1965" s="8">
        <v>0</v>
      </c>
      <c r="N1965" s="8"/>
    </row>
    <row r="1966" spans="6:14" x14ac:dyDescent="0.35">
      <c r="F1966" s="1"/>
      <c r="K1966" s="8" t="s">
        <v>253</v>
      </c>
      <c r="L1966" s="8" t="s">
        <v>492</v>
      </c>
      <c r="M1966" s="8">
        <v>0</v>
      </c>
      <c r="N1966" s="8"/>
    </row>
    <row r="1967" spans="6:14" x14ac:dyDescent="0.35">
      <c r="F1967" s="1"/>
      <c r="K1967" s="8" t="s">
        <v>253</v>
      </c>
      <c r="L1967" s="8" t="s">
        <v>493</v>
      </c>
      <c r="M1967" s="8">
        <v>0</v>
      </c>
      <c r="N1967" s="8"/>
    </row>
    <row r="1968" spans="6:14" x14ac:dyDescent="0.35">
      <c r="F1968" s="1"/>
      <c r="K1968" s="8" t="s">
        <v>253</v>
      </c>
      <c r="L1968" s="8" t="s">
        <v>494</v>
      </c>
      <c r="M1968" s="8">
        <v>0</v>
      </c>
      <c r="N1968" s="8"/>
    </row>
    <row r="1969" spans="6:14" x14ac:dyDescent="0.35">
      <c r="F1969" s="1"/>
      <c r="K1969" s="8" t="s">
        <v>253</v>
      </c>
      <c r="L1969" s="8" t="s">
        <v>495</v>
      </c>
      <c r="M1969" s="8">
        <v>0</v>
      </c>
      <c r="N1969" s="8"/>
    </row>
    <row r="1970" spans="6:14" x14ac:dyDescent="0.35">
      <c r="F1970" s="1"/>
      <c r="K1970" s="8" t="s">
        <v>253</v>
      </c>
      <c r="L1970" s="8" t="s">
        <v>432</v>
      </c>
      <c r="M1970" s="8">
        <v>1</v>
      </c>
      <c r="N1970" s="8" t="s">
        <v>1004</v>
      </c>
    </row>
    <row r="1971" spans="6:14" x14ac:dyDescent="0.35">
      <c r="F1971" s="1"/>
      <c r="K1971" s="8" t="s">
        <v>253</v>
      </c>
      <c r="L1971" s="8" t="s">
        <v>433</v>
      </c>
      <c r="M1971" s="8">
        <v>1</v>
      </c>
      <c r="N1971" s="8" t="s">
        <v>1010</v>
      </c>
    </row>
    <row r="1972" spans="6:14" x14ac:dyDescent="0.35">
      <c r="F1972" s="1"/>
      <c r="K1972" s="8" t="s">
        <v>253</v>
      </c>
      <c r="L1972" s="8" t="s">
        <v>434</v>
      </c>
      <c r="M1972" s="8">
        <v>1</v>
      </c>
      <c r="N1972" s="8" t="s">
        <v>1011</v>
      </c>
    </row>
    <row r="1973" spans="6:14" x14ac:dyDescent="0.35">
      <c r="F1973" s="1"/>
      <c r="K1973" s="8" t="s">
        <v>182</v>
      </c>
      <c r="L1973" s="8" t="s">
        <v>442</v>
      </c>
      <c r="M1973" s="8">
        <v>1</v>
      </c>
      <c r="N1973" s="8"/>
    </row>
    <row r="1974" spans="6:14" x14ac:dyDescent="0.35">
      <c r="F1974" s="1"/>
      <c r="K1974" s="8" t="s">
        <v>182</v>
      </c>
      <c r="L1974" s="8" t="s">
        <v>444</v>
      </c>
      <c r="M1974" s="8">
        <v>1</v>
      </c>
      <c r="N1974" s="8"/>
    </row>
    <row r="1975" spans="6:14" x14ac:dyDescent="0.35">
      <c r="F1975" s="1"/>
      <c r="K1975" s="8" t="s">
        <v>182</v>
      </c>
      <c r="L1975" s="8" t="s">
        <v>480</v>
      </c>
      <c r="M1975" s="8">
        <v>0</v>
      </c>
      <c r="N1975" s="8"/>
    </row>
    <row r="1976" spans="6:14" x14ac:dyDescent="0.35">
      <c r="F1976" s="1"/>
      <c r="K1976" s="8" t="s">
        <v>182</v>
      </c>
      <c r="L1976" s="8" t="s">
        <v>481</v>
      </c>
      <c r="M1976" s="8">
        <v>0</v>
      </c>
      <c r="N1976" s="8"/>
    </row>
    <row r="1977" spans="6:14" x14ac:dyDescent="0.35">
      <c r="F1977" s="1"/>
      <c r="K1977" s="8" t="s">
        <v>182</v>
      </c>
      <c r="L1977" s="8" t="s">
        <v>482</v>
      </c>
      <c r="M1977" s="8">
        <v>0</v>
      </c>
      <c r="N1977" s="8"/>
    </row>
    <row r="1978" spans="6:14" x14ac:dyDescent="0.35">
      <c r="F1978" s="1"/>
      <c r="K1978" s="8" t="s">
        <v>182</v>
      </c>
      <c r="L1978" s="8" t="s">
        <v>483</v>
      </c>
      <c r="M1978" s="8">
        <v>0</v>
      </c>
      <c r="N1978" s="8"/>
    </row>
    <row r="1979" spans="6:14" x14ac:dyDescent="0.35">
      <c r="F1979" s="1"/>
      <c r="K1979" s="8" t="s">
        <v>182</v>
      </c>
      <c r="L1979" s="8" t="s">
        <v>484</v>
      </c>
      <c r="M1979" s="8">
        <v>0</v>
      </c>
      <c r="N1979" s="8"/>
    </row>
    <row r="1980" spans="6:14" x14ac:dyDescent="0.35">
      <c r="F1980" s="1"/>
      <c r="K1980" s="8" t="s">
        <v>182</v>
      </c>
      <c r="L1980" s="8" t="s">
        <v>395</v>
      </c>
      <c r="M1980" s="8">
        <v>1</v>
      </c>
      <c r="N1980" s="8"/>
    </row>
    <row r="1981" spans="6:14" x14ac:dyDescent="0.35">
      <c r="F1981" s="1"/>
      <c r="K1981" s="8" t="s">
        <v>182</v>
      </c>
      <c r="L1981" s="8" t="s">
        <v>441</v>
      </c>
      <c r="M1981" s="8">
        <v>1</v>
      </c>
      <c r="N1981" s="8"/>
    </row>
    <row r="1982" spans="6:14" x14ac:dyDescent="0.35">
      <c r="F1982" s="1"/>
      <c r="K1982" s="8" t="s">
        <v>182</v>
      </c>
      <c r="L1982" s="8" t="s">
        <v>443</v>
      </c>
      <c r="M1982" s="8">
        <v>1</v>
      </c>
      <c r="N1982" s="8"/>
    </row>
    <row r="1983" spans="6:14" x14ac:dyDescent="0.35">
      <c r="F1983" s="1"/>
      <c r="K1983" s="8" t="s">
        <v>182</v>
      </c>
      <c r="L1983" s="8" t="s">
        <v>506</v>
      </c>
      <c r="M1983" s="8">
        <v>0</v>
      </c>
      <c r="N1983" s="8"/>
    </row>
    <row r="1984" spans="6:14" x14ac:dyDescent="0.35">
      <c r="F1984" s="1"/>
      <c r="K1984" s="8" t="s">
        <v>182</v>
      </c>
      <c r="L1984" s="8" t="s">
        <v>507</v>
      </c>
      <c r="M1984" s="8">
        <v>0</v>
      </c>
      <c r="N1984" s="8"/>
    </row>
    <row r="1985" spans="6:14" x14ac:dyDescent="0.35">
      <c r="F1985" s="1"/>
      <c r="K1985" s="8" t="s">
        <v>182</v>
      </c>
      <c r="L1985" s="8" t="s">
        <v>508</v>
      </c>
      <c r="M1985" s="8">
        <v>0</v>
      </c>
      <c r="N1985" s="8"/>
    </row>
    <row r="1986" spans="6:14" x14ac:dyDescent="0.35">
      <c r="F1986" s="1"/>
      <c r="K1986" s="8" t="s">
        <v>182</v>
      </c>
      <c r="L1986" s="8" t="s">
        <v>509</v>
      </c>
      <c r="M1986" s="8">
        <v>0</v>
      </c>
      <c r="N1986" s="8"/>
    </row>
    <row r="1987" spans="6:14" x14ac:dyDescent="0.35">
      <c r="F1987" s="1"/>
      <c r="K1987" s="8" t="s">
        <v>182</v>
      </c>
      <c r="L1987" s="8" t="s">
        <v>486</v>
      </c>
      <c r="M1987" s="8">
        <v>0</v>
      </c>
      <c r="N1987" s="8"/>
    </row>
    <row r="1988" spans="6:14" x14ac:dyDescent="0.35">
      <c r="F1988" s="1"/>
      <c r="K1988" s="8" t="s">
        <v>182</v>
      </c>
      <c r="L1988" s="8" t="s">
        <v>487</v>
      </c>
      <c r="M1988" s="8">
        <v>0</v>
      </c>
      <c r="N1988" s="8"/>
    </row>
    <row r="1989" spans="6:14" x14ac:dyDescent="0.35">
      <c r="F1989" s="1"/>
      <c r="K1989" s="8" t="s">
        <v>182</v>
      </c>
      <c r="L1989" s="8" t="s">
        <v>488</v>
      </c>
      <c r="M1989" s="8">
        <v>0</v>
      </c>
      <c r="N1989" s="8"/>
    </row>
    <row r="1990" spans="6:14" x14ac:dyDescent="0.35">
      <c r="F1990" s="1"/>
      <c r="K1990" s="8" t="s">
        <v>182</v>
      </c>
      <c r="L1990" s="8" t="s">
        <v>489</v>
      </c>
      <c r="M1990" s="8">
        <v>0</v>
      </c>
      <c r="N1990" s="8"/>
    </row>
    <row r="1991" spans="6:14" x14ac:dyDescent="0.35">
      <c r="F1991" s="1"/>
      <c r="K1991" s="8" t="s">
        <v>182</v>
      </c>
      <c r="L1991" s="8" t="s">
        <v>490</v>
      </c>
      <c r="M1991" s="8">
        <v>0</v>
      </c>
      <c r="N1991" s="8"/>
    </row>
    <row r="1992" spans="6:14" x14ac:dyDescent="0.35">
      <c r="F1992" s="1"/>
      <c r="K1992" s="8" t="s">
        <v>182</v>
      </c>
      <c r="L1992" s="8" t="s">
        <v>491</v>
      </c>
      <c r="M1992" s="8">
        <v>0</v>
      </c>
      <c r="N1992" s="8"/>
    </row>
    <row r="1993" spans="6:14" x14ac:dyDescent="0.35">
      <c r="F1993" s="1"/>
      <c r="K1993" s="8" t="s">
        <v>182</v>
      </c>
      <c r="L1993" s="8" t="s">
        <v>492</v>
      </c>
      <c r="M1993" s="8">
        <v>0</v>
      </c>
      <c r="N1993" s="8"/>
    </row>
    <row r="1994" spans="6:14" x14ac:dyDescent="0.35">
      <c r="F1994" s="1"/>
      <c r="K1994" s="8" t="s">
        <v>182</v>
      </c>
      <c r="L1994" s="8" t="s">
        <v>493</v>
      </c>
      <c r="M1994" s="8">
        <v>0</v>
      </c>
      <c r="N1994" s="8"/>
    </row>
    <row r="1995" spans="6:14" x14ac:dyDescent="0.35">
      <c r="F1995" s="1"/>
      <c r="K1995" s="8" t="s">
        <v>182</v>
      </c>
      <c r="L1995" s="8" t="s">
        <v>494</v>
      </c>
      <c r="M1995" s="8">
        <v>0</v>
      </c>
      <c r="N1995" s="8"/>
    </row>
    <row r="1996" spans="6:14" x14ac:dyDescent="0.35">
      <c r="F1996" s="1"/>
      <c r="K1996" s="8" t="s">
        <v>182</v>
      </c>
      <c r="L1996" s="8" t="s">
        <v>495</v>
      </c>
      <c r="M1996" s="8">
        <v>0</v>
      </c>
      <c r="N1996" s="8"/>
    </row>
    <row r="1997" spans="6:14" x14ac:dyDescent="0.35">
      <c r="F1997" s="1"/>
      <c r="K1997" s="8" t="s">
        <v>254</v>
      </c>
      <c r="L1997" s="8" t="s">
        <v>907</v>
      </c>
      <c r="M1997" s="8">
        <v>1</v>
      </c>
      <c r="N1997" s="8" t="s">
        <v>517</v>
      </c>
    </row>
    <row r="1998" spans="6:14" x14ac:dyDescent="0.35">
      <c r="F1998" s="1"/>
      <c r="K1998" s="8" t="s">
        <v>254</v>
      </c>
      <c r="L1998" s="8" t="s">
        <v>908</v>
      </c>
      <c r="M1998" s="8">
        <v>1</v>
      </c>
      <c r="N1998" s="8" t="s">
        <v>517</v>
      </c>
    </row>
    <row r="1999" spans="6:14" x14ac:dyDescent="0.35">
      <c r="F1999" s="1"/>
      <c r="K1999" s="8" t="s">
        <v>254</v>
      </c>
      <c r="L1999" s="8" t="s">
        <v>909</v>
      </c>
      <c r="M1999" s="8">
        <v>0</v>
      </c>
      <c r="N1999" s="8"/>
    </row>
    <row r="2000" spans="6:14" x14ac:dyDescent="0.35">
      <c r="F2000" s="1"/>
      <c r="K2000" s="8" t="s">
        <v>254</v>
      </c>
      <c r="L2000" s="8" t="s">
        <v>910</v>
      </c>
      <c r="M2000" s="8">
        <v>1</v>
      </c>
      <c r="N2000" s="8" t="s">
        <v>911</v>
      </c>
    </row>
    <row r="2001" spans="6:14" x14ac:dyDescent="0.35">
      <c r="F2001" s="1"/>
      <c r="K2001" s="8" t="s">
        <v>254</v>
      </c>
      <c r="L2001" s="8" t="s">
        <v>480</v>
      </c>
      <c r="M2001" s="8">
        <v>0</v>
      </c>
      <c r="N2001" s="8"/>
    </row>
    <row r="2002" spans="6:14" x14ac:dyDescent="0.35">
      <c r="F2002" s="1"/>
      <c r="K2002" s="8" t="s">
        <v>254</v>
      </c>
      <c r="L2002" s="8" t="s">
        <v>481</v>
      </c>
      <c r="M2002" s="8">
        <v>0</v>
      </c>
      <c r="N2002" s="8"/>
    </row>
    <row r="2003" spans="6:14" x14ac:dyDescent="0.35">
      <c r="F2003" s="1"/>
      <c r="K2003" s="8" t="s">
        <v>254</v>
      </c>
      <c r="L2003" s="8" t="s">
        <v>482</v>
      </c>
      <c r="M2003" s="8">
        <v>0</v>
      </c>
      <c r="N2003" s="8"/>
    </row>
    <row r="2004" spans="6:14" x14ac:dyDescent="0.35">
      <c r="F2004" s="1"/>
      <c r="K2004" s="8" t="s">
        <v>254</v>
      </c>
      <c r="L2004" s="8" t="s">
        <v>483</v>
      </c>
      <c r="M2004" s="8">
        <v>0</v>
      </c>
      <c r="N2004" s="8"/>
    </row>
    <row r="2005" spans="6:14" x14ac:dyDescent="0.35">
      <c r="F2005" s="1"/>
      <c r="K2005" s="8" t="s">
        <v>254</v>
      </c>
      <c r="L2005" s="8" t="s">
        <v>484</v>
      </c>
      <c r="M2005" s="8">
        <v>0</v>
      </c>
      <c r="N2005" s="8"/>
    </row>
    <row r="2006" spans="6:14" x14ac:dyDescent="0.35">
      <c r="F2006" s="1"/>
      <c r="K2006" s="8" t="s">
        <v>254</v>
      </c>
      <c r="L2006" s="8" t="s">
        <v>912</v>
      </c>
      <c r="M2006" s="8">
        <v>1</v>
      </c>
      <c r="N2006" s="8" t="s">
        <v>619</v>
      </c>
    </row>
    <row r="2007" spans="6:14" x14ac:dyDescent="0.35">
      <c r="F2007" s="1"/>
      <c r="K2007" s="8" t="s">
        <v>254</v>
      </c>
      <c r="L2007" s="8" t="s">
        <v>913</v>
      </c>
      <c r="M2007" s="8">
        <v>1</v>
      </c>
      <c r="N2007" s="8" t="s">
        <v>619</v>
      </c>
    </row>
    <row r="2008" spans="6:14" x14ac:dyDescent="0.35">
      <c r="F2008" s="1"/>
      <c r="K2008" s="8" t="s">
        <v>254</v>
      </c>
      <c r="L2008" s="8" t="s">
        <v>861</v>
      </c>
      <c r="M2008" s="8">
        <v>1</v>
      </c>
      <c r="N2008" s="8" t="s">
        <v>476</v>
      </c>
    </row>
    <row r="2009" spans="6:14" x14ac:dyDescent="0.35">
      <c r="F2009" s="1"/>
      <c r="K2009" s="8" t="s">
        <v>254</v>
      </c>
      <c r="L2009" s="8" t="s">
        <v>863</v>
      </c>
      <c r="M2009" s="8">
        <v>1</v>
      </c>
      <c r="N2009" s="8" t="s">
        <v>476</v>
      </c>
    </row>
    <row r="2010" spans="6:14" x14ac:dyDescent="0.35">
      <c r="F2010" s="1"/>
      <c r="K2010" s="8" t="s">
        <v>254</v>
      </c>
      <c r="L2010" s="8" t="s">
        <v>860</v>
      </c>
      <c r="M2010" s="8">
        <v>0</v>
      </c>
      <c r="N2010" s="8"/>
    </row>
    <row r="2011" spans="6:14" x14ac:dyDescent="0.35">
      <c r="F2011" s="1"/>
      <c r="K2011" s="8" t="s">
        <v>254</v>
      </c>
      <c r="L2011" s="8" t="s">
        <v>862</v>
      </c>
      <c r="M2011" s="8">
        <v>0</v>
      </c>
      <c r="N2011" s="8"/>
    </row>
    <row r="2012" spans="6:14" x14ac:dyDescent="0.35">
      <c r="F2012" s="1"/>
      <c r="K2012" s="8" t="s">
        <v>254</v>
      </c>
      <c r="L2012" s="8" t="s">
        <v>858</v>
      </c>
      <c r="M2012" s="8">
        <v>1</v>
      </c>
      <c r="N2012" s="8" t="s">
        <v>476</v>
      </c>
    </row>
    <row r="2013" spans="6:14" x14ac:dyDescent="0.35">
      <c r="F2013" s="1"/>
      <c r="K2013" s="8" t="s">
        <v>254</v>
      </c>
      <c r="L2013" s="8" t="s">
        <v>914</v>
      </c>
      <c r="M2013" s="8">
        <v>1</v>
      </c>
      <c r="N2013" s="8" t="s">
        <v>476</v>
      </c>
    </row>
    <row r="2014" spans="6:14" x14ac:dyDescent="0.35">
      <c r="F2014" s="1"/>
      <c r="K2014" s="8" t="s">
        <v>254</v>
      </c>
      <c r="L2014" s="8" t="s">
        <v>915</v>
      </c>
      <c r="M2014" s="8">
        <v>1</v>
      </c>
      <c r="N2014" s="8" t="s">
        <v>476</v>
      </c>
    </row>
    <row r="2015" spans="6:14" x14ac:dyDescent="0.35">
      <c r="F2015" s="1"/>
      <c r="K2015" s="8" t="s">
        <v>254</v>
      </c>
      <c r="L2015" s="8" t="s">
        <v>916</v>
      </c>
      <c r="M2015" s="8">
        <v>0</v>
      </c>
      <c r="N2015" s="8"/>
    </row>
    <row r="2016" spans="6:14" x14ac:dyDescent="0.35">
      <c r="F2016" s="1"/>
      <c r="K2016" s="8" t="s">
        <v>254</v>
      </c>
      <c r="L2016" s="8" t="s">
        <v>412</v>
      </c>
      <c r="M2016" s="8">
        <v>1</v>
      </c>
      <c r="N2016" s="8"/>
    </row>
    <row r="2017" spans="6:14" x14ac:dyDescent="0.35">
      <c r="F2017" s="1"/>
      <c r="K2017" s="8" t="s">
        <v>254</v>
      </c>
      <c r="L2017" s="8" t="s">
        <v>412</v>
      </c>
      <c r="M2017" s="8">
        <v>1</v>
      </c>
      <c r="N2017" s="8"/>
    </row>
    <row r="2018" spans="6:14" x14ac:dyDescent="0.35">
      <c r="F2018" s="1"/>
      <c r="K2018" s="8" t="s">
        <v>254</v>
      </c>
      <c r="L2018" s="8" t="s">
        <v>412</v>
      </c>
      <c r="M2018" s="8">
        <v>1</v>
      </c>
      <c r="N2018" s="8"/>
    </row>
    <row r="2019" spans="6:14" x14ac:dyDescent="0.35">
      <c r="F2019" s="1"/>
      <c r="K2019" s="8" t="s">
        <v>254</v>
      </c>
      <c r="L2019" s="8" t="s">
        <v>435</v>
      </c>
      <c r="M2019" s="8">
        <v>1</v>
      </c>
      <c r="N2019" s="8"/>
    </row>
    <row r="2020" spans="6:14" x14ac:dyDescent="0.35">
      <c r="F2020" s="1"/>
      <c r="K2020" s="8" t="s">
        <v>254</v>
      </c>
      <c r="L2020" s="8" t="s">
        <v>435</v>
      </c>
      <c r="M2020" s="8">
        <v>1</v>
      </c>
      <c r="N2020" s="8"/>
    </row>
    <row r="2021" spans="6:14" x14ac:dyDescent="0.35">
      <c r="F2021" s="1"/>
      <c r="K2021" s="8" t="s">
        <v>254</v>
      </c>
      <c r="L2021" s="8" t="s">
        <v>435</v>
      </c>
      <c r="M2021" s="8">
        <v>1</v>
      </c>
      <c r="N2021" s="8"/>
    </row>
    <row r="2022" spans="6:14" x14ac:dyDescent="0.35">
      <c r="F2022" s="1"/>
      <c r="K2022" s="8" t="s">
        <v>254</v>
      </c>
      <c r="L2022" s="8" t="s">
        <v>374</v>
      </c>
      <c r="M2022" s="8">
        <v>1</v>
      </c>
      <c r="N2022" s="8"/>
    </row>
    <row r="2023" spans="6:14" x14ac:dyDescent="0.35">
      <c r="F2023" s="1"/>
      <c r="K2023" s="8" t="s">
        <v>254</v>
      </c>
      <c r="L2023" s="8" t="s">
        <v>918</v>
      </c>
      <c r="M2023" s="8">
        <v>0</v>
      </c>
      <c r="N2023" s="8"/>
    </row>
    <row r="2024" spans="6:14" x14ac:dyDescent="0.35">
      <c r="F2024" s="1"/>
      <c r="K2024" s="8" t="s">
        <v>254</v>
      </c>
      <c r="L2024" s="8" t="s">
        <v>919</v>
      </c>
      <c r="M2024" s="8">
        <v>0</v>
      </c>
      <c r="N2024" s="8"/>
    </row>
    <row r="2025" spans="6:14" x14ac:dyDescent="0.35">
      <c r="F2025" s="1"/>
      <c r="K2025" s="8" t="s">
        <v>254</v>
      </c>
      <c r="L2025" s="8" t="s">
        <v>920</v>
      </c>
      <c r="M2025" s="8">
        <v>0</v>
      </c>
      <c r="N2025" s="8"/>
    </row>
    <row r="2026" spans="6:14" x14ac:dyDescent="0.35">
      <c r="F2026" s="1"/>
      <c r="K2026" s="8" t="s">
        <v>254</v>
      </c>
      <c r="L2026" s="8" t="s">
        <v>921</v>
      </c>
      <c r="M2026" s="8">
        <v>0</v>
      </c>
      <c r="N2026" s="8"/>
    </row>
    <row r="2027" spans="6:14" x14ac:dyDescent="0.35">
      <c r="F2027" s="1"/>
      <c r="K2027" s="8" t="s">
        <v>254</v>
      </c>
      <c r="L2027" s="8" t="s">
        <v>917</v>
      </c>
      <c r="M2027" s="8">
        <v>1</v>
      </c>
      <c r="N2027" s="8" t="s">
        <v>476</v>
      </c>
    </row>
    <row r="2028" spans="6:14" x14ac:dyDescent="0.35">
      <c r="F2028" s="1"/>
      <c r="K2028" s="8" t="s">
        <v>254</v>
      </c>
      <c r="L2028" s="8" t="s">
        <v>922</v>
      </c>
      <c r="M2028" s="8">
        <v>1</v>
      </c>
      <c r="N2028" s="8" t="s">
        <v>476</v>
      </c>
    </row>
    <row r="2029" spans="6:14" x14ac:dyDescent="0.35">
      <c r="F2029" s="1"/>
      <c r="K2029" s="8" t="s">
        <v>254</v>
      </c>
      <c r="L2029" s="8" t="s">
        <v>923</v>
      </c>
      <c r="M2029" s="8">
        <v>1</v>
      </c>
      <c r="N2029" s="8" t="s">
        <v>476</v>
      </c>
    </row>
    <row r="2030" spans="6:14" x14ac:dyDescent="0.35">
      <c r="F2030" s="1"/>
      <c r="K2030" s="8" t="s">
        <v>254</v>
      </c>
      <c r="L2030" s="8" t="s">
        <v>486</v>
      </c>
      <c r="M2030" s="8">
        <v>0</v>
      </c>
      <c r="N2030" s="8"/>
    </row>
    <row r="2031" spans="6:14" x14ac:dyDescent="0.35">
      <c r="F2031" s="1"/>
      <c r="K2031" s="8" t="s">
        <v>254</v>
      </c>
      <c r="L2031" s="8" t="s">
        <v>487</v>
      </c>
      <c r="M2031" s="8">
        <v>0</v>
      </c>
      <c r="N2031" s="8"/>
    </row>
    <row r="2032" spans="6:14" x14ac:dyDescent="0.35">
      <c r="F2032" s="1"/>
      <c r="K2032" s="8" t="s">
        <v>254</v>
      </c>
      <c r="L2032" s="8" t="s">
        <v>488</v>
      </c>
      <c r="M2032" s="8">
        <v>0</v>
      </c>
      <c r="N2032" s="8"/>
    </row>
    <row r="2033" spans="6:14" x14ac:dyDescent="0.35">
      <c r="F2033" s="1"/>
      <c r="K2033" s="8" t="s">
        <v>254</v>
      </c>
      <c r="L2033" s="8" t="s">
        <v>489</v>
      </c>
      <c r="M2033" s="8">
        <v>0</v>
      </c>
      <c r="N2033" s="8"/>
    </row>
    <row r="2034" spans="6:14" x14ac:dyDescent="0.35">
      <c r="F2034" s="1"/>
      <c r="K2034" s="8" t="s">
        <v>254</v>
      </c>
      <c r="L2034" s="8" t="s">
        <v>490</v>
      </c>
      <c r="M2034" s="8">
        <v>0</v>
      </c>
      <c r="N2034" s="8"/>
    </row>
    <row r="2035" spans="6:14" x14ac:dyDescent="0.35">
      <c r="F2035" s="1"/>
      <c r="K2035" s="8" t="s">
        <v>254</v>
      </c>
      <c r="L2035" s="8" t="s">
        <v>924</v>
      </c>
      <c r="M2035" s="8">
        <v>0</v>
      </c>
      <c r="N2035" s="8"/>
    </row>
    <row r="2036" spans="6:14" x14ac:dyDescent="0.35">
      <c r="F2036" s="1"/>
      <c r="K2036" s="8" t="s">
        <v>254</v>
      </c>
      <c r="L2036" s="8" t="s">
        <v>925</v>
      </c>
      <c r="M2036" s="8">
        <v>0</v>
      </c>
      <c r="N2036" s="8"/>
    </row>
    <row r="2037" spans="6:14" x14ac:dyDescent="0.35">
      <c r="F2037" s="1"/>
      <c r="K2037" s="8" t="s">
        <v>254</v>
      </c>
      <c r="L2037" s="8" t="s">
        <v>926</v>
      </c>
      <c r="M2037" s="8">
        <v>0</v>
      </c>
      <c r="N2037" s="8"/>
    </row>
    <row r="2038" spans="6:14" x14ac:dyDescent="0.35">
      <c r="F2038" s="1"/>
      <c r="K2038" s="8" t="s">
        <v>254</v>
      </c>
      <c r="L2038" s="8" t="s">
        <v>927</v>
      </c>
      <c r="M2038" s="8">
        <v>0</v>
      </c>
      <c r="N2038" s="8"/>
    </row>
    <row r="2039" spans="6:14" x14ac:dyDescent="0.35">
      <c r="F2039" s="1"/>
      <c r="K2039" s="8" t="s">
        <v>254</v>
      </c>
      <c r="L2039" s="8" t="s">
        <v>928</v>
      </c>
      <c r="M2039" s="8">
        <v>0</v>
      </c>
      <c r="N2039" s="8"/>
    </row>
    <row r="2040" spans="6:14" x14ac:dyDescent="0.35">
      <c r="F2040" s="1"/>
      <c r="K2040" s="8" t="s">
        <v>254</v>
      </c>
      <c r="L2040" s="8" t="s">
        <v>491</v>
      </c>
      <c r="M2040" s="8">
        <v>0</v>
      </c>
      <c r="N2040" s="8"/>
    </row>
    <row r="2041" spans="6:14" x14ac:dyDescent="0.35">
      <c r="F2041" s="1"/>
      <c r="K2041" s="8" t="s">
        <v>254</v>
      </c>
      <c r="L2041" s="8" t="s">
        <v>492</v>
      </c>
      <c r="M2041" s="8">
        <v>0</v>
      </c>
      <c r="N2041" s="8"/>
    </row>
    <row r="2042" spans="6:14" x14ac:dyDescent="0.35">
      <c r="F2042" s="1"/>
      <c r="K2042" s="8" t="s">
        <v>254</v>
      </c>
      <c r="L2042" s="8" t="s">
        <v>493</v>
      </c>
      <c r="M2042" s="8">
        <v>0</v>
      </c>
      <c r="N2042" s="8"/>
    </row>
    <row r="2043" spans="6:14" x14ac:dyDescent="0.35">
      <c r="F2043" s="1"/>
      <c r="K2043" s="8" t="s">
        <v>255</v>
      </c>
      <c r="L2043" s="8" t="s">
        <v>354</v>
      </c>
      <c r="M2043" s="8">
        <v>0</v>
      </c>
      <c r="N2043" s="8"/>
    </row>
    <row r="2044" spans="6:14" x14ac:dyDescent="0.35">
      <c r="F2044" s="1"/>
      <c r="K2044" s="8" t="s">
        <v>255</v>
      </c>
      <c r="L2044" s="8" t="s">
        <v>351</v>
      </c>
      <c r="M2044" s="8">
        <v>1</v>
      </c>
      <c r="N2044" s="8"/>
    </row>
    <row r="2045" spans="6:14" x14ac:dyDescent="0.35">
      <c r="F2045" s="1"/>
      <c r="K2045" s="8" t="s">
        <v>255</v>
      </c>
      <c r="L2045" s="8" t="s">
        <v>353</v>
      </c>
      <c r="M2045" s="8">
        <v>0</v>
      </c>
      <c r="N2045" s="8"/>
    </row>
    <row r="2046" spans="6:14" x14ac:dyDescent="0.35">
      <c r="F2046" s="1"/>
      <c r="K2046" s="8" t="s">
        <v>255</v>
      </c>
      <c r="L2046" s="8" t="s">
        <v>352</v>
      </c>
      <c r="M2046" s="8">
        <v>1</v>
      </c>
      <c r="N2046" s="8"/>
    </row>
    <row r="2047" spans="6:14" x14ac:dyDescent="0.35">
      <c r="F2047" s="1"/>
      <c r="K2047" s="8" t="s">
        <v>255</v>
      </c>
      <c r="L2047" s="8" t="s">
        <v>1120</v>
      </c>
      <c r="M2047" s="8">
        <v>0</v>
      </c>
      <c r="N2047" s="8"/>
    </row>
    <row r="2048" spans="6:14" x14ac:dyDescent="0.35">
      <c r="F2048" s="1"/>
      <c r="K2048" s="8" t="s">
        <v>255</v>
      </c>
      <c r="L2048" s="8" t="s">
        <v>349</v>
      </c>
      <c r="M2048" s="8">
        <v>1</v>
      </c>
      <c r="N2048" s="8"/>
    </row>
    <row r="2049" spans="6:14" x14ac:dyDescent="0.35">
      <c r="F2049" s="1"/>
      <c r="K2049" s="8" t="s">
        <v>255</v>
      </c>
      <c r="L2049" s="8" t="s">
        <v>439</v>
      </c>
      <c r="M2049" s="8">
        <v>1</v>
      </c>
      <c r="N2049" s="8"/>
    </row>
    <row r="2050" spans="6:14" x14ac:dyDescent="0.35">
      <c r="F2050" s="1"/>
      <c r="K2050" s="8" t="s">
        <v>255</v>
      </c>
      <c r="L2050" s="8" t="s">
        <v>412</v>
      </c>
      <c r="M2050" s="8">
        <v>1</v>
      </c>
      <c r="N2050" s="8"/>
    </row>
    <row r="2051" spans="6:14" x14ac:dyDescent="0.35">
      <c r="F2051" s="1"/>
      <c r="K2051" s="8" t="s">
        <v>255</v>
      </c>
      <c r="L2051" s="8" t="s">
        <v>435</v>
      </c>
      <c r="M2051" s="8">
        <v>1</v>
      </c>
      <c r="N2051" s="8"/>
    </row>
    <row r="2052" spans="6:14" x14ac:dyDescent="0.35">
      <c r="F2052" s="1"/>
      <c r="K2052" s="8" t="s">
        <v>256</v>
      </c>
      <c r="L2052" s="8" t="s">
        <v>349</v>
      </c>
      <c r="M2052" s="8">
        <v>1</v>
      </c>
      <c r="N2052" s="8"/>
    </row>
    <row r="2053" spans="6:14" x14ac:dyDescent="0.35">
      <c r="F2053" s="1"/>
      <c r="K2053" s="8" t="s">
        <v>256</v>
      </c>
      <c r="L2053" s="8" t="s">
        <v>412</v>
      </c>
      <c r="M2053" s="8">
        <v>1</v>
      </c>
      <c r="N2053" s="8"/>
    </row>
    <row r="2054" spans="6:14" x14ac:dyDescent="0.35">
      <c r="F2054" s="1"/>
      <c r="K2054" s="8" t="s">
        <v>256</v>
      </c>
      <c r="L2054" s="8" t="s">
        <v>435</v>
      </c>
      <c r="M2054" s="8">
        <v>1</v>
      </c>
      <c r="N2054" s="8"/>
    </row>
    <row r="2055" spans="6:14" x14ac:dyDescent="0.35">
      <c r="F2055" s="1"/>
      <c r="K2055" s="8" t="s">
        <v>257</v>
      </c>
      <c r="L2055" s="8" t="s">
        <v>706</v>
      </c>
      <c r="M2055" s="8">
        <v>1</v>
      </c>
      <c r="N2055" s="8" t="s">
        <v>476</v>
      </c>
    </row>
    <row r="2056" spans="6:14" x14ac:dyDescent="0.35">
      <c r="F2056" s="1"/>
      <c r="K2056" s="8" t="s">
        <v>257</v>
      </c>
      <c r="L2056" s="8" t="s">
        <v>409</v>
      </c>
      <c r="M2056" s="8">
        <v>1</v>
      </c>
      <c r="N2056" s="8"/>
    </row>
    <row r="2057" spans="6:14" x14ac:dyDescent="0.35">
      <c r="F2057" s="1"/>
      <c r="K2057" s="8" t="s">
        <v>257</v>
      </c>
      <c r="L2057" s="8" t="s">
        <v>445</v>
      </c>
      <c r="M2057" s="8">
        <v>1</v>
      </c>
      <c r="N2057" s="8"/>
    </row>
    <row r="2058" spans="6:14" x14ac:dyDescent="0.35">
      <c r="F2058" s="1"/>
      <c r="K2058" s="8" t="s">
        <v>257</v>
      </c>
      <c r="L2058" s="8" t="s">
        <v>480</v>
      </c>
      <c r="M2058" s="8">
        <v>0</v>
      </c>
      <c r="N2058" s="8"/>
    </row>
    <row r="2059" spans="6:14" x14ac:dyDescent="0.35">
      <c r="F2059" s="1"/>
      <c r="K2059" s="8" t="s">
        <v>257</v>
      </c>
      <c r="L2059" s="8" t="s">
        <v>481</v>
      </c>
      <c r="M2059" s="8">
        <v>0</v>
      </c>
      <c r="N2059" s="8"/>
    </row>
    <row r="2060" spans="6:14" x14ac:dyDescent="0.35">
      <c r="F2060" s="1"/>
      <c r="K2060" s="8" t="s">
        <v>257</v>
      </c>
      <c r="L2060" s="8" t="s">
        <v>482</v>
      </c>
      <c r="M2060" s="8">
        <v>0</v>
      </c>
      <c r="N2060" s="8"/>
    </row>
    <row r="2061" spans="6:14" x14ac:dyDescent="0.35">
      <c r="F2061" s="1"/>
      <c r="K2061" s="8" t="s">
        <v>257</v>
      </c>
      <c r="L2061" s="8" t="s">
        <v>483</v>
      </c>
      <c r="M2061" s="8">
        <v>0</v>
      </c>
      <c r="N2061" s="8"/>
    </row>
    <row r="2062" spans="6:14" x14ac:dyDescent="0.35">
      <c r="F2062" s="1"/>
      <c r="K2062" s="8" t="s">
        <v>257</v>
      </c>
      <c r="L2062" s="8" t="s">
        <v>484</v>
      </c>
      <c r="M2062" s="8">
        <v>0</v>
      </c>
      <c r="N2062" s="8"/>
    </row>
    <row r="2063" spans="6:14" x14ac:dyDescent="0.35">
      <c r="F2063" s="1"/>
      <c r="K2063" s="8" t="s">
        <v>257</v>
      </c>
      <c r="L2063" s="8" t="s">
        <v>375</v>
      </c>
      <c r="M2063" s="8">
        <v>1</v>
      </c>
      <c r="N2063" s="8"/>
    </row>
    <row r="2064" spans="6:14" x14ac:dyDescent="0.35">
      <c r="F2064" s="1"/>
      <c r="K2064" s="8" t="s">
        <v>257</v>
      </c>
      <c r="L2064" s="8" t="s">
        <v>376</v>
      </c>
      <c r="M2064" s="8">
        <v>1</v>
      </c>
      <c r="N2064" s="8"/>
    </row>
    <row r="2065" spans="6:14" x14ac:dyDescent="0.35">
      <c r="F2065" s="1"/>
      <c r="K2065" s="8" t="s">
        <v>257</v>
      </c>
      <c r="L2065" s="8" t="s">
        <v>377</v>
      </c>
      <c r="M2065" s="8">
        <v>1</v>
      </c>
      <c r="N2065" s="8"/>
    </row>
    <row r="2066" spans="6:14" x14ac:dyDescent="0.35">
      <c r="F2066" s="1"/>
      <c r="K2066" s="8" t="s">
        <v>257</v>
      </c>
      <c r="L2066" s="8" t="s">
        <v>395</v>
      </c>
      <c r="M2066" s="8">
        <v>1</v>
      </c>
      <c r="N2066" s="8"/>
    </row>
    <row r="2067" spans="6:14" x14ac:dyDescent="0.35">
      <c r="F2067" s="1"/>
      <c r="K2067" s="8" t="s">
        <v>257</v>
      </c>
      <c r="L2067" s="8" t="s">
        <v>707</v>
      </c>
      <c r="M2067" s="8">
        <v>1</v>
      </c>
      <c r="N2067" s="8" t="s">
        <v>476</v>
      </c>
    </row>
    <row r="2068" spans="6:14" x14ac:dyDescent="0.35">
      <c r="F2068" s="1"/>
      <c r="K2068" s="8" t="s">
        <v>257</v>
      </c>
      <c r="L2068" s="8" t="s">
        <v>372</v>
      </c>
      <c r="M2068" s="8">
        <v>1</v>
      </c>
      <c r="N2068" s="8"/>
    </row>
    <row r="2069" spans="6:14" x14ac:dyDescent="0.35">
      <c r="F2069" s="1"/>
      <c r="K2069" s="8" t="s">
        <v>257</v>
      </c>
      <c r="L2069" s="8" t="s">
        <v>486</v>
      </c>
      <c r="M2069" s="8">
        <v>0</v>
      </c>
      <c r="N2069" s="8"/>
    </row>
    <row r="2070" spans="6:14" x14ac:dyDescent="0.35">
      <c r="F2070" s="1"/>
      <c r="K2070" s="8" t="s">
        <v>257</v>
      </c>
      <c r="L2070" s="8" t="s">
        <v>487</v>
      </c>
      <c r="M2070" s="8">
        <v>0</v>
      </c>
      <c r="N2070" s="8"/>
    </row>
    <row r="2071" spans="6:14" x14ac:dyDescent="0.35">
      <c r="F2071" s="1"/>
      <c r="K2071" s="8" t="s">
        <v>257</v>
      </c>
      <c r="L2071" s="8" t="s">
        <v>488</v>
      </c>
      <c r="M2071" s="8">
        <v>0</v>
      </c>
      <c r="N2071" s="8"/>
    </row>
    <row r="2072" spans="6:14" x14ac:dyDescent="0.35">
      <c r="F2072" s="1"/>
      <c r="K2072" s="8" t="s">
        <v>257</v>
      </c>
      <c r="L2072" s="8" t="s">
        <v>489</v>
      </c>
      <c r="M2072" s="8">
        <v>0</v>
      </c>
      <c r="N2072" s="8"/>
    </row>
    <row r="2073" spans="6:14" x14ac:dyDescent="0.35">
      <c r="F2073" s="1"/>
      <c r="K2073" s="8" t="s">
        <v>257</v>
      </c>
      <c r="L2073" s="8" t="s">
        <v>490</v>
      </c>
      <c r="M2073" s="8">
        <v>0</v>
      </c>
      <c r="N2073" s="8"/>
    </row>
    <row r="2074" spans="6:14" x14ac:dyDescent="0.35">
      <c r="F2074" s="1"/>
      <c r="K2074" s="8" t="s">
        <v>257</v>
      </c>
      <c r="L2074" s="8" t="s">
        <v>491</v>
      </c>
      <c r="M2074" s="8">
        <v>0</v>
      </c>
      <c r="N2074" s="8"/>
    </row>
    <row r="2075" spans="6:14" x14ac:dyDescent="0.35">
      <c r="F2075" s="1"/>
      <c r="K2075" s="8" t="s">
        <v>257</v>
      </c>
      <c r="L2075" s="8" t="s">
        <v>492</v>
      </c>
      <c r="M2075" s="8">
        <v>0</v>
      </c>
      <c r="N2075" s="8"/>
    </row>
    <row r="2076" spans="6:14" x14ac:dyDescent="0.35">
      <c r="F2076" s="1"/>
      <c r="K2076" s="8" t="s">
        <v>257</v>
      </c>
      <c r="L2076" s="8" t="s">
        <v>493</v>
      </c>
      <c r="M2076" s="8">
        <v>0</v>
      </c>
      <c r="N2076" s="8"/>
    </row>
    <row r="2077" spans="6:14" x14ac:dyDescent="0.35">
      <c r="F2077" s="1"/>
      <c r="K2077" s="8" t="s">
        <v>258</v>
      </c>
      <c r="L2077" s="8" t="s">
        <v>929</v>
      </c>
      <c r="M2077" s="8">
        <v>1</v>
      </c>
      <c r="N2077" s="8" t="s">
        <v>517</v>
      </c>
    </row>
    <row r="2078" spans="6:14" x14ac:dyDescent="0.35">
      <c r="F2078" s="1"/>
      <c r="K2078" s="8" t="s">
        <v>258</v>
      </c>
      <c r="L2078" s="8" t="s">
        <v>446</v>
      </c>
      <c r="M2078" s="8">
        <v>1</v>
      </c>
      <c r="N2078" s="8"/>
    </row>
    <row r="2079" spans="6:14" x14ac:dyDescent="0.35">
      <c r="F2079" s="1"/>
      <c r="K2079" s="8" t="s">
        <v>258</v>
      </c>
      <c r="L2079" s="8" t="s">
        <v>447</v>
      </c>
      <c r="M2079" s="8">
        <v>1</v>
      </c>
      <c r="N2079" s="8"/>
    </row>
    <row r="2080" spans="6:14" x14ac:dyDescent="0.35">
      <c r="F2080" s="1"/>
      <c r="K2080" s="8" t="s">
        <v>258</v>
      </c>
      <c r="L2080" s="8" t="s">
        <v>930</v>
      </c>
      <c r="M2080" s="8">
        <v>1</v>
      </c>
      <c r="N2080" s="8" t="s">
        <v>931</v>
      </c>
    </row>
    <row r="2081" spans="6:14" x14ac:dyDescent="0.35">
      <c r="F2081" s="1"/>
      <c r="K2081" s="8" t="s">
        <v>258</v>
      </c>
      <c r="L2081" s="8" t="s">
        <v>480</v>
      </c>
      <c r="M2081" s="8">
        <v>0</v>
      </c>
      <c r="N2081" s="8"/>
    </row>
    <row r="2082" spans="6:14" x14ac:dyDescent="0.35">
      <c r="F2082" s="1"/>
      <c r="K2082" s="8" t="s">
        <v>258</v>
      </c>
      <c r="L2082" s="8" t="s">
        <v>481</v>
      </c>
      <c r="M2082" s="8">
        <v>0</v>
      </c>
      <c r="N2082" s="8"/>
    </row>
    <row r="2083" spans="6:14" x14ac:dyDescent="0.35">
      <c r="F2083" s="1"/>
      <c r="K2083" s="8" t="s">
        <v>258</v>
      </c>
      <c r="L2083" s="8" t="s">
        <v>482</v>
      </c>
      <c r="M2083" s="8">
        <v>0</v>
      </c>
      <c r="N2083" s="8"/>
    </row>
    <row r="2084" spans="6:14" x14ac:dyDescent="0.35">
      <c r="F2084" s="1"/>
      <c r="K2084" s="8" t="s">
        <v>258</v>
      </c>
      <c r="L2084" s="8" t="s">
        <v>483</v>
      </c>
      <c r="M2084" s="8">
        <v>0</v>
      </c>
      <c r="N2084" s="8"/>
    </row>
    <row r="2085" spans="6:14" x14ac:dyDescent="0.35">
      <c r="F2085" s="1"/>
      <c r="K2085" s="8" t="s">
        <v>258</v>
      </c>
      <c r="L2085" s="8" t="s">
        <v>484</v>
      </c>
      <c r="M2085" s="8">
        <v>0</v>
      </c>
      <c r="N2085" s="8"/>
    </row>
    <row r="2086" spans="6:14" x14ac:dyDescent="0.35">
      <c r="F2086" s="1"/>
      <c r="K2086" s="8" t="s">
        <v>258</v>
      </c>
      <c r="L2086" s="8" t="s">
        <v>932</v>
      </c>
      <c r="M2086" s="8">
        <v>1</v>
      </c>
      <c r="N2086" s="8" t="s">
        <v>476</v>
      </c>
    </row>
    <row r="2087" spans="6:14" x14ac:dyDescent="0.35">
      <c r="F2087" s="1"/>
      <c r="K2087" s="8" t="s">
        <v>258</v>
      </c>
      <c r="L2087" s="8" t="s">
        <v>933</v>
      </c>
      <c r="M2087" s="8">
        <v>1</v>
      </c>
      <c r="N2087" s="8" t="s">
        <v>476</v>
      </c>
    </row>
    <row r="2088" spans="6:14" x14ac:dyDescent="0.35">
      <c r="F2088" s="1"/>
      <c r="K2088" s="8" t="s">
        <v>258</v>
      </c>
      <c r="L2088" s="8" t="s">
        <v>412</v>
      </c>
      <c r="M2088" s="8">
        <v>1</v>
      </c>
      <c r="N2088" s="8"/>
    </row>
    <row r="2089" spans="6:14" x14ac:dyDescent="0.35">
      <c r="F2089" s="1"/>
      <c r="K2089" s="8" t="s">
        <v>258</v>
      </c>
      <c r="L2089" s="8" t="s">
        <v>435</v>
      </c>
      <c r="M2089" s="8">
        <v>1</v>
      </c>
      <c r="N2089" s="8"/>
    </row>
    <row r="2090" spans="6:14" x14ac:dyDescent="0.35">
      <c r="F2090" s="1"/>
      <c r="K2090" s="8" t="s">
        <v>258</v>
      </c>
      <c r="L2090" s="8" t="s">
        <v>934</v>
      </c>
      <c r="M2090" s="8">
        <v>0</v>
      </c>
      <c r="N2090" s="8"/>
    </row>
    <row r="2091" spans="6:14" x14ac:dyDescent="0.35">
      <c r="F2091" s="1"/>
      <c r="K2091" s="8" t="s">
        <v>258</v>
      </c>
      <c r="L2091" s="8" t="s">
        <v>935</v>
      </c>
      <c r="M2091" s="8">
        <v>0</v>
      </c>
      <c r="N2091" s="8"/>
    </row>
    <row r="2092" spans="6:14" x14ac:dyDescent="0.35">
      <c r="F2092" s="1"/>
      <c r="K2092" s="8" t="s">
        <v>258</v>
      </c>
      <c r="L2092" s="8" t="s">
        <v>936</v>
      </c>
      <c r="M2092" s="8">
        <v>0</v>
      </c>
      <c r="N2092" s="8"/>
    </row>
    <row r="2093" spans="6:14" x14ac:dyDescent="0.35">
      <c r="F2093" s="1"/>
      <c r="K2093" s="8" t="s">
        <v>258</v>
      </c>
      <c r="L2093" s="8" t="s">
        <v>937</v>
      </c>
      <c r="M2093" s="8">
        <v>0</v>
      </c>
      <c r="N2093" s="8"/>
    </row>
    <row r="2094" spans="6:14" x14ac:dyDescent="0.35">
      <c r="F2094" s="1"/>
      <c r="K2094" s="8" t="s">
        <v>258</v>
      </c>
      <c r="L2094" s="8" t="s">
        <v>938</v>
      </c>
      <c r="M2094" s="8">
        <v>0</v>
      </c>
      <c r="N2094" s="8"/>
    </row>
    <row r="2095" spans="6:14" x14ac:dyDescent="0.35">
      <c r="F2095" s="1"/>
      <c r="K2095" s="8" t="s">
        <v>258</v>
      </c>
      <c r="L2095" s="8" t="s">
        <v>486</v>
      </c>
      <c r="M2095" s="8">
        <v>0</v>
      </c>
      <c r="N2095" s="8"/>
    </row>
    <row r="2096" spans="6:14" x14ac:dyDescent="0.35">
      <c r="F2096" s="1"/>
      <c r="K2096" s="8" t="s">
        <v>258</v>
      </c>
      <c r="L2096" s="8" t="s">
        <v>487</v>
      </c>
      <c r="M2096" s="8">
        <v>0</v>
      </c>
      <c r="N2096" s="8"/>
    </row>
    <row r="2097" spans="6:14" x14ac:dyDescent="0.35">
      <c r="F2097" s="1"/>
      <c r="K2097" s="8" t="s">
        <v>258</v>
      </c>
      <c r="L2097" s="8" t="s">
        <v>488</v>
      </c>
      <c r="M2097" s="8">
        <v>0</v>
      </c>
      <c r="N2097" s="8"/>
    </row>
    <row r="2098" spans="6:14" x14ac:dyDescent="0.35">
      <c r="F2098" s="1"/>
      <c r="K2098" s="8" t="s">
        <v>258</v>
      </c>
      <c r="L2098" s="8" t="s">
        <v>489</v>
      </c>
      <c r="M2098" s="8">
        <v>0</v>
      </c>
      <c r="N2098" s="8"/>
    </row>
    <row r="2099" spans="6:14" x14ac:dyDescent="0.35">
      <c r="F2099" s="1"/>
      <c r="K2099" s="8" t="s">
        <v>258</v>
      </c>
      <c r="L2099" s="8" t="s">
        <v>490</v>
      </c>
      <c r="M2099" s="8">
        <v>0</v>
      </c>
      <c r="N2099" s="8"/>
    </row>
    <row r="2100" spans="6:14" x14ac:dyDescent="0.35">
      <c r="F2100" s="1"/>
      <c r="K2100" s="8" t="s">
        <v>258</v>
      </c>
      <c r="L2100" s="8" t="s">
        <v>939</v>
      </c>
      <c r="M2100" s="8">
        <v>1</v>
      </c>
      <c r="N2100" s="8" t="s">
        <v>940</v>
      </c>
    </row>
    <row r="2101" spans="6:14" x14ac:dyDescent="0.35">
      <c r="F2101" s="1"/>
      <c r="K2101" s="8" t="s">
        <v>258</v>
      </c>
      <c r="L2101" s="8" t="s">
        <v>941</v>
      </c>
      <c r="M2101" s="8">
        <v>1</v>
      </c>
      <c r="N2101" s="8" t="s">
        <v>476</v>
      </c>
    </row>
    <row r="2102" spans="6:14" x14ac:dyDescent="0.35">
      <c r="F2102" s="1"/>
      <c r="K2102" s="8" t="s">
        <v>258</v>
      </c>
      <c r="L2102" s="8" t="s">
        <v>942</v>
      </c>
      <c r="M2102" s="8">
        <v>1</v>
      </c>
      <c r="N2102" s="8" t="s">
        <v>773</v>
      </c>
    </row>
    <row r="2103" spans="6:14" x14ac:dyDescent="0.35">
      <c r="F2103" s="1"/>
      <c r="K2103" s="8" t="s">
        <v>258</v>
      </c>
      <c r="L2103" s="8" t="s">
        <v>491</v>
      </c>
      <c r="M2103" s="8">
        <v>0</v>
      </c>
      <c r="N2103" s="8"/>
    </row>
    <row r="2104" spans="6:14" x14ac:dyDescent="0.35">
      <c r="F2104" s="1"/>
      <c r="K2104" s="8" t="s">
        <v>258</v>
      </c>
      <c r="L2104" s="8" t="s">
        <v>492</v>
      </c>
      <c r="M2104" s="8">
        <v>0</v>
      </c>
      <c r="N2104" s="8"/>
    </row>
    <row r="2105" spans="6:14" x14ac:dyDescent="0.35">
      <c r="F2105" s="1"/>
      <c r="K2105" s="8" t="s">
        <v>258</v>
      </c>
      <c r="L2105" s="8" t="s">
        <v>493</v>
      </c>
      <c r="M2105" s="8">
        <v>0</v>
      </c>
      <c r="N2105" s="8"/>
    </row>
    <row r="2106" spans="6:14" x14ac:dyDescent="0.35">
      <c r="F2106" s="1"/>
      <c r="K2106" s="8" t="s">
        <v>259</v>
      </c>
      <c r="L2106" s="8" t="s">
        <v>448</v>
      </c>
      <c r="M2106" s="8">
        <v>1</v>
      </c>
      <c r="N2106" s="8"/>
    </row>
    <row r="2107" spans="6:14" x14ac:dyDescent="0.35">
      <c r="F2107" s="1"/>
      <c r="K2107" s="8" t="s">
        <v>259</v>
      </c>
      <c r="L2107" s="8" t="s">
        <v>449</v>
      </c>
      <c r="M2107" s="8">
        <v>1</v>
      </c>
      <c r="N2107" s="8"/>
    </row>
    <row r="2108" spans="6:14" x14ac:dyDescent="0.35">
      <c r="F2108" s="1"/>
      <c r="K2108" s="8" t="s">
        <v>259</v>
      </c>
      <c r="L2108" s="8" t="s">
        <v>410</v>
      </c>
      <c r="M2108" s="8">
        <v>1</v>
      </c>
      <c r="N2108" s="8"/>
    </row>
    <row r="2109" spans="6:14" x14ac:dyDescent="0.35">
      <c r="F2109" s="1"/>
      <c r="K2109" s="8" t="s">
        <v>259</v>
      </c>
      <c r="L2109" s="8" t="s">
        <v>411</v>
      </c>
      <c r="M2109" s="8">
        <v>1</v>
      </c>
      <c r="N2109" s="8"/>
    </row>
    <row r="2110" spans="6:14" x14ac:dyDescent="0.35">
      <c r="F2110" s="1"/>
      <c r="K2110" s="8" t="s">
        <v>260</v>
      </c>
      <c r="L2110" s="8" t="s">
        <v>365</v>
      </c>
      <c r="M2110" s="8">
        <v>1</v>
      </c>
      <c r="N2110" s="8"/>
    </row>
    <row r="2111" spans="6:14" x14ac:dyDescent="0.35">
      <c r="F2111" s="1"/>
      <c r="K2111" s="8" t="s">
        <v>260</v>
      </c>
      <c r="L2111" s="8" t="s">
        <v>364</v>
      </c>
      <c r="M2111" s="8">
        <v>1</v>
      </c>
      <c r="N2111" s="8"/>
    </row>
    <row r="2112" spans="6:14" x14ac:dyDescent="0.35">
      <c r="F2112" s="1"/>
      <c r="K2112" s="8" t="s">
        <v>260</v>
      </c>
      <c r="L2112" s="8" t="s">
        <v>363</v>
      </c>
      <c r="M2112" s="8">
        <v>1</v>
      </c>
      <c r="N2112" s="8"/>
    </row>
    <row r="2113" spans="6:14" x14ac:dyDescent="0.35">
      <c r="F2113" s="1"/>
      <c r="K2113" s="8" t="s">
        <v>260</v>
      </c>
      <c r="L2113" s="8" t="s">
        <v>362</v>
      </c>
      <c r="M2113" s="8">
        <v>1</v>
      </c>
      <c r="N2113" s="8"/>
    </row>
    <row r="2114" spans="6:14" x14ac:dyDescent="0.35">
      <c r="F2114" s="1"/>
      <c r="K2114" s="8" t="s">
        <v>260</v>
      </c>
      <c r="L2114" s="8" t="s">
        <v>1313</v>
      </c>
      <c r="M2114" s="8">
        <v>1</v>
      </c>
      <c r="N2114" s="8" t="s">
        <v>517</v>
      </c>
    </row>
    <row r="2115" spans="6:14" x14ac:dyDescent="0.35">
      <c r="F2115" s="1"/>
      <c r="K2115" s="8" t="s">
        <v>260</v>
      </c>
      <c r="L2115" s="8" t="s">
        <v>358</v>
      </c>
      <c r="M2115" s="8">
        <v>1</v>
      </c>
      <c r="N2115" s="8"/>
    </row>
    <row r="2116" spans="6:14" x14ac:dyDescent="0.35">
      <c r="F2116" s="1"/>
      <c r="K2116" s="8" t="s">
        <v>260</v>
      </c>
      <c r="L2116" s="8" t="s">
        <v>1314</v>
      </c>
      <c r="M2116" s="8">
        <v>1</v>
      </c>
      <c r="N2116" s="8" t="s">
        <v>476</v>
      </c>
    </row>
    <row r="2117" spans="6:14" x14ac:dyDescent="0.35">
      <c r="F2117" s="1"/>
      <c r="K2117" s="8" t="s">
        <v>260</v>
      </c>
      <c r="L2117" s="8" t="s">
        <v>1315</v>
      </c>
      <c r="M2117" s="8">
        <v>1</v>
      </c>
      <c r="N2117" s="8" t="s">
        <v>476</v>
      </c>
    </row>
    <row r="2118" spans="6:14" x14ac:dyDescent="0.35">
      <c r="F2118" s="1"/>
      <c r="K2118" s="8" t="s">
        <v>260</v>
      </c>
      <c r="L2118" s="8" t="s">
        <v>357</v>
      </c>
      <c r="M2118" s="8">
        <v>1</v>
      </c>
      <c r="N2118" s="8"/>
    </row>
    <row r="2119" spans="6:14" x14ac:dyDescent="0.35">
      <c r="F2119" s="1"/>
      <c r="K2119" s="8" t="s">
        <v>260</v>
      </c>
      <c r="L2119" s="8" t="s">
        <v>1316</v>
      </c>
      <c r="M2119" s="8">
        <v>0</v>
      </c>
      <c r="N2119" s="8"/>
    </row>
    <row r="2120" spans="6:14" x14ac:dyDescent="0.35">
      <c r="F2120" s="1"/>
      <c r="K2120" s="8" t="s">
        <v>260</v>
      </c>
      <c r="L2120" s="8" t="s">
        <v>1317</v>
      </c>
      <c r="M2120" s="8">
        <v>1</v>
      </c>
      <c r="N2120" s="8" t="s">
        <v>476</v>
      </c>
    </row>
    <row r="2121" spans="6:14" x14ac:dyDescent="0.35">
      <c r="F2121" s="1"/>
      <c r="K2121" s="8" t="s">
        <v>260</v>
      </c>
      <c r="L2121" s="8" t="s">
        <v>450</v>
      </c>
      <c r="M2121" s="8">
        <v>1</v>
      </c>
      <c r="N2121" s="8"/>
    </row>
    <row r="2122" spans="6:14" x14ac:dyDescent="0.35">
      <c r="F2122" s="1"/>
      <c r="K2122" s="8" t="s">
        <v>260</v>
      </c>
      <c r="L2122" s="8" t="s">
        <v>930</v>
      </c>
      <c r="M2122" s="8">
        <v>1</v>
      </c>
      <c r="N2122" s="8" t="s">
        <v>931</v>
      </c>
    </row>
    <row r="2123" spans="6:14" x14ac:dyDescent="0.35">
      <c r="F2123" s="1"/>
      <c r="K2123" s="8" t="s">
        <v>260</v>
      </c>
      <c r="L2123" s="8" t="s">
        <v>356</v>
      </c>
      <c r="M2123" s="8">
        <v>1</v>
      </c>
      <c r="N2123" s="8"/>
    </row>
    <row r="2124" spans="6:14" x14ac:dyDescent="0.35">
      <c r="F2124" s="1"/>
      <c r="K2124" s="8" t="s">
        <v>260</v>
      </c>
      <c r="L2124" s="8" t="s">
        <v>480</v>
      </c>
      <c r="M2124" s="8">
        <v>0</v>
      </c>
      <c r="N2124" s="8"/>
    </row>
    <row r="2125" spans="6:14" x14ac:dyDescent="0.35">
      <c r="F2125" s="1"/>
      <c r="K2125" s="8" t="s">
        <v>260</v>
      </c>
      <c r="L2125" s="8" t="s">
        <v>481</v>
      </c>
      <c r="M2125" s="8">
        <v>0</v>
      </c>
      <c r="N2125" s="8"/>
    </row>
    <row r="2126" spans="6:14" x14ac:dyDescent="0.35">
      <c r="F2126" s="1"/>
      <c r="K2126" s="8" t="s">
        <v>260</v>
      </c>
      <c r="L2126" s="8" t="s">
        <v>482</v>
      </c>
      <c r="M2126" s="8">
        <v>0</v>
      </c>
      <c r="N2126" s="8"/>
    </row>
    <row r="2127" spans="6:14" x14ac:dyDescent="0.35">
      <c r="F2127" s="1"/>
      <c r="K2127" s="8" t="s">
        <v>260</v>
      </c>
      <c r="L2127" s="8" t="s">
        <v>483</v>
      </c>
      <c r="M2127" s="8">
        <v>0</v>
      </c>
      <c r="N2127" s="8"/>
    </row>
    <row r="2128" spans="6:14" x14ac:dyDescent="0.35">
      <c r="F2128" s="1"/>
      <c r="K2128" s="8" t="s">
        <v>260</v>
      </c>
      <c r="L2128" s="8" t="s">
        <v>484</v>
      </c>
      <c r="M2128" s="8">
        <v>0</v>
      </c>
      <c r="N2128" s="8"/>
    </row>
    <row r="2129" spans="6:14" x14ac:dyDescent="0.35">
      <c r="F2129" s="1"/>
      <c r="K2129" s="8" t="s">
        <v>260</v>
      </c>
      <c r="L2129" s="8" t="s">
        <v>452</v>
      </c>
      <c r="M2129" s="8">
        <v>1</v>
      </c>
      <c r="N2129" s="8" t="s">
        <v>1006</v>
      </c>
    </row>
    <row r="2130" spans="6:14" x14ac:dyDescent="0.35">
      <c r="F2130" s="1"/>
      <c r="K2130" s="8" t="s">
        <v>260</v>
      </c>
      <c r="L2130" s="8" t="s">
        <v>355</v>
      </c>
      <c r="M2130" s="8">
        <v>1</v>
      </c>
      <c r="N2130" s="8"/>
    </row>
    <row r="2131" spans="6:14" x14ac:dyDescent="0.35">
      <c r="F2131" s="1"/>
      <c r="K2131" s="8" t="s">
        <v>260</v>
      </c>
      <c r="L2131" s="8" t="s">
        <v>451</v>
      </c>
      <c r="M2131" s="8">
        <v>1</v>
      </c>
      <c r="N2131" s="8" t="s">
        <v>476</v>
      </c>
    </row>
    <row r="2132" spans="6:14" x14ac:dyDescent="0.35">
      <c r="F2132" s="1"/>
      <c r="K2132" s="8" t="s">
        <v>260</v>
      </c>
      <c r="L2132" s="8" t="s">
        <v>1318</v>
      </c>
      <c r="M2132" s="8">
        <v>1</v>
      </c>
      <c r="N2132" s="8" t="s">
        <v>476</v>
      </c>
    </row>
    <row r="2133" spans="6:14" x14ac:dyDescent="0.35">
      <c r="F2133" s="1"/>
      <c r="K2133" s="8" t="s">
        <v>260</v>
      </c>
      <c r="L2133" s="8" t="s">
        <v>1319</v>
      </c>
      <c r="M2133" s="8">
        <v>1</v>
      </c>
      <c r="N2133" s="8" t="s">
        <v>476</v>
      </c>
    </row>
    <row r="2134" spans="6:14" x14ac:dyDescent="0.35">
      <c r="F2134" s="1"/>
      <c r="K2134" s="8" t="s">
        <v>260</v>
      </c>
      <c r="L2134" s="8" t="s">
        <v>1320</v>
      </c>
      <c r="M2134" s="8">
        <v>1</v>
      </c>
      <c r="N2134" s="8" t="s">
        <v>476</v>
      </c>
    </row>
    <row r="2135" spans="6:14" x14ac:dyDescent="0.35">
      <c r="F2135" s="1"/>
      <c r="K2135" s="8" t="s">
        <v>260</v>
      </c>
      <c r="L2135" s="8" t="s">
        <v>486</v>
      </c>
      <c r="M2135" s="8">
        <v>0</v>
      </c>
      <c r="N2135" s="8"/>
    </row>
    <row r="2136" spans="6:14" x14ac:dyDescent="0.35">
      <c r="F2136" s="1"/>
      <c r="K2136" s="8" t="s">
        <v>260</v>
      </c>
      <c r="L2136" s="8" t="s">
        <v>487</v>
      </c>
      <c r="M2136" s="8">
        <v>0</v>
      </c>
      <c r="N2136" s="8"/>
    </row>
    <row r="2137" spans="6:14" x14ac:dyDescent="0.35">
      <c r="F2137" s="1"/>
      <c r="K2137" s="8" t="s">
        <v>260</v>
      </c>
      <c r="L2137" s="8" t="s">
        <v>488</v>
      </c>
      <c r="M2137" s="8">
        <v>0</v>
      </c>
      <c r="N2137" s="8"/>
    </row>
    <row r="2138" spans="6:14" x14ac:dyDescent="0.35">
      <c r="F2138" s="1"/>
      <c r="K2138" s="8" t="s">
        <v>260</v>
      </c>
      <c r="L2138" s="8" t="s">
        <v>489</v>
      </c>
      <c r="M2138" s="8">
        <v>0</v>
      </c>
      <c r="N2138" s="8"/>
    </row>
    <row r="2139" spans="6:14" x14ac:dyDescent="0.35">
      <c r="F2139" s="1"/>
      <c r="K2139" s="8" t="s">
        <v>260</v>
      </c>
      <c r="L2139" s="8" t="s">
        <v>490</v>
      </c>
      <c r="M2139" s="8">
        <v>0</v>
      </c>
      <c r="N2139" s="8"/>
    </row>
    <row r="2140" spans="6:14" x14ac:dyDescent="0.35">
      <c r="F2140" s="1"/>
      <c r="K2140" s="8" t="s">
        <v>260</v>
      </c>
      <c r="L2140" s="8" t="s">
        <v>1321</v>
      </c>
      <c r="M2140" s="8">
        <v>1</v>
      </c>
      <c r="N2140" s="8" t="s">
        <v>940</v>
      </c>
    </row>
    <row r="2141" spans="6:14" x14ac:dyDescent="0.35">
      <c r="F2141" s="1"/>
      <c r="K2141" s="8" t="s">
        <v>260</v>
      </c>
      <c r="L2141" s="8" t="s">
        <v>491</v>
      </c>
      <c r="M2141" s="8">
        <v>0</v>
      </c>
      <c r="N2141" s="8"/>
    </row>
    <row r="2142" spans="6:14" x14ac:dyDescent="0.35">
      <c r="F2142" s="1"/>
      <c r="K2142" s="8" t="s">
        <v>260</v>
      </c>
      <c r="L2142" s="8" t="s">
        <v>492</v>
      </c>
      <c r="M2142" s="8">
        <v>0</v>
      </c>
      <c r="N2142" s="8"/>
    </row>
    <row r="2143" spans="6:14" x14ac:dyDescent="0.35">
      <c r="F2143" s="1"/>
      <c r="K2143" s="8" t="s">
        <v>260</v>
      </c>
      <c r="L2143" s="8" t="s">
        <v>493</v>
      </c>
      <c r="M2143" s="8">
        <v>0</v>
      </c>
      <c r="N2143" s="8"/>
    </row>
    <row r="2144" spans="6:14" x14ac:dyDescent="0.35">
      <c r="F2144" s="1"/>
      <c r="K2144" s="8" t="s">
        <v>261</v>
      </c>
      <c r="L2144" s="8" t="s">
        <v>368</v>
      </c>
      <c r="M2144" s="8">
        <v>1</v>
      </c>
      <c r="N2144" s="8"/>
    </row>
    <row r="2145" spans="6:14" x14ac:dyDescent="0.35">
      <c r="F2145" s="1"/>
      <c r="K2145" s="8" t="s">
        <v>261</v>
      </c>
      <c r="L2145" s="8" t="s">
        <v>367</v>
      </c>
      <c r="M2145" s="8">
        <v>1</v>
      </c>
      <c r="N2145" s="8"/>
    </row>
    <row r="2146" spans="6:14" x14ac:dyDescent="0.35">
      <c r="F2146" s="1"/>
      <c r="K2146" s="8" t="s">
        <v>261</v>
      </c>
      <c r="L2146" s="8" t="s">
        <v>366</v>
      </c>
      <c r="M2146" s="8">
        <v>1</v>
      </c>
      <c r="N2146" s="8"/>
    </row>
    <row r="2147" spans="6:14" x14ac:dyDescent="0.35">
      <c r="F2147" s="1"/>
      <c r="K2147" s="8" t="s">
        <v>261</v>
      </c>
      <c r="L2147" s="8" t="s">
        <v>362</v>
      </c>
      <c r="M2147" s="8">
        <v>1</v>
      </c>
      <c r="N2147" s="8"/>
    </row>
    <row r="2148" spans="6:14" x14ac:dyDescent="0.35">
      <c r="F2148" s="1"/>
      <c r="K2148" s="8" t="s">
        <v>261</v>
      </c>
      <c r="L2148" s="8" t="s">
        <v>1473</v>
      </c>
      <c r="M2148" s="8">
        <v>1</v>
      </c>
      <c r="N2148" s="8" t="s">
        <v>517</v>
      </c>
    </row>
    <row r="2149" spans="6:14" x14ac:dyDescent="0.35">
      <c r="F2149" s="1"/>
      <c r="K2149" s="8" t="s">
        <v>261</v>
      </c>
      <c r="L2149" s="8" t="s">
        <v>361</v>
      </c>
      <c r="M2149" s="8">
        <v>1</v>
      </c>
      <c r="N2149" s="8"/>
    </row>
    <row r="2150" spans="6:14" x14ac:dyDescent="0.35">
      <c r="F2150" s="1"/>
      <c r="K2150" s="8" t="s">
        <v>261</v>
      </c>
      <c r="L2150" s="8" t="s">
        <v>1474</v>
      </c>
      <c r="M2150" s="8">
        <v>1</v>
      </c>
      <c r="N2150" s="8" t="s">
        <v>476</v>
      </c>
    </row>
    <row r="2151" spans="6:14" x14ac:dyDescent="0.35">
      <c r="F2151" s="1"/>
      <c r="K2151" s="8" t="s">
        <v>261</v>
      </c>
      <c r="L2151" s="8" t="s">
        <v>1475</v>
      </c>
      <c r="M2151" s="8">
        <v>1</v>
      </c>
      <c r="N2151" s="8" t="s">
        <v>476</v>
      </c>
    </row>
    <row r="2152" spans="6:14" x14ac:dyDescent="0.35">
      <c r="F2152" s="1"/>
      <c r="K2152" s="8" t="s">
        <v>261</v>
      </c>
      <c r="L2152" s="8" t="s">
        <v>360</v>
      </c>
      <c r="M2152" s="8">
        <v>1</v>
      </c>
      <c r="N2152" s="8"/>
    </row>
    <row r="2153" spans="6:14" x14ac:dyDescent="0.35">
      <c r="F2153" s="1"/>
      <c r="K2153" s="8" t="s">
        <v>261</v>
      </c>
      <c r="L2153" s="8" t="s">
        <v>1476</v>
      </c>
      <c r="M2153" s="8">
        <v>0</v>
      </c>
      <c r="N2153" s="8"/>
    </row>
    <row r="2154" spans="6:14" x14ac:dyDescent="0.35">
      <c r="F2154" s="1"/>
      <c r="K2154" s="8" t="s">
        <v>261</v>
      </c>
      <c r="L2154" s="8" t="s">
        <v>1477</v>
      </c>
      <c r="M2154" s="8">
        <v>1</v>
      </c>
      <c r="N2154" s="8" t="s">
        <v>476</v>
      </c>
    </row>
    <row r="2155" spans="6:14" x14ac:dyDescent="0.35">
      <c r="F2155" s="1"/>
      <c r="K2155" s="8" t="s">
        <v>261</v>
      </c>
      <c r="L2155" s="8" t="s">
        <v>453</v>
      </c>
      <c r="M2155" s="8">
        <v>1</v>
      </c>
      <c r="N2155" s="8"/>
    </row>
    <row r="2156" spans="6:14" x14ac:dyDescent="0.35">
      <c r="F2156" s="1"/>
      <c r="K2156" s="8" t="s">
        <v>261</v>
      </c>
      <c r="L2156" s="8" t="s">
        <v>359</v>
      </c>
      <c r="M2156" s="8">
        <v>1</v>
      </c>
      <c r="N2156" s="8"/>
    </row>
    <row r="2157" spans="6:14" x14ac:dyDescent="0.35">
      <c r="F2157" s="1"/>
      <c r="K2157" s="8" t="s">
        <v>261</v>
      </c>
      <c r="L2157" s="8" t="s">
        <v>1350</v>
      </c>
      <c r="M2157" s="8">
        <v>0</v>
      </c>
      <c r="N2157" s="8"/>
    </row>
    <row r="2158" spans="6:14" x14ac:dyDescent="0.35">
      <c r="F2158" s="1"/>
      <c r="K2158" s="8" t="s">
        <v>261</v>
      </c>
      <c r="L2158" s="8" t="s">
        <v>1351</v>
      </c>
      <c r="M2158" s="8">
        <v>0</v>
      </c>
      <c r="N2158" s="8"/>
    </row>
    <row r="2159" spans="6:14" x14ac:dyDescent="0.35">
      <c r="F2159" s="1"/>
      <c r="K2159" s="8" t="s">
        <v>261</v>
      </c>
      <c r="L2159" s="8" t="s">
        <v>1352</v>
      </c>
      <c r="M2159" s="8">
        <v>0</v>
      </c>
      <c r="N2159" s="8"/>
    </row>
    <row r="2160" spans="6:14" x14ac:dyDescent="0.35">
      <c r="F2160" s="1"/>
      <c r="K2160" s="8" t="s">
        <v>261</v>
      </c>
      <c r="L2160" s="8" t="s">
        <v>1353</v>
      </c>
      <c r="M2160" s="8">
        <v>0</v>
      </c>
      <c r="N2160" s="8"/>
    </row>
    <row r="2161" spans="6:14" x14ac:dyDescent="0.35">
      <c r="F2161" s="1"/>
      <c r="K2161" s="8" t="s">
        <v>261</v>
      </c>
      <c r="L2161" s="8" t="s">
        <v>1354</v>
      </c>
      <c r="M2161" s="8">
        <v>0</v>
      </c>
      <c r="N2161" s="8"/>
    </row>
    <row r="2162" spans="6:14" x14ac:dyDescent="0.35">
      <c r="F2162" s="1"/>
      <c r="K2162" s="8" t="s">
        <v>261</v>
      </c>
      <c r="L2162" s="8" t="s">
        <v>455</v>
      </c>
      <c r="M2162" s="8">
        <v>1</v>
      </c>
      <c r="N2162" s="8" t="s">
        <v>1006</v>
      </c>
    </row>
    <row r="2163" spans="6:14" x14ac:dyDescent="0.35">
      <c r="F2163" s="1"/>
      <c r="K2163" s="8" t="s">
        <v>261</v>
      </c>
      <c r="L2163" s="8" t="s">
        <v>355</v>
      </c>
      <c r="M2163" s="8">
        <v>1</v>
      </c>
      <c r="N2163" s="8"/>
    </row>
    <row r="2164" spans="6:14" x14ac:dyDescent="0.35">
      <c r="F2164" s="1"/>
      <c r="K2164" s="8" t="s">
        <v>261</v>
      </c>
      <c r="L2164" s="8" t="s">
        <v>1478</v>
      </c>
      <c r="M2164" s="8">
        <v>1</v>
      </c>
      <c r="N2164" s="8" t="s">
        <v>476</v>
      </c>
    </row>
    <row r="2165" spans="6:14" x14ac:dyDescent="0.35">
      <c r="F2165" s="1"/>
      <c r="K2165" s="8" t="s">
        <v>261</v>
      </c>
      <c r="L2165" s="8" t="s">
        <v>454</v>
      </c>
      <c r="M2165" s="8">
        <v>1</v>
      </c>
      <c r="N2165" s="8" t="s">
        <v>476</v>
      </c>
    </row>
    <row r="2166" spans="6:14" x14ac:dyDescent="0.35">
      <c r="F2166" s="1"/>
      <c r="K2166" s="8" t="s">
        <v>261</v>
      </c>
      <c r="L2166" s="8" t="s">
        <v>1479</v>
      </c>
      <c r="M2166" s="8">
        <v>1</v>
      </c>
      <c r="N2166" s="8" t="s">
        <v>476</v>
      </c>
    </row>
    <row r="2167" spans="6:14" x14ac:dyDescent="0.35">
      <c r="F2167" s="1"/>
      <c r="K2167" s="8" t="s">
        <v>261</v>
      </c>
      <c r="L2167" s="8" t="s">
        <v>1480</v>
      </c>
      <c r="M2167" s="8">
        <v>1</v>
      </c>
      <c r="N2167" s="8" t="s">
        <v>476</v>
      </c>
    </row>
    <row r="2168" spans="6:14" x14ac:dyDescent="0.35">
      <c r="F2168" s="1"/>
      <c r="K2168" s="8" t="s">
        <v>261</v>
      </c>
      <c r="L2168" s="8" t="s">
        <v>1363</v>
      </c>
      <c r="M2168" s="8">
        <v>0</v>
      </c>
      <c r="N2168" s="8"/>
    </row>
    <row r="2169" spans="6:14" x14ac:dyDescent="0.35">
      <c r="F2169" s="1"/>
      <c r="K2169" s="8" t="s">
        <v>261</v>
      </c>
      <c r="L2169" s="8" t="s">
        <v>1364</v>
      </c>
      <c r="M2169" s="8">
        <v>0</v>
      </c>
      <c r="N2169" s="8"/>
    </row>
    <row r="2170" spans="6:14" x14ac:dyDescent="0.35">
      <c r="F2170" s="1"/>
      <c r="K2170" s="8" t="s">
        <v>261</v>
      </c>
      <c r="L2170" s="8" t="s">
        <v>1365</v>
      </c>
      <c r="M2170" s="8">
        <v>0</v>
      </c>
      <c r="N2170" s="8"/>
    </row>
    <row r="2171" spans="6:14" x14ac:dyDescent="0.35">
      <c r="F2171" s="1"/>
      <c r="K2171" s="8" t="s">
        <v>261</v>
      </c>
      <c r="L2171" s="8" t="s">
        <v>1366</v>
      </c>
      <c r="M2171" s="8">
        <v>0</v>
      </c>
      <c r="N2171" s="8"/>
    </row>
    <row r="2172" spans="6:14" x14ac:dyDescent="0.35">
      <c r="F2172" s="1"/>
      <c r="K2172" s="8" t="s">
        <v>261</v>
      </c>
      <c r="L2172" s="8" t="s">
        <v>1367</v>
      </c>
      <c r="M2172" s="8">
        <v>0</v>
      </c>
      <c r="N2172" s="8"/>
    </row>
    <row r="2173" spans="6:14" x14ac:dyDescent="0.35">
      <c r="F2173" s="1"/>
      <c r="K2173" s="8" t="s">
        <v>261</v>
      </c>
      <c r="L2173" s="8" t="s">
        <v>1370</v>
      </c>
      <c r="M2173" s="8">
        <v>0</v>
      </c>
      <c r="N2173" s="8"/>
    </row>
    <row r="2174" spans="6:14" x14ac:dyDescent="0.35">
      <c r="F2174" s="1"/>
      <c r="K2174" s="8" t="s">
        <v>261</v>
      </c>
      <c r="L2174" s="8" t="s">
        <v>1371</v>
      </c>
      <c r="M2174" s="8">
        <v>0</v>
      </c>
      <c r="N2174" s="8"/>
    </row>
    <row r="2175" spans="6:14" x14ac:dyDescent="0.35">
      <c r="F2175" s="1"/>
      <c r="K2175" s="8" t="s">
        <v>261</v>
      </c>
      <c r="L2175" s="8" t="s">
        <v>1379</v>
      </c>
      <c r="M2175" s="8">
        <v>0</v>
      </c>
      <c r="N2175" s="8"/>
    </row>
    <row r="2176" spans="6:14" x14ac:dyDescent="0.35">
      <c r="F2176" s="1"/>
      <c r="K2176" s="8" t="s">
        <v>262</v>
      </c>
      <c r="L2176" s="8" t="s">
        <v>393</v>
      </c>
      <c r="M2176" s="8">
        <v>1</v>
      </c>
      <c r="N2176" s="8"/>
    </row>
    <row r="2177" spans="6:14" x14ac:dyDescent="0.35">
      <c r="F2177" s="1"/>
      <c r="K2177" s="8" t="s">
        <v>262</v>
      </c>
      <c r="L2177" s="8" t="s">
        <v>394</v>
      </c>
      <c r="M2177" s="8">
        <v>1</v>
      </c>
      <c r="N2177" s="8"/>
    </row>
    <row r="2178" spans="6:14" x14ac:dyDescent="0.35">
      <c r="F2178" s="1"/>
      <c r="K2178" s="8" t="s">
        <v>262</v>
      </c>
      <c r="L2178" s="8" t="s">
        <v>480</v>
      </c>
      <c r="M2178" s="8">
        <v>0</v>
      </c>
      <c r="N2178" s="8"/>
    </row>
    <row r="2179" spans="6:14" x14ac:dyDescent="0.35">
      <c r="F2179" s="1"/>
      <c r="K2179" s="8" t="s">
        <v>262</v>
      </c>
      <c r="L2179" s="8" t="s">
        <v>481</v>
      </c>
      <c r="M2179" s="8">
        <v>0</v>
      </c>
      <c r="N2179" s="8"/>
    </row>
    <row r="2180" spans="6:14" x14ac:dyDescent="0.35">
      <c r="F2180" s="1"/>
      <c r="K2180" s="8" t="s">
        <v>262</v>
      </c>
      <c r="L2180" s="8" t="s">
        <v>482</v>
      </c>
      <c r="M2180" s="8">
        <v>0</v>
      </c>
      <c r="N2180" s="8"/>
    </row>
    <row r="2181" spans="6:14" x14ac:dyDescent="0.35">
      <c r="F2181" s="1"/>
      <c r="K2181" s="8" t="s">
        <v>262</v>
      </c>
      <c r="L2181" s="8" t="s">
        <v>483</v>
      </c>
      <c r="M2181" s="8">
        <v>0</v>
      </c>
      <c r="N2181" s="8"/>
    </row>
    <row r="2182" spans="6:14" x14ac:dyDescent="0.35">
      <c r="F2182" s="1"/>
      <c r="K2182" s="8" t="s">
        <v>262</v>
      </c>
      <c r="L2182" s="8" t="s">
        <v>484</v>
      </c>
      <c r="M2182" s="8">
        <v>0</v>
      </c>
      <c r="N2182" s="8"/>
    </row>
    <row r="2183" spans="6:14" x14ac:dyDescent="0.35">
      <c r="F2183" s="1"/>
      <c r="K2183" s="8" t="s">
        <v>262</v>
      </c>
      <c r="L2183" s="8" t="s">
        <v>375</v>
      </c>
      <c r="M2183" s="8">
        <v>1</v>
      </c>
      <c r="N2183" s="8"/>
    </row>
    <row r="2184" spans="6:14" x14ac:dyDescent="0.35">
      <c r="F2184" s="1"/>
      <c r="K2184" s="8" t="s">
        <v>262</v>
      </c>
      <c r="L2184" s="8" t="s">
        <v>376</v>
      </c>
      <c r="M2184" s="8">
        <v>1</v>
      </c>
      <c r="N2184" s="8"/>
    </row>
    <row r="2185" spans="6:14" x14ac:dyDescent="0.35">
      <c r="F2185" s="1"/>
      <c r="K2185" s="8" t="s">
        <v>262</v>
      </c>
      <c r="L2185" s="8" t="s">
        <v>486</v>
      </c>
      <c r="M2185" s="8">
        <v>0</v>
      </c>
      <c r="N2185" s="8"/>
    </row>
    <row r="2186" spans="6:14" x14ac:dyDescent="0.35">
      <c r="F2186" s="1"/>
      <c r="K2186" s="8" t="s">
        <v>262</v>
      </c>
      <c r="L2186" s="8" t="s">
        <v>487</v>
      </c>
      <c r="M2186" s="8">
        <v>0</v>
      </c>
      <c r="N2186" s="8"/>
    </row>
    <row r="2187" spans="6:14" x14ac:dyDescent="0.35">
      <c r="F2187" s="1"/>
      <c r="K2187" s="8" t="s">
        <v>262</v>
      </c>
      <c r="L2187" s="8" t="s">
        <v>488</v>
      </c>
      <c r="M2187" s="8">
        <v>0</v>
      </c>
      <c r="N2187" s="8"/>
    </row>
    <row r="2188" spans="6:14" x14ac:dyDescent="0.35">
      <c r="F2188" s="1"/>
      <c r="K2188" s="8" t="s">
        <v>262</v>
      </c>
      <c r="L2188" s="8" t="s">
        <v>489</v>
      </c>
      <c r="M2188" s="8">
        <v>0</v>
      </c>
      <c r="N2188" s="8"/>
    </row>
    <row r="2189" spans="6:14" x14ac:dyDescent="0.35">
      <c r="F2189" s="1"/>
      <c r="K2189" s="8" t="s">
        <v>262</v>
      </c>
      <c r="L2189" s="8" t="s">
        <v>490</v>
      </c>
      <c r="M2189" s="8">
        <v>0</v>
      </c>
      <c r="N2189" s="8"/>
    </row>
    <row r="2190" spans="6:14" x14ac:dyDescent="0.35">
      <c r="F2190" s="1"/>
      <c r="K2190" s="8" t="s">
        <v>262</v>
      </c>
      <c r="L2190" s="8" t="s">
        <v>491</v>
      </c>
      <c r="M2190" s="8">
        <v>0</v>
      </c>
      <c r="N2190" s="8"/>
    </row>
    <row r="2191" spans="6:14" x14ac:dyDescent="0.35">
      <c r="F2191" s="1"/>
      <c r="K2191" s="8" t="s">
        <v>262</v>
      </c>
      <c r="L2191" s="8" t="s">
        <v>492</v>
      </c>
      <c r="M2191" s="8">
        <v>0</v>
      </c>
      <c r="N2191" s="8"/>
    </row>
    <row r="2192" spans="6:14" x14ac:dyDescent="0.35">
      <c r="F2192" s="1"/>
      <c r="K2192" s="8" t="s">
        <v>262</v>
      </c>
      <c r="L2192" s="8" t="s">
        <v>493</v>
      </c>
      <c r="M2192" s="8">
        <v>0</v>
      </c>
      <c r="N2192" s="8"/>
    </row>
    <row r="2193" spans="6:14" x14ac:dyDescent="0.35">
      <c r="F2193" s="1"/>
      <c r="K2193" s="8" t="s">
        <v>262</v>
      </c>
      <c r="L2193" s="8" t="s">
        <v>494</v>
      </c>
      <c r="M2193" s="8">
        <v>0</v>
      </c>
      <c r="N2193" s="8"/>
    </row>
    <row r="2194" spans="6:14" x14ac:dyDescent="0.35">
      <c r="F2194" s="1"/>
      <c r="K2194" s="8" t="s">
        <v>262</v>
      </c>
      <c r="L2194" s="8" t="s">
        <v>495</v>
      </c>
      <c r="M2194" s="8">
        <v>0</v>
      </c>
      <c r="N2194" s="8"/>
    </row>
    <row r="2195" spans="6:14" x14ac:dyDescent="0.35">
      <c r="F2195" s="1"/>
      <c r="K2195" s="8" t="s">
        <v>263</v>
      </c>
      <c r="L2195" s="8" t="s">
        <v>929</v>
      </c>
      <c r="M2195" s="8">
        <v>1</v>
      </c>
      <c r="N2195" s="8" t="s">
        <v>517</v>
      </c>
    </row>
    <row r="2196" spans="6:14" x14ac:dyDescent="0.35">
      <c r="F2196" s="1"/>
      <c r="K2196" s="8" t="s">
        <v>263</v>
      </c>
      <c r="L2196" s="8" t="s">
        <v>456</v>
      </c>
      <c r="M2196" s="8">
        <v>1</v>
      </c>
      <c r="N2196" s="8"/>
    </row>
    <row r="2197" spans="6:14" x14ac:dyDescent="0.35">
      <c r="F2197" s="1"/>
      <c r="K2197" s="8" t="s">
        <v>263</v>
      </c>
      <c r="L2197" s="8" t="s">
        <v>446</v>
      </c>
      <c r="M2197" s="8">
        <v>1</v>
      </c>
      <c r="N2197" s="8"/>
    </row>
    <row r="2198" spans="6:14" x14ac:dyDescent="0.35">
      <c r="F2198" s="1"/>
      <c r="K2198" s="8" t="s">
        <v>263</v>
      </c>
      <c r="L2198" s="8" t="s">
        <v>447</v>
      </c>
      <c r="M2198" s="8">
        <v>1</v>
      </c>
      <c r="N2198" s="8"/>
    </row>
    <row r="2199" spans="6:14" x14ac:dyDescent="0.35">
      <c r="F2199" s="1"/>
      <c r="K2199" s="8" t="s">
        <v>263</v>
      </c>
      <c r="L2199" s="8" t="s">
        <v>480</v>
      </c>
      <c r="M2199" s="8">
        <v>0</v>
      </c>
      <c r="N2199" s="8"/>
    </row>
    <row r="2200" spans="6:14" x14ac:dyDescent="0.35">
      <c r="F2200" s="1"/>
      <c r="K2200" s="8" t="s">
        <v>263</v>
      </c>
      <c r="L2200" s="8" t="s">
        <v>481</v>
      </c>
      <c r="M2200" s="8">
        <v>0</v>
      </c>
      <c r="N2200" s="8"/>
    </row>
    <row r="2201" spans="6:14" x14ac:dyDescent="0.35">
      <c r="F2201" s="1"/>
      <c r="K2201" s="8" t="s">
        <v>263</v>
      </c>
      <c r="L2201" s="8" t="s">
        <v>482</v>
      </c>
      <c r="M2201" s="8">
        <v>0</v>
      </c>
      <c r="N2201" s="8"/>
    </row>
    <row r="2202" spans="6:14" x14ac:dyDescent="0.35">
      <c r="F2202" s="1"/>
      <c r="K2202" s="8" t="s">
        <v>263</v>
      </c>
      <c r="L2202" s="8" t="s">
        <v>483</v>
      </c>
      <c r="M2202" s="8">
        <v>0</v>
      </c>
      <c r="N2202" s="8"/>
    </row>
    <row r="2203" spans="6:14" x14ac:dyDescent="0.35">
      <c r="F2203" s="1"/>
      <c r="K2203" s="8" t="s">
        <v>263</v>
      </c>
      <c r="L2203" s="8" t="s">
        <v>484</v>
      </c>
      <c r="M2203" s="8">
        <v>0</v>
      </c>
      <c r="N2203" s="8"/>
    </row>
    <row r="2204" spans="6:14" x14ac:dyDescent="0.35">
      <c r="F2204" s="1"/>
      <c r="K2204" s="8" t="s">
        <v>263</v>
      </c>
      <c r="L2204" s="8" t="s">
        <v>439</v>
      </c>
      <c r="M2204" s="8">
        <v>1</v>
      </c>
      <c r="N2204" s="8"/>
    </row>
    <row r="2205" spans="6:14" x14ac:dyDescent="0.35">
      <c r="F2205" s="1"/>
      <c r="K2205" s="8" t="s">
        <v>263</v>
      </c>
      <c r="L2205" s="8" t="s">
        <v>412</v>
      </c>
      <c r="M2205" s="8">
        <v>1</v>
      </c>
      <c r="N2205" s="8"/>
    </row>
    <row r="2206" spans="6:14" x14ac:dyDescent="0.35">
      <c r="F2206" s="1"/>
      <c r="K2206" s="8" t="s">
        <v>263</v>
      </c>
      <c r="L2206" s="8" t="s">
        <v>435</v>
      </c>
      <c r="M2206" s="8">
        <v>1</v>
      </c>
      <c r="N2206" s="8"/>
    </row>
    <row r="2207" spans="6:14" x14ac:dyDescent="0.35">
      <c r="F2207" s="1"/>
      <c r="K2207" s="8" t="s">
        <v>263</v>
      </c>
      <c r="L2207" s="8" t="s">
        <v>1121</v>
      </c>
      <c r="M2207" s="8">
        <v>0</v>
      </c>
      <c r="N2207" s="8"/>
    </row>
    <row r="2208" spans="6:14" x14ac:dyDescent="0.35">
      <c r="F2208" s="1"/>
      <c r="K2208" s="8" t="s">
        <v>263</v>
      </c>
      <c r="L2208" s="8" t="s">
        <v>1122</v>
      </c>
      <c r="M2208" s="8">
        <v>0</v>
      </c>
      <c r="N2208" s="8"/>
    </row>
    <row r="2209" spans="6:14" x14ac:dyDescent="0.35">
      <c r="F2209" s="1"/>
      <c r="K2209" s="8" t="s">
        <v>263</v>
      </c>
      <c r="L2209" s="8" t="s">
        <v>1123</v>
      </c>
      <c r="M2209" s="8">
        <v>1</v>
      </c>
      <c r="N2209" s="8" t="s">
        <v>476</v>
      </c>
    </row>
    <row r="2210" spans="6:14" x14ac:dyDescent="0.35">
      <c r="F2210" s="1"/>
      <c r="K2210" s="8" t="s">
        <v>263</v>
      </c>
      <c r="L2210" s="8" t="s">
        <v>1124</v>
      </c>
      <c r="M2210" s="8">
        <v>1</v>
      </c>
      <c r="N2210" s="8" t="s">
        <v>476</v>
      </c>
    </row>
    <row r="2211" spans="6:14" x14ac:dyDescent="0.35">
      <c r="F2211" s="1"/>
      <c r="K2211" s="8" t="s">
        <v>263</v>
      </c>
      <c r="L2211" s="8" t="s">
        <v>1125</v>
      </c>
      <c r="M2211" s="8">
        <v>0</v>
      </c>
      <c r="N2211" s="8"/>
    </row>
    <row r="2212" spans="6:14" x14ac:dyDescent="0.35">
      <c r="F2212" s="1"/>
      <c r="K2212" s="8" t="s">
        <v>263</v>
      </c>
      <c r="L2212" s="8" t="s">
        <v>1126</v>
      </c>
      <c r="M2212" s="8">
        <v>1</v>
      </c>
      <c r="N2212" s="8" t="s">
        <v>476</v>
      </c>
    </row>
    <row r="2213" spans="6:14" x14ac:dyDescent="0.35">
      <c r="F2213" s="1"/>
      <c r="K2213" s="8" t="s">
        <v>263</v>
      </c>
      <c r="L2213" s="8" t="s">
        <v>457</v>
      </c>
      <c r="M2213" s="8">
        <v>1</v>
      </c>
      <c r="N2213" s="8" t="s">
        <v>773</v>
      </c>
    </row>
    <row r="2214" spans="6:14" x14ac:dyDescent="0.35">
      <c r="F2214" s="1"/>
      <c r="K2214" s="8" t="s">
        <v>263</v>
      </c>
      <c r="L2214" s="8" t="s">
        <v>1127</v>
      </c>
      <c r="M2214" s="8">
        <v>0</v>
      </c>
      <c r="N2214" s="8"/>
    </row>
    <row r="2215" spans="6:14" x14ac:dyDescent="0.35">
      <c r="F2215" s="1"/>
      <c r="K2215" s="8" t="s">
        <v>263</v>
      </c>
      <c r="L2215" s="8" t="s">
        <v>1128</v>
      </c>
      <c r="M2215" s="8">
        <v>0</v>
      </c>
      <c r="N2215" s="8"/>
    </row>
    <row r="2216" spans="6:14" x14ac:dyDescent="0.35">
      <c r="F2216" s="1"/>
      <c r="K2216" s="8" t="s">
        <v>263</v>
      </c>
      <c r="L2216" s="8" t="s">
        <v>486</v>
      </c>
      <c r="M2216" s="8">
        <v>0</v>
      </c>
      <c r="N2216" s="8"/>
    </row>
    <row r="2217" spans="6:14" x14ac:dyDescent="0.35">
      <c r="F2217" s="1"/>
      <c r="K2217" s="8" t="s">
        <v>263</v>
      </c>
      <c r="L2217" s="8" t="s">
        <v>487</v>
      </c>
      <c r="M2217" s="8">
        <v>0</v>
      </c>
      <c r="N2217" s="8"/>
    </row>
    <row r="2218" spans="6:14" x14ac:dyDescent="0.35">
      <c r="F2218" s="1"/>
      <c r="K2218" s="8" t="s">
        <v>263</v>
      </c>
      <c r="L2218" s="8" t="s">
        <v>488</v>
      </c>
      <c r="M2218" s="8">
        <v>0</v>
      </c>
      <c r="N2218" s="8"/>
    </row>
    <row r="2219" spans="6:14" x14ac:dyDescent="0.35">
      <c r="F2219" s="1"/>
      <c r="K2219" s="8" t="s">
        <v>263</v>
      </c>
      <c r="L2219" s="8" t="s">
        <v>489</v>
      </c>
      <c r="M2219" s="8">
        <v>0</v>
      </c>
      <c r="N2219" s="8"/>
    </row>
    <row r="2220" spans="6:14" x14ac:dyDescent="0.35">
      <c r="F2220" s="1"/>
      <c r="K2220" s="8" t="s">
        <v>263</v>
      </c>
      <c r="L2220" s="8" t="s">
        <v>490</v>
      </c>
      <c r="M2220" s="8">
        <v>0</v>
      </c>
      <c r="N2220" s="8"/>
    </row>
    <row r="2221" spans="6:14" x14ac:dyDescent="0.35">
      <c r="F2221" s="1"/>
      <c r="K2221" s="8" t="s">
        <v>263</v>
      </c>
      <c r="L2221" s="8" t="s">
        <v>491</v>
      </c>
      <c r="M2221" s="8">
        <v>0</v>
      </c>
      <c r="N2221" s="8"/>
    </row>
    <row r="2222" spans="6:14" x14ac:dyDescent="0.35">
      <c r="F2222" s="1"/>
      <c r="K2222" s="8" t="s">
        <v>263</v>
      </c>
      <c r="L2222" s="8" t="s">
        <v>492</v>
      </c>
      <c r="M2222" s="8">
        <v>0</v>
      </c>
      <c r="N2222" s="8"/>
    </row>
    <row r="2223" spans="6:14" x14ac:dyDescent="0.35">
      <c r="F2223" s="1"/>
      <c r="K2223" s="8" t="s">
        <v>263</v>
      </c>
      <c r="L2223" s="8" t="s">
        <v>493</v>
      </c>
      <c r="M2223" s="8">
        <v>0</v>
      </c>
      <c r="N2223" s="8"/>
    </row>
    <row r="2224" spans="6:14" x14ac:dyDescent="0.35">
      <c r="F2224" s="1"/>
      <c r="K2224" s="8" t="s">
        <v>264</v>
      </c>
      <c r="L2224" s="8" t="s">
        <v>666</v>
      </c>
      <c r="M2224" s="8">
        <v>1</v>
      </c>
      <c r="N2224" s="8" t="s">
        <v>476</v>
      </c>
    </row>
    <row r="2225" spans="6:14" x14ac:dyDescent="0.35">
      <c r="F2225" s="1"/>
      <c r="K2225" s="8" t="s">
        <v>264</v>
      </c>
      <c r="L2225" s="8" t="s">
        <v>667</v>
      </c>
      <c r="M2225" s="8">
        <v>1</v>
      </c>
      <c r="N2225" s="8" t="s">
        <v>539</v>
      </c>
    </row>
    <row r="2226" spans="6:14" x14ac:dyDescent="0.35">
      <c r="F2226" s="1"/>
      <c r="K2226" s="8" t="s">
        <v>264</v>
      </c>
      <c r="L2226" s="8" t="s">
        <v>396</v>
      </c>
      <c r="M2226" s="8">
        <v>0</v>
      </c>
      <c r="N2226" s="8"/>
    </row>
    <row r="2227" spans="6:14" x14ac:dyDescent="0.35">
      <c r="F2227" s="1"/>
      <c r="K2227" s="8" t="s">
        <v>264</v>
      </c>
      <c r="L2227" s="8" t="s">
        <v>668</v>
      </c>
      <c r="M2227" s="8">
        <v>1</v>
      </c>
      <c r="N2227" s="8" t="s">
        <v>619</v>
      </c>
    </row>
    <row r="2228" spans="6:14" x14ac:dyDescent="0.35">
      <c r="F2228" s="1"/>
      <c r="K2228" s="8" t="s">
        <v>264</v>
      </c>
      <c r="L2228" s="8" t="s">
        <v>480</v>
      </c>
      <c r="M2228" s="8">
        <v>0</v>
      </c>
      <c r="N2228" s="8"/>
    </row>
    <row r="2229" spans="6:14" x14ac:dyDescent="0.35">
      <c r="F2229" s="1"/>
      <c r="K2229" s="8" t="s">
        <v>264</v>
      </c>
      <c r="L2229" s="8" t="s">
        <v>481</v>
      </c>
      <c r="M2229" s="8">
        <v>0</v>
      </c>
      <c r="N2229" s="8"/>
    </row>
    <row r="2230" spans="6:14" x14ac:dyDescent="0.35">
      <c r="F2230" s="1"/>
      <c r="K2230" s="8" t="s">
        <v>264</v>
      </c>
      <c r="L2230" s="8" t="s">
        <v>482</v>
      </c>
      <c r="M2230" s="8">
        <v>0</v>
      </c>
      <c r="N2230" s="8"/>
    </row>
    <row r="2231" spans="6:14" x14ac:dyDescent="0.35">
      <c r="F2231" s="1"/>
      <c r="K2231" s="8" t="s">
        <v>264</v>
      </c>
      <c r="L2231" s="8" t="s">
        <v>483</v>
      </c>
      <c r="M2231" s="8">
        <v>0</v>
      </c>
      <c r="N2231" s="8"/>
    </row>
    <row r="2232" spans="6:14" x14ac:dyDescent="0.35">
      <c r="F2232" s="1"/>
      <c r="K2232" s="8" t="s">
        <v>264</v>
      </c>
      <c r="L2232" s="8" t="s">
        <v>484</v>
      </c>
      <c r="M2232" s="8">
        <v>0</v>
      </c>
      <c r="N2232" s="8"/>
    </row>
    <row r="2233" spans="6:14" x14ac:dyDescent="0.35">
      <c r="F2233" s="1"/>
      <c r="K2233" s="8" t="s">
        <v>264</v>
      </c>
      <c r="L2233" s="8" t="s">
        <v>669</v>
      </c>
      <c r="M2233" s="8">
        <v>0</v>
      </c>
      <c r="N2233" s="8"/>
    </row>
    <row r="2234" spans="6:14" x14ac:dyDescent="0.35">
      <c r="F2234" s="1"/>
      <c r="K2234" s="8" t="s">
        <v>264</v>
      </c>
      <c r="L2234" s="8" t="s">
        <v>670</v>
      </c>
      <c r="M2234" s="8">
        <v>1</v>
      </c>
      <c r="N2234" s="8" t="s">
        <v>517</v>
      </c>
    </row>
    <row r="2235" spans="6:14" x14ac:dyDescent="0.35">
      <c r="F2235" s="1"/>
      <c r="K2235" s="8" t="s">
        <v>264</v>
      </c>
      <c r="L2235" s="8" t="s">
        <v>671</v>
      </c>
      <c r="M2235" s="8">
        <v>1</v>
      </c>
      <c r="N2235" s="8" t="s">
        <v>476</v>
      </c>
    </row>
    <row r="2236" spans="6:14" x14ac:dyDescent="0.35">
      <c r="F2236" s="1"/>
      <c r="K2236" s="8" t="s">
        <v>264</v>
      </c>
      <c r="L2236" s="8" t="s">
        <v>672</v>
      </c>
      <c r="M2236" s="8">
        <v>1</v>
      </c>
      <c r="N2236" s="8" t="s">
        <v>476</v>
      </c>
    </row>
    <row r="2237" spans="6:14" x14ac:dyDescent="0.35">
      <c r="F2237" s="1"/>
      <c r="K2237" s="8" t="s">
        <v>264</v>
      </c>
      <c r="L2237" s="8" t="s">
        <v>673</v>
      </c>
      <c r="M2237" s="8">
        <v>0</v>
      </c>
      <c r="N2237" s="8" t="s">
        <v>476</v>
      </c>
    </row>
    <row r="2238" spans="6:14" x14ac:dyDescent="0.35">
      <c r="F2238" s="1"/>
      <c r="K2238" s="8" t="s">
        <v>264</v>
      </c>
      <c r="L2238" s="8" t="s">
        <v>674</v>
      </c>
      <c r="M2238" s="8">
        <v>0</v>
      </c>
      <c r="N2238" s="8"/>
    </row>
    <row r="2239" spans="6:14" x14ac:dyDescent="0.35">
      <c r="F2239" s="1"/>
      <c r="K2239" s="8" t="s">
        <v>264</v>
      </c>
      <c r="L2239" s="8" t="s">
        <v>675</v>
      </c>
      <c r="M2239" s="8">
        <v>0</v>
      </c>
      <c r="N2239" s="8"/>
    </row>
    <row r="2240" spans="6:14" x14ac:dyDescent="0.35">
      <c r="F2240" s="1"/>
      <c r="K2240" s="8" t="s">
        <v>264</v>
      </c>
      <c r="L2240" s="8" t="s">
        <v>458</v>
      </c>
      <c r="M2240" s="8">
        <v>1</v>
      </c>
      <c r="N2240" s="8"/>
    </row>
    <row r="2241" spans="6:14" x14ac:dyDescent="0.35">
      <c r="F2241" s="1"/>
      <c r="K2241" s="8" t="s">
        <v>264</v>
      </c>
      <c r="L2241" s="8" t="s">
        <v>676</v>
      </c>
      <c r="M2241" s="8">
        <v>0</v>
      </c>
      <c r="N2241" s="8"/>
    </row>
    <row r="2242" spans="6:14" x14ac:dyDescent="0.35">
      <c r="F2242" s="1"/>
      <c r="K2242" s="8" t="s">
        <v>264</v>
      </c>
      <c r="L2242" s="8" t="s">
        <v>677</v>
      </c>
      <c r="M2242" s="8">
        <v>0</v>
      </c>
      <c r="N2242" s="8"/>
    </row>
    <row r="2243" spans="6:14" x14ac:dyDescent="0.35">
      <c r="F2243" s="1"/>
      <c r="K2243" s="8" t="s">
        <v>264</v>
      </c>
      <c r="L2243" s="8" t="s">
        <v>372</v>
      </c>
      <c r="M2243" s="8">
        <v>1</v>
      </c>
      <c r="N2243" s="8"/>
    </row>
    <row r="2244" spans="6:14" x14ac:dyDescent="0.35">
      <c r="F2244" s="1"/>
      <c r="K2244" s="8" t="s">
        <v>264</v>
      </c>
      <c r="L2244" s="8" t="s">
        <v>486</v>
      </c>
      <c r="M2244" s="8">
        <v>0</v>
      </c>
      <c r="N2244" s="8"/>
    </row>
    <row r="2245" spans="6:14" x14ac:dyDescent="0.35">
      <c r="F2245" s="1"/>
      <c r="K2245" s="8" t="s">
        <v>264</v>
      </c>
      <c r="L2245" s="8" t="s">
        <v>487</v>
      </c>
      <c r="M2245" s="8">
        <v>0</v>
      </c>
      <c r="N2245" s="8"/>
    </row>
    <row r="2246" spans="6:14" x14ac:dyDescent="0.35">
      <c r="F2246" s="1"/>
      <c r="K2246" s="8" t="s">
        <v>264</v>
      </c>
      <c r="L2246" s="8" t="s">
        <v>488</v>
      </c>
      <c r="M2246" s="8">
        <v>0</v>
      </c>
      <c r="N2246" s="8"/>
    </row>
    <row r="2247" spans="6:14" x14ac:dyDescent="0.35">
      <c r="F2247" s="1"/>
      <c r="K2247" s="8" t="s">
        <v>264</v>
      </c>
      <c r="L2247" s="8" t="s">
        <v>489</v>
      </c>
      <c r="M2247" s="8">
        <v>0</v>
      </c>
      <c r="N2247" s="8"/>
    </row>
    <row r="2248" spans="6:14" x14ac:dyDescent="0.35">
      <c r="F2248" s="1"/>
      <c r="K2248" s="8" t="s">
        <v>264</v>
      </c>
      <c r="L2248" s="8" t="s">
        <v>490</v>
      </c>
      <c r="M2248" s="8">
        <v>0</v>
      </c>
      <c r="N2248" s="8"/>
    </row>
    <row r="2249" spans="6:14" x14ac:dyDescent="0.35">
      <c r="F2249" s="1"/>
      <c r="K2249" s="8" t="s">
        <v>264</v>
      </c>
      <c r="L2249" s="8" t="s">
        <v>678</v>
      </c>
      <c r="M2249" s="8">
        <v>1</v>
      </c>
      <c r="N2249" s="8" t="s">
        <v>476</v>
      </c>
    </row>
    <row r="2250" spans="6:14" x14ac:dyDescent="0.35">
      <c r="F2250" s="1"/>
      <c r="K2250" s="8" t="s">
        <v>264</v>
      </c>
      <c r="L2250" s="8" t="s">
        <v>679</v>
      </c>
      <c r="M2250" s="8">
        <v>1</v>
      </c>
      <c r="N2250" s="8" t="s">
        <v>476</v>
      </c>
    </row>
    <row r="2251" spans="6:14" x14ac:dyDescent="0.35">
      <c r="F2251" s="1"/>
      <c r="K2251" s="8" t="s">
        <v>264</v>
      </c>
      <c r="L2251" s="8" t="s">
        <v>491</v>
      </c>
      <c r="M2251" s="8">
        <v>0</v>
      </c>
      <c r="N2251" s="8"/>
    </row>
    <row r="2252" spans="6:14" x14ac:dyDescent="0.35">
      <c r="F2252" s="1"/>
      <c r="K2252" s="8" t="s">
        <v>264</v>
      </c>
      <c r="L2252" s="8" t="s">
        <v>492</v>
      </c>
      <c r="M2252" s="8">
        <v>0</v>
      </c>
      <c r="N2252" s="8"/>
    </row>
    <row r="2253" spans="6:14" x14ac:dyDescent="0.35">
      <c r="F2253" s="1"/>
      <c r="K2253" s="8" t="s">
        <v>264</v>
      </c>
      <c r="L2253" s="8" t="s">
        <v>493</v>
      </c>
      <c r="M2253" s="8">
        <v>0</v>
      </c>
      <c r="N2253" s="8"/>
    </row>
    <row r="2254" spans="6:14" x14ac:dyDescent="0.35">
      <c r="F2254" s="1"/>
      <c r="K2254" s="8" t="s">
        <v>264</v>
      </c>
      <c r="L2254" s="8" t="s">
        <v>604</v>
      </c>
      <c r="M2254" s="8">
        <v>0</v>
      </c>
      <c r="N2254" s="8"/>
    </row>
    <row r="2255" spans="6:14" x14ac:dyDescent="0.35">
      <c r="F2255" s="1"/>
      <c r="K2255" s="8" t="s">
        <v>265</v>
      </c>
      <c r="L2255" s="8" t="s">
        <v>480</v>
      </c>
      <c r="M2255" s="8">
        <v>0</v>
      </c>
      <c r="N2255" s="8"/>
    </row>
    <row r="2256" spans="6:14" x14ac:dyDescent="0.35">
      <c r="F2256" s="1"/>
      <c r="K2256" s="8" t="s">
        <v>265</v>
      </c>
      <c r="L2256" s="8" t="s">
        <v>481</v>
      </c>
      <c r="M2256" s="8">
        <v>0</v>
      </c>
      <c r="N2256" s="8"/>
    </row>
    <row r="2257" spans="6:14" x14ac:dyDescent="0.35">
      <c r="F2257" s="1"/>
      <c r="K2257" s="8" t="s">
        <v>265</v>
      </c>
      <c r="L2257" s="8" t="s">
        <v>482</v>
      </c>
      <c r="M2257" s="8">
        <v>0</v>
      </c>
      <c r="N2257" s="8"/>
    </row>
    <row r="2258" spans="6:14" x14ac:dyDescent="0.35">
      <c r="F2258" s="1"/>
      <c r="K2258" s="8" t="s">
        <v>265</v>
      </c>
      <c r="L2258" s="8" t="s">
        <v>483</v>
      </c>
      <c r="M2258" s="8">
        <v>0</v>
      </c>
      <c r="N2258" s="8"/>
    </row>
    <row r="2259" spans="6:14" x14ac:dyDescent="0.35">
      <c r="F2259" s="1"/>
      <c r="K2259" s="8" t="s">
        <v>265</v>
      </c>
      <c r="L2259" s="8" t="s">
        <v>484</v>
      </c>
      <c r="M2259" s="8">
        <v>0</v>
      </c>
      <c r="N2259" s="8"/>
    </row>
    <row r="2260" spans="6:14" x14ac:dyDescent="0.35">
      <c r="F2260" s="1"/>
      <c r="K2260" s="8" t="s">
        <v>265</v>
      </c>
      <c r="L2260" s="8" t="s">
        <v>660</v>
      </c>
      <c r="M2260" s="8">
        <v>0</v>
      </c>
      <c r="N2260" s="8" t="s">
        <v>476</v>
      </c>
    </row>
    <row r="2261" spans="6:14" x14ac:dyDescent="0.35">
      <c r="F2261" s="1"/>
      <c r="K2261" s="8" t="s">
        <v>265</v>
      </c>
      <c r="L2261" s="8" t="s">
        <v>458</v>
      </c>
      <c r="M2261" s="8">
        <v>1</v>
      </c>
      <c r="N2261" s="8"/>
    </row>
    <row r="2262" spans="6:14" x14ac:dyDescent="0.35">
      <c r="F2262" s="1"/>
      <c r="K2262" s="8" t="s">
        <v>265</v>
      </c>
      <c r="L2262" s="8" t="s">
        <v>661</v>
      </c>
      <c r="M2262" s="8">
        <v>0</v>
      </c>
      <c r="N2262" s="8"/>
    </row>
    <row r="2263" spans="6:14" x14ac:dyDescent="0.35">
      <c r="F2263" s="1"/>
      <c r="K2263" s="8" t="s">
        <v>265</v>
      </c>
      <c r="L2263" s="8" t="s">
        <v>662</v>
      </c>
      <c r="M2263" s="8">
        <v>0</v>
      </c>
      <c r="N2263" s="8"/>
    </row>
    <row r="2264" spans="6:14" x14ac:dyDescent="0.35">
      <c r="F2264" s="1"/>
      <c r="K2264" s="8" t="s">
        <v>265</v>
      </c>
      <c r="L2264" s="8" t="s">
        <v>663</v>
      </c>
      <c r="M2264" s="8">
        <v>0</v>
      </c>
      <c r="N2264" s="8"/>
    </row>
    <row r="2265" spans="6:14" x14ac:dyDescent="0.35">
      <c r="F2265" s="1"/>
      <c r="K2265" s="8" t="s">
        <v>265</v>
      </c>
      <c r="L2265" s="8" t="s">
        <v>664</v>
      </c>
      <c r="M2265" s="8">
        <v>0</v>
      </c>
      <c r="N2265" s="8"/>
    </row>
    <row r="2266" spans="6:14" x14ac:dyDescent="0.35">
      <c r="F2266" s="1"/>
      <c r="K2266" s="8" t="s">
        <v>265</v>
      </c>
      <c r="L2266" s="8" t="s">
        <v>665</v>
      </c>
      <c r="M2266" s="8">
        <v>0</v>
      </c>
      <c r="N2266" s="8"/>
    </row>
    <row r="2267" spans="6:14" x14ac:dyDescent="0.35">
      <c r="F2267" s="1"/>
      <c r="K2267" s="8" t="s">
        <v>265</v>
      </c>
      <c r="L2267" s="8" t="s">
        <v>486</v>
      </c>
      <c r="M2267" s="8">
        <v>0</v>
      </c>
      <c r="N2267" s="8"/>
    </row>
    <row r="2268" spans="6:14" x14ac:dyDescent="0.35">
      <c r="F2268" s="1"/>
      <c r="K2268" s="8" t="s">
        <v>265</v>
      </c>
      <c r="L2268" s="8" t="s">
        <v>487</v>
      </c>
      <c r="M2268" s="8">
        <v>0</v>
      </c>
      <c r="N2268" s="8"/>
    </row>
    <row r="2269" spans="6:14" x14ac:dyDescent="0.35">
      <c r="F2269" s="1"/>
      <c r="K2269" s="8" t="s">
        <v>265</v>
      </c>
      <c r="L2269" s="8" t="s">
        <v>488</v>
      </c>
      <c r="M2269" s="8">
        <v>0</v>
      </c>
      <c r="N2269" s="8"/>
    </row>
    <row r="2270" spans="6:14" x14ac:dyDescent="0.35">
      <c r="F2270" s="1"/>
      <c r="K2270" s="8" t="s">
        <v>265</v>
      </c>
      <c r="L2270" s="8" t="s">
        <v>489</v>
      </c>
      <c r="M2270" s="8">
        <v>0</v>
      </c>
      <c r="N2270" s="8"/>
    </row>
    <row r="2271" spans="6:14" x14ac:dyDescent="0.35">
      <c r="F2271" s="1"/>
      <c r="K2271" s="8" t="s">
        <v>265</v>
      </c>
      <c r="L2271" s="8" t="s">
        <v>490</v>
      </c>
      <c r="M2271" s="8">
        <v>0</v>
      </c>
      <c r="N2271" s="8"/>
    </row>
    <row r="2272" spans="6:14" x14ac:dyDescent="0.35">
      <c r="F2272" s="1"/>
      <c r="K2272" s="8" t="s">
        <v>265</v>
      </c>
      <c r="L2272" s="8" t="s">
        <v>491</v>
      </c>
      <c r="M2272" s="8">
        <v>0</v>
      </c>
      <c r="N2272" s="8"/>
    </row>
    <row r="2273" spans="6:14" x14ac:dyDescent="0.35">
      <c r="F2273" s="1"/>
      <c r="K2273" s="8" t="s">
        <v>265</v>
      </c>
      <c r="L2273" s="8" t="s">
        <v>492</v>
      </c>
      <c r="M2273" s="8">
        <v>0</v>
      </c>
      <c r="N2273" s="8"/>
    </row>
    <row r="2274" spans="6:14" x14ac:dyDescent="0.35">
      <c r="F2274" s="1"/>
      <c r="K2274" s="8" t="s">
        <v>265</v>
      </c>
      <c r="L2274" s="8" t="s">
        <v>493</v>
      </c>
      <c r="M2274" s="8">
        <v>0</v>
      </c>
      <c r="N2274" s="8"/>
    </row>
    <row r="2275" spans="6:14" x14ac:dyDescent="0.35">
      <c r="F2275" s="1"/>
      <c r="K2275" s="8" t="s">
        <v>265</v>
      </c>
      <c r="L2275" s="8" t="s">
        <v>494</v>
      </c>
      <c r="M2275" s="8">
        <v>0</v>
      </c>
      <c r="N2275" s="8"/>
    </row>
    <row r="2276" spans="6:14" x14ac:dyDescent="0.35">
      <c r="F2276" s="1"/>
      <c r="K2276" s="8" t="s">
        <v>265</v>
      </c>
      <c r="L2276" s="8" t="s">
        <v>495</v>
      </c>
      <c r="M2276" s="8">
        <v>0</v>
      </c>
      <c r="N2276" s="8"/>
    </row>
    <row r="2277" spans="6:14" x14ac:dyDescent="0.35">
      <c r="F2277" s="1"/>
      <c r="K2277" s="8" t="s">
        <v>266</v>
      </c>
      <c r="L2277" s="8" t="s">
        <v>680</v>
      </c>
      <c r="M2277" s="8">
        <v>1</v>
      </c>
      <c r="N2277" s="8" t="s">
        <v>476</v>
      </c>
    </row>
    <row r="2278" spans="6:14" x14ac:dyDescent="0.35">
      <c r="F2278" s="1"/>
      <c r="K2278" s="8" t="s">
        <v>266</v>
      </c>
      <c r="L2278" s="8" t="s">
        <v>396</v>
      </c>
      <c r="M2278" s="8">
        <v>0</v>
      </c>
      <c r="N2278" s="8"/>
    </row>
    <row r="2279" spans="6:14" x14ac:dyDescent="0.35">
      <c r="F2279" s="1"/>
      <c r="K2279" s="8" t="s">
        <v>266</v>
      </c>
      <c r="L2279" s="8" t="s">
        <v>681</v>
      </c>
      <c r="M2279" s="8">
        <v>1</v>
      </c>
      <c r="N2279" s="8" t="s">
        <v>476</v>
      </c>
    </row>
    <row r="2280" spans="6:14" x14ac:dyDescent="0.35">
      <c r="F2280" s="1"/>
      <c r="K2280" s="8" t="s">
        <v>266</v>
      </c>
      <c r="L2280" s="8" t="s">
        <v>480</v>
      </c>
      <c r="M2280" s="8">
        <v>0</v>
      </c>
      <c r="N2280" s="8"/>
    </row>
    <row r="2281" spans="6:14" x14ac:dyDescent="0.35">
      <c r="F2281" s="1"/>
      <c r="K2281" s="8" t="s">
        <v>266</v>
      </c>
      <c r="L2281" s="8" t="s">
        <v>481</v>
      </c>
      <c r="M2281" s="8">
        <v>0</v>
      </c>
      <c r="N2281" s="8"/>
    </row>
    <row r="2282" spans="6:14" x14ac:dyDescent="0.35">
      <c r="F2282" s="1"/>
      <c r="K2282" s="8" t="s">
        <v>266</v>
      </c>
      <c r="L2282" s="8" t="s">
        <v>482</v>
      </c>
      <c r="M2282" s="8">
        <v>0</v>
      </c>
      <c r="N2282" s="8"/>
    </row>
    <row r="2283" spans="6:14" x14ac:dyDescent="0.35">
      <c r="F2283" s="1"/>
      <c r="K2283" s="8" t="s">
        <v>266</v>
      </c>
      <c r="L2283" s="8" t="s">
        <v>483</v>
      </c>
      <c r="M2283" s="8">
        <v>0</v>
      </c>
      <c r="N2283" s="8"/>
    </row>
    <row r="2284" spans="6:14" x14ac:dyDescent="0.35">
      <c r="F2284" s="1"/>
      <c r="K2284" s="8" t="s">
        <v>266</v>
      </c>
      <c r="L2284" s="8" t="s">
        <v>484</v>
      </c>
      <c r="M2284" s="8">
        <v>0</v>
      </c>
      <c r="N2284" s="8"/>
    </row>
    <row r="2285" spans="6:14" x14ac:dyDescent="0.35">
      <c r="F2285" s="1"/>
      <c r="K2285" s="8" t="s">
        <v>266</v>
      </c>
      <c r="L2285" s="8" t="s">
        <v>558</v>
      </c>
      <c r="M2285" s="8">
        <v>1</v>
      </c>
      <c r="N2285" s="8" t="s">
        <v>517</v>
      </c>
    </row>
    <row r="2286" spans="6:14" x14ac:dyDescent="0.35">
      <c r="F2286" s="1"/>
      <c r="K2286" s="8" t="s">
        <v>266</v>
      </c>
      <c r="L2286" s="8" t="s">
        <v>669</v>
      </c>
      <c r="M2286" s="8">
        <v>0</v>
      </c>
      <c r="N2286" s="8"/>
    </row>
    <row r="2287" spans="6:14" x14ac:dyDescent="0.35">
      <c r="F2287" s="1"/>
      <c r="K2287" s="8" t="s">
        <v>266</v>
      </c>
      <c r="L2287" s="8" t="s">
        <v>682</v>
      </c>
      <c r="M2287" s="8">
        <v>0</v>
      </c>
      <c r="N2287" s="8" t="s">
        <v>683</v>
      </c>
    </row>
    <row r="2288" spans="6:14" x14ac:dyDescent="0.35">
      <c r="F2288" s="1"/>
      <c r="K2288" s="8" t="s">
        <v>266</v>
      </c>
      <c r="L2288" s="8" t="s">
        <v>684</v>
      </c>
      <c r="M2288" s="8">
        <v>1</v>
      </c>
      <c r="N2288" s="8" t="s">
        <v>476</v>
      </c>
    </row>
    <row r="2289" spans="6:14" x14ac:dyDescent="0.35">
      <c r="F2289" s="1"/>
      <c r="K2289" s="8" t="s">
        <v>266</v>
      </c>
      <c r="L2289" s="8" t="s">
        <v>685</v>
      </c>
      <c r="M2289" s="8">
        <v>1</v>
      </c>
      <c r="N2289" s="8" t="s">
        <v>517</v>
      </c>
    </row>
    <row r="2290" spans="6:14" x14ac:dyDescent="0.35">
      <c r="F2290" s="1"/>
      <c r="K2290" s="8" t="s">
        <v>266</v>
      </c>
      <c r="L2290" s="8" t="s">
        <v>686</v>
      </c>
      <c r="M2290" s="8">
        <v>1</v>
      </c>
      <c r="N2290" s="8" t="s">
        <v>476</v>
      </c>
    </row>
    <row r="2291" spans="6:14" x14ac:dyDescent="0.35">
      <c r="F2291" s="1"/>
      <c r="K2291" s="8" t="s">
        <v>266</v>
      </c>
      <c r="L2291" s="8" t="s">
        <v>458</v>
      </c>
      <c r="M2291" s="8">
        <v>1</v>
      </c>
      <c r="N2291" s="8"/>
    </row>
    <row r="2292" spans="6:14" x14ac:dyDescent="0.35">
      <c r="F2292" s="1"/>
      <c r="K2292" s="8" t="s">
        <v>266</v>
      </c>
      <c r="L2292" s="8" t="s">
        <v>687</v>
      </c>
      <c r="M2292" s="8">
        <v>0</v>
      </c>
      <c r="N2292" s="8"/>
    </row>
    <row r="2293" spans="6:14" x14ac:dyDescent="0.35">
      <c r="F2293" s="1"/>
      <c r="K2293" s="8" t="s">
        <v>266</v>
      </c>
      <c r="L2293" s="8" t="s">
        <v>688</v>
      </c>
      <c r="M2293" s="8">
        <v>0</v>
      </c>
      <c r="N2293" s="8"/>
    </row>
    <row r="2294" spans="6:14" x14ac:dyDescent="0.35">
      <c r="F2294" s="1"/>
      <c r="K2294" s="8" t="s">
        <v>266</v>
      </c>
      <c r="L2294" s="8" t="s">
        <v>689</v>
      </c>
      <c r="M2294" s="8">
        <v>0</v>
      </c>
      <c r="N2294" s="8"/>
    </row>
    <row r="2295" spans="6:14" x14ac:dyDescent="0.35">
      <c r="F2295" s="1"/>
      <c r="K2295" s="8" t="s">
        <v>266</v>
      </c>
      <c r="L2295" s="8" t="s">
        <v>690</v>
      </c>
      <c r="M2295" s="8">
        <v>0</v>
      </c>
      <c r="N2295" s="8"/>
    </row>
    <row r="2296" spans="6:14" x14ac:dyDescent="0.35">
      <c r="F2296" s="1"/>
      <c r="K2296" s="8" t="s">
        <v>266</v>
      </c>
      <c r="L2296" s="8" t="s">
        <v>372</v>
      </c>
      <c r="M2296" s="8">
        <v>1</v>
      </c>
      <c r="N2296" s="8"/>
    </row>
    <row r="2297" spans="6:14" x14ac:dyDescent="0.35">
      <c r="F2297" s="1"/>
      <c r="K2297" s="8" t="s">
        <v>266</v>
      </c>
      <c r="L2297" s="8" t="s">
        <v>486</v>
      </c>
      <c r="M2297" s="8">
        <v>0</v>
      </c>
      <c r="N2297" s="8"/>
    </row>
    <row r="2298" spans="6:14" x14ac:dyDescent="0.35">
      <c r="F2298" s="1"/>
      <c r="K2298" s="8" t="s">
        <v>266</v>
      </c>
      <c r="L2298" s="8" t="s">
        <v>487</v>
      </c>
      <c r="M2298" s="8">
        <v>0</v>
      </c>
      <c r="N2298" s="8"/>
    </row>
    <row r="2299" spans="6:14" x14ac:dyDescent="0.35">
      <c r="F2299" s="1"/>
      <c r="K2299" s="8" t="s">
        <v>266</v>
      </c>
      <c r="L2299" s="8" t="s">
        <v>488</v>
      </c>
      <c r="M2299" s="8">
        <v>0</v>
      </c>
      <c r="N2299" s="8"/>
    </row>
    <row r="2300" spans="6:14" x14ac:dyDescent="0.35">
      <c r="F2300" s="1"/>
      <c r="K2300" s="8" t="s">
        <v>266</v>
      </c>
      <c r="L2300" s="8" t="s">
        <v>489</v>
      </c>
      <c r="M2300" s="8">
        <v>0</v>
      </c>
      <c r="N2300" s="8"/>
    </row>
    <row r="2301" spans="6:14" x14ac:dyDescent="0.35">
      <c r="F2301" s="1"/>
      <c r="K2301" s="8" t="s">
        <v>266</v>
      </c>
      <c r="L2301" s="8" t="s">
        <v>490</v>
      </c>
      <c r="M2301" s="8">
        <v>0</v>
      </c>
      <c r="N2301" s="8"/>
    </row>
    <row r="2302" spans="6:14" x14ac:dyDescent="0.35">
      <c r="F2302" s="1"/>
      <c r="K2302" s="8" t="s">
        <v>266</v>
      </c>
      <c r="L2302" s="8" t="s">
        <v>491</v>
      </c>
      <c r="M2302" s="8">
        <v>0</v>
      </c>
      <c r="N2302" s="8"/>
    </row>
    <row r="2303" spans="6:14" x14ac:dyDescent="0.35">
      <c r="F2303" s="1"/>
      <c r="K2303" s="8" t="s">
        <v>266</v>
      </c>
      <c r="L2303" s="8" t="s">
        <v>492</v>
      </c>
      <c r="M2303" s="8">
        <v>0</v>
      </c>
      <c r="N2303" s="8"/>
    </row>
    <row r="2304" spans="6:14" x14ac:dyDescent="0.35">
      <c r="F2304" s="1"/>
      <c r="K2304" s="8" t="s">
        <v>266</v>
      </c>
      <c r="L2304" s="8" t="s">
        <v>493</v>
      </c>
      <c r="M2304" s="8">
        <v>0</v>
      </c>
      <c r="N2304" s="8"/>
    </row>
    <row r="2305" spans="6:14" x14ac:dyDescent="0.35">
      <c r="F2305" s="1"/>
      <c r="K2305" s="8" t="s">
        <v>266</v>
      </c>
      <c r="L2305" s="8" t="s">
        <v>691</v>
      </c>
      <c r="M2305" s="8">
        <v>0</v>
      </c>
      <c r="N2305" s="8" t="s">
        <v>612</v>
      </c>
    </row>
    <row r="2306" spans="6:14" x14ac:dyDescent="0.35">
      <c r="F2306" s="1"/>
      <c r="K2306" s="8" t="s">
        <v>268</v>
      </c>
      <c r="L2306" s="8" t="s">
        <v>469</v>
      </c>
      <c r="M2306" s="8">
        <v>1</v>
      </c>
      <c r="N2306" s="8"/>
    </row>
    <row r="2307" spans="6:14" x14ac:dyDescent="0.35">
      <c r="F2307" s="1"/>
      <c r="K2307" s="8" t="s">
        <v>268</v>
      </c>
      <c r="L2307" s="8" t="s">
        <v>480</v>
      </c>
      <c r="M2307" s="8">
        <v>0</v>
      </c>
      <c r="N2307" s="8"/>
    </row>
    <row r="2308" spans="6:14" x14ac:dyDescent="0.35">
      <c r="F2308" s="1"/>
      <c r="K2308" s="8" t="s">
        <v>268</v>
      </c>
      <c r="L2308" s="8" t="s">
        <v>481</v>
      </c>
      <c r="M2308" s="8">
        <v>0</v>
      </c>
      <c r="N2308" s="8"/>
    </row>
    <row r="2309" spans="6:14" x14ac:dyDescent="0.35">
      <c r="F2309" s="1"/>
      <c r="K2309" s="8" t="s">
        <v>268</v>
      </c>
      <c r="L2309" s="8" t="s">
        <v>482</v>
      </c>
      <c r="M2309" s="8">
        <v>0</v>
      </c>
      <c r="N2309" s="8"/>
    </row>
    <row r="2310" spans="6:14" x14ac:dyDescent="0.35">
      <c r="F2310" s="1"/>
      <c r="K2310" s="8" t="s">
        <v>268</v>
      </c>
      <c r="L2310" s="8" t="s">
        <v>483</v>
      </c>
      <c r="M2310" s="8">
        <v>0</v>
      </c>
      <c r="N2310" s="8"/>
    </row>
    <row r="2311" spans="6:14" x14ac:dyDescent="0.35">
      <c r="F2311" s="1"/>
      <c r="K2311" s="8" t="s">
        <v>268</v>
      </c>
      <c r="L2311" s="8" t="s">
        <v>484</v>
      </c>
      <c r="M2311" s="8">
        <v>0</v>
      </c>
      <c r="N2311" s="8"/>
    </row>
    <row r="2312" spans="6:14" x14ac:dyDescent="0.35">
      <c r="F2312" s="1"/>
      <c r="K2312" s="8" t="s">
        <v>268</v>
      </c>
      <c r="L2312" s="8" t="s">
        <v>486</v>
      </c>
      <c r="M2312" s="8">
        <v>0</v>
      </c>
      <c r="N2312" s="8"/>
    </row>
    <row r="2313" spans="6:14" x14ac:dyDescent="0.35">
      <c r="F2313" s="1"/>
      <c r="K2313" s="8" t="s">
        <v>268</v>
      </c>
      <c r="L2313" s="8" t="s">
        <v>487</v>
      </c>
      <c r="M2313" s="8">
        <v>0</v>
      </c>
      <c r="N2313" s="8"/>
    </row>
    <row r="2314" spans="6:14" x14ac:dyDescent="0.35">
      <c r="F2314" s="1"/>
      <c r="K2314" s="8" t="s">
        <v>268</v>
      </c>
      <c r="L2314" s="8" t="s">
        <v>488</v>
      </c>
      <c r="M2314" s="8">
        <v>0</v>
      </c>
      <c r="N2314" s="8"/>
    </row>
    <row r="2315" spans="6:14" x14ac:dyDescent="0.35">
      <c r="F2315" s="1"/>
      <c r="K2315" s="8" t="s">
        <v>268</v>
      </c>
      <c r="L2315" s="8" t="s">
        <v>489</v>
      </c>
      <c r="M2315" s="8">
        <v>0</v>
      </c>
      <c r="N2315" s="8"/>
    </row>
    <row r="2316" spans="6:14" x14ac:dyDescent="0.35">
      <c r="F2316" s="1"/>
      <c r="K2316" s="8" t="s">
        <v>268</v>
      </c>
      <c r="L2316" s="8" t="s">
        <v>490</v>
      </c>
      <c r="M2316" s="8">
        <v>0</v>
      </c>
      <c r="N2316" s="8"/>
    </row>
    <row r="2317" spans="6:14" x14ac:dyDescent="0.35">
      <c r="F2317" s="1"/>
      <c r="K2317" s="8" t="s">
        <v>268</v>
      </c>
      <c r="L2317" s="8" t="s">
        <v>373</v>
      </c>
      <c r="M2317" s="8">
        <v>1</v>
      </c>
      <c r="N2317" s="8"/>
    </row>
    <row r="2318" spans="6:14" x14ac:dyDescent="0.35">
      <c r="F2318" s="1"/>
      <c r="K2318" s="8" t="s">
        <v>268</v>
      </c>
      <c r="L2318" s="8" t="s">
        <v>491</v>
      </c>
      <c r="M2318" s="8">
        <v>0</v>
      </c>
      <c r="N2318" s="8"/>
    </row>
    <row r="2319" spans="6:14" x14ac:dyDescent="0.35">
      <c r="F2319" s="1"/>
      <c r="K2319" s="8" t="s">
        <v>268</v>
      </c>
      <c r="L2319" s="8" t="s">
        <v>492</v>
      </c>
      <c r="M2319" s="8">
        <v>0</v>
      </c>
      <c r="N2319" s="8"/>
    </row>
    <row r="2320" spans="6:14" x14ac:dyDescent="0.35">
      <c r="F2320" s="1"/>
      <c r="K2320" s="8" t="s">
        <v>268</v>
      </c>
      <c r="L2320" s="8" t="s">
        <v>493</v>
      </c>
      <c r="M2320" s="8">
        <v>0</v>
      </c>
      <c r="N2320" s="8"/>
    </row>
    <row r="2321" spans="6:14" x14ac:dyDescent="0.35">
      <c r="F2321" s="1"/>
      <c r="K2321" s="8" t="s">
        <v>268</v>
      </c>
      <c r="L2321" s="8" t="s">
        <v>494</v>
      </c>
      <c r="M2321" s="8">
        <v>0</v>
      </c>
      <c r="N2321" s="8"/>
    </row>
    <row r="2322" spans="6:14" x14ac:dyDescent="0.35">
      <c r="F2322" s="1"/>
      <c r="K2322" s="8" t="s">
        <v>268</v>
      </c>
      <c r="L2322" s="8" t="s">
        <v>495</v>
      </c>
      <c r="M2322" s="8">
        <v>0</v>
      </c>
      <c r="N2322" s="8"/>
    </row>
    <row r="2323" spans="6:14" x14ac:dyDescent="0.35">
      <c r="F2323" s="1"/>
      <c r="K2323" s="8" t="s">
        <v>269</v>
      </c>
      <c r="L2323" s="8" t="s">
        <v>522</v>
      </c>
      <c r="M2323" s="8">
        <v>0</v>
      </c>
      <c r="N2323" s="8"/>
    </row>
    <row r="2324" spans="6:14" x14ac:dyDescent="0.35">
      <c r="F2324" s="1"/>
      <c r="K2324" s="8" t="s">
        <v>269</v>
      </c>
      <c r="L2324" s="8" t="s">
        <v>523</v>
      </c>
      <c r="M2324" s="8">
        <v>0</v>
      </c>
      <c r="N2324" s="8"/>
    </row>
    <row r="2325" spans="6:14" x14ac:dyDescent="0.35">
      <c r="F2325" s="1"/>
      <c r="K2325" s="8" t="s">
        <v>269</v>
      </c>
      <c r="L2325" s="8" t="s">
        <v>414</v>
      </c>
      <c r="M2325" s="8">
        <v>1</v>
      </c>
      <c r="N2325" s="8"/>
    </row>
    <row r="2326" spans="6:14" x14ac:dyDescent="0.35">
      <c r="F2326" s="1"/>
      <c r="K2326" s="8" t="s">
        <v>269</v>
      </c>
      <c r="L2326" s="8" t="s">
        <v>524</v>
      </c>
      <c r="M2326" s="8">
        <v>0</v>
      </c>
      <c r="N2326" s="8"/>
    </row>
    <row r="2327" spans="6:14" x14ac:dyDescent="0.35">
      <c r="F2327" s="1"/>
      <c r="K2327" s="8" t="s">
        <v>269</v>
      </c>
      <c r="L2327" s="8" t="s">
        <v>480</v>
      </c>
      <c r="M2327" s="8">
        <v>0</v>
      </c>
      <c r="N2327" s="8"/>
    </row>
    <row r="2328" spans="6:14" x14ac:dyDescent="0.35">
      <c r="F2328" s="1"/>
      <c r="K2328" s="8" t="s">
        <v>269</v>
      </c>
      <c r="L2328" s="8" t="s">
        <v>481</v>
      </c>
      <c r="M2328" s="8">
        <v>0</v>
      </c>
      <c r="N2328" s="8"/>
    </row>
    <row r="2329" spans="6:14" x14ac:dyDescent="0.35">
      <c r="F2329" s="1"/>
      <c r="K2329" s="8" t="s">
        <v>269</v>
      </c>
      <c r="L2329" s="8" t="s">
        <v>482</v>
      </c>
      <c r="M2329" s="8">
        <v>0</v>
      </c>
      <c r="N2329" s="8"/>
    </row>
    <row r="2330" spans="6:14" x14ac:dyDescent="0.35">
      <c r="F2330" s="1"/>
      <c r="K2330" s="8" t="s">
        <v>269</v>
      </c>
      <c r="L2330" s="8" t="s">
        <v>483</v>
      </c>
      <c r="M2330" s="8">
        <v>0</v>
      </c>
      <c r="N2330" s="8"/>
    </row>
    <row r="2331" spans="6:14" x14ac:dyDescent="0.35">
      <c r="F2331" s="1"/>
      <c r="K2331" s="8" t="s">
        <v>269</v>
      </c>
      <c r="L2331" s="8" t="s">
        <v>484</v>
      </c>
      <c r="M2331" s="8">
        <v>0</v>
      </c>
      <c r="N2331" s="8"/>
    </row>
    <row r="2332" spans="6:14" x14ac:dyDescent="0.35">
      <c r="F2332" s="1"/>
      <c r="K2332" s="8" t="s">
        <v>269</v>
      </c>
      <c r="L2332" s="8" t="s">
        <v>486</v>
      </c>
      <c r="M2332" s="8">
        <v>0</v>
      </c>
      <c r="N2332" s="8"/>
    </row>
    <row r="2333" spans="6:14" x14ac:dyDescent="0.35">
      <c r="F2333" s="1"/>
      <c r="K2333" s="8" t="s">
        <v>269</v>
      </c>
      <c r="L2333" s="8" t="s">
        <v>487</v>
      </c>
      <c r="M2333" s="8">
        <v>0</v>
      </c>
      <c r="N2333" s="8"/>
    </row>
    <row r="2334" spans="6:14" x14ac:dyDescent="0.35">
      <c r="F2334" s="1"/>
      <c r="K2334" s="8" t="s">
        <v>269</v>
      </c>
      <c r="L2334" s="8" t="s">
        <v>488</v>
      </c>
      <c r="M2334" s="8">
        <v>0</v>
      </c>
      <c r="N2334" s="8"/>
    </row>
    <row r="2335" spans="6:14" x14ac:dyDescent="0.35">
      <c r="F2335" s="1"/>
      <c r="K2335" s="8" t="s">
        <v>269</v>
      </c>
      <c r="L2335" s="8" t="s">
        <v>489</v>
      </c>
      <c r="M2335" s="8">
        <v>0</v>
      </c>
      <c r="N2335" s="8"/>
    </row>
    <row r="2336" spans="6:14" x14ac:dyDescent="0.35">
      <c r="F2336" s="1"/>
      <c r="K2336" s="8" t="s">
        <v>269</v>
      </c>
      <c r="L2336" s="8" t="s">
        <v>490</v>
      </c>
      <c r="M2336" s="8">
        <v>0</v>
      </c>
      <c r="N2336" s="8"/>
    </row>
    <row r="2337" spans="6:14" x14ac:dyDescent="0.35">
      <c r="F2337" s="1"/>
      <c r="K2337" s="8" t="s">
        <v>269</v>
      </c>
      <c r="L2337" s="8" t="s">
        <v>525</v>
      </c>
      <c r="M2337" s="8">
        <v>0</v>
      </c>
      <c r="N2337" s="8"/>
    </row>
    <row r="2338" spans="6:14" x14ac:dyDescent="0.35">
      <c r="F2338" s="1"/>
      <c r="K2338" s="8" t="s">
        <v>269</v>
      </c>
      <c r="L2338" s="8" t="s">
        <v>526</v>
      </c>
      <c r="M2338" s="8">
        <v>0</v>
      </c>
      <c r="N2338" s="8"/>
    </row>
    <row r="2339" spans="6:14" x14ac:dyDescent="0.35">
      <c r="F2339" s="1"/>
      <c r="K2339" s="8" t="s">
        <v>269</v>
      </c>
      <c r="L2339" s="8" t="s">
        <v>527</v>
      </c>
      <c r="M2339" s="8">
        <v>0</v>
      </c>
      <c r="N2339" s="8"/>
    </row>
    <row r="2340" spans="6:14" x14ac:dyDescent="0.35">
      <c r="F2340" s="1"/>
      <c r="K2340" s="8" t="s">
        <v>269</v>
      </c>
      <c r="L2340" s="8" t="s">
        <v>528</v>
      </c>
      <c r="M2340" s="8">
        <v>0</v>
      </c>
      <c r="N2340" s="8"/>
    </row>
    <row r="2341" spans="6:14" x14ac:dyDescent="0.35">
      <c r="F2341" s="1"/>
      <c r="K2341" s="8" t="s">
        <v>269</v>
      </c>
      <c r="L2341" s="8" t="s">
        <v>491</v>
      </c>
      <c r="M2341" s="8">
        <v>0</v>
      </c>
      <c r="N2341" s="8"/>
    </row>
    <row r="2342" spans="6:14" x14ac:dyDescent="0.35">
      <c r="F2342" s="1"/>
      <c r="K2342" s="8" t="s">
        <v>269</v>
      </c>
      <c r="L2342" s="8" t="s">
        <v>492</v>
      </c>
      <c r="M2342" s="8">
        <v>0</v>
      </c>
      <c r="N2342" s="8"/>
    </row>
    <row r="2343" spans="6:14" x14ac:dyDescent="0.35">
      <c r="F2343" s="1"/>
      <c r="K2343" s="8" t="s">
        <v>269</v>
      </c>
      <c r="L2343" s="8" t="s">
        <v>493</v>
      </c>
      <c r="M2343" s="8">
        <v>0</v>
      </c>
      <c r="N2343" s="8"/>
    </row>
    <row r="2344" spans="6:14" x14ac:dyDescent="0.35">
      <c r="F2344" s="1"/>
      <c r="K2344" s="8" t="s">
        <v>270</v>
      </c>
      <c r="L2344" s="8" t="s">
        <v>405</v>
      </c>
      <c r="M2344" s="8">
        <v>0</v>
      </c>
      <c r="N2344" s="8"/>
    </row>
    <row r="2345" spans="6:14" x14ac:dyDescent="0.35">
      <c r="F2345" s="1"/>
      <c r="K2345" s="8" t="s">
        <v>270</v>
      </c>
      <c r="L2345" s="8" t="s">
        <v>350</v>
      </c>
      <c r="M2345" s="8">
        <v>0</v>
      </c>
      <c r="N2345" s="8"/>
    </row>
    <row r="2346" spans="6:14" x14ac:dyDescent="0.35">
      <c r="F2346" s="1"/>
      <c r="K2346" s="8" t="s">
        <v>270</v>
      </c>
      <c r="L2346" s="8" t="s">
        <v>417</v>
      </c>
      <c r="M2346" s="8">
        <v>0</v>
      </c>
      <c r="N2346" s="8"/>
    </row>
    <row r="2347" spans="6:14" x14ac:dyDescent="0.35">
      <c r="F2347" s="1"/>
      <c r="K2347" s="8" t="s">
        <v>270</v>
      </c>
      <c r="L2347" s="8" t="s">
        <v>1061</v>
      </c>
      <c r="M2347" s="8">
        <v>0</v>
      </c>
      <c r="N2347" s="8"/>
    </row>
    <row r="2348" spans="6:14" x14ac:dyDescent="0.35">
      <c r="F2348" s="1"/>
      <c r="K2348" s="8" t="s">
        <v>270</v>
      </c>
      <c r="L2348" s="8" t="s">
        <v>1062</v>
      </c>
      <c r="M2348" s="8">
        <v>0</v>
      </c>
      <c r="N2348" s="8"/>
    </row>
    <row r="2349" spans="6:14" x14ac:dyDescent="0.35">
      <c r="F2349" s="1"/>
      <c r="K2349" s="8" t="s">
        <v>270</v>
      </c>
      <c r="L2349" s="8" t="s">
        <v>1063</v>
      </c>
      <c r="M2349" s="8">
        <v>1</v>
      </c>
      <c r="N2349" s="8" t="s">
        <v>517</v>
      </c>
    </row>
    <row r="2350" spans="6:14" x14ac:dyDescent="0.35">
      <c r="F2350" s="1"/>
      <c r="K2350" s="8" t="s">
        <v>270</v>
      </c>
      <c r="L2350" s="8" t="s">
        <v>480</v>
      </c>
      <c r="M2350" s="8">
        <v>0</v>
      </c>
      <c r="N2350" s="8"/>
    </row>
    <row r="2351" spans="6:14" x14ac:dyDescent="0.35">
      <c r="F2351" s="1"/>
      <c r="K2351" s="8" t="s">
        <v>270</v>
      </c>
      <c r="L2351" s="8" t="s">
        <v>481</v>
      </c>
      <c r="M2351" s="8">
        <v>0</v>
      </c>
      <c r="N2351" s="8"/>
    </row>
    <row r="2352" spans="6:14" x14ac:dyDescent="0.35">
      <c r="F2352" s="1"/>
      <c r="K2352" s="8" t="s">
        <v>270</v>
      </c>
      <c r="L2352" s="8" t="s">
        <v>482</v>
      </c>
      <c r="M2352" s="8">
        <v>0</v>
      </c>
      <c r="N2352" s="8"/>
    </row>
    <row r="2353" spans="6:14" x14ac:dyDescent="0.35">
      <c r="F2353" s="1"/>
      <c r="K2353" s="8" t="s">
        <v>270</v>
      </c>
      <c r="L2353" s="8" t="s">
        <v>483</v>
      </c>
      <c r="M2353" s="8">
        <v>0</v>
      </c>
      <c r="N2353" s="8"/>
    </row>
    <row r="2354" spans="6:14" x14ac:dyDescent="0.35">
      <c r="F2354" s="1"/>
      <c r="K2354" s="8" t="s">
        <v>270</v>
      </c>
      <c r="L2354" s="8" t="s">
        <v>484</v>
      </c>
      <c r="M2354" s="8">
        <v>0</v>
      </c>
      <c r="N2354" s="8"/>
    </row>
    <row r="2355" spans="6:14" x14ac:dyDescent="0.35">
      <c r="F2355" s="1"/>
      <c r="K2355" s="8" t="s">
        <v>270</v>
      </c>
      <c r="L2355" s="8" t="s">
        <v>1064</v>
      </c>
      <c r="M2355" s="8">
        <v>0</v>
      </c>
      <c r="N2355" s="8"/>
    </row>
    <row r="2356" spans="6:14" x14ac:dyDescent="0.35">
      <c r="F2356" s="1"/>
      <c r="K2356" s="8" t="s">
        <v>270</v>
      </c>
      <c r="L2356" s="8" t="s">
        <v>410</v>
      </c>
      <c r="M2356" s="8">
        <v>0</v>
      </c>
      <c r="N2356" s="8"/>
    </row>
    <row r="2357" spans="6:14" x14ac:dyDescent="0.35">
      <c r="F2357" s="1"/>
      <c r="K2357" s="8" t="s">
        <v>270</v>
      </c>
      <c r="L2357" s="8" t="s">
        <v>1065</v>
      </c>
      <c r="M2357" s="8">
        <v>0</v>
      </c>
      <c r="N2357" s="8"/>
    </row>
    <row r="2358" spans="6:14" x14ac:dyDescent="0.35">
      <c r="F2358" s="1"/>
      <c r="K2358" s="8" t="s">
        <v>270</v>
      </c>
      <c r="L2358" s="8" t="s">
        <v>411</v>
      </c>
      <c r="M2358" s="8">
        <v>0</v>
      </c>
      <c r="N2358" s="8"/>
    </row>
    <row r="2359" spans="6:14" x14ac:dyDescent="0.35">
      <c r="F2359" s="1"/>
      <c r="K2359" s="8" t="s">
        <v>270</v>
      </c>
      <c r="L2359" s="8" t="s">
        <v>412</v>
      </c>
      <c r="M2359" s="8">
        <v>0</v>
      </c>
      <c r="N2359" s="8"/>
    </row>
    <row r="2360" spans="6:14" x14ac:dyDescent="0.35">
      <c r="F2360" s="1"/>
      <c r="K2360" s="8" t="s">
        <v>270</v>
      </c>
      <c r="L2360" s="8" t="s">
        <v>1066</v>
      </c>
      <c r="M2360" s="8">
        <v>1</v>
      </c>
      <c r="N2360" s="8" t="s">
        <v>517</v>
      </c>
    </row>
    <row r="2361" spans="6:14" x14ac:dyDescent="0.35">
      <c r="F2361" s="1"/>
      <c r="K2361" s="8" t="s">
        <v>270</v>
      </c>
      <c r="L2361" s="8" t="s">
        <v>1067</v>
      </c>
      <c r="M2361" s="8">
        <v>1</v>
      </c>
      <c r="N2361" s="8" t="s">
        <v>517</v>
      </c>
    </row>
    <row r="2362" spans="6:14" x14ac:dyDescent="0.35">
      <c r="F2362" s="1"/>
      <c r="K2362" s="8" t="s">
        <v>270</v>
      </c>
      <c r="L2362" s="8" t="s">
        <v>486</v>
      </c>
      <c r="M2362" s="8">
        <v>0</v>
      </c>
      <c r="N2362" s="8"/>
    </row>
    <row r="2363" spans="6:14" x14ac:dyDescent="0.35">
      <c r="F2363" s="1"/>
      <c r="K2363" s="8" t="s">
        <v>270</v>
      </c>
      <c r="L2363" s="8" t="s">
        <v>487</v>
      </c>
      <c r="M2363" s="8">
        <v>0</v>
      </c>
      <c r="N2363" s="8"/>
    </row>
    <row r="2364" spans="6:14" x14ac:dyDescent="0.35">
      <c r="F2364" s="1"/>
      <c r="K2364" s="8" t="s">
        <v>270</v>
      </c>
      <c r="L2364" s="8" t="s">
        <v>488</v>
      </c>
      <c r="M2364" s="8">
        <v>0</v>
      </c>
      <c r="N2364" s="8"/>
    </row>
    <row r="2365" spans="6:14" x14ac:dyDescent="0.35">
      <c r="F2365" s="1"/>
      <c r="K2365" s="8" t="s">
        <v>270</v>
      </c>
      <c r="L2365" s="8" t="s">
        <v>489</v>
      </c>
      <c r="M2365" s="8">
        <v>0</v>
      </c>
      <c r="N2365" s="8"/>
    </row>
    <row r="2366" spans="6:14" x14ac:dyDescent="0.35">
      <c r="F2366" s="1"/>
      <c r="K2366" s="8" t="s">
        <v>270</v>
      </c>
      <c r="L2366" s="8" t="s">
        <v>490</v>
      </c>
      <c r="M2366" s="8">
        <v>0</v>
      </c>
      <c r="N2366" s="8"/>
    </row>
    <row r="2367" spans="6:14" x14ac:dyDescent="0.35">
      <c r="F2367" s="1"/>
      <c r="K2367" s="8" t="s">
        <v>270</v>
      </c>
      <c r="L2367" s="8" t="s">
        <v>1068</v>
      </c>
      <c r="M2367" s="8">
        <v>0</v>
      </c>
      <c r="N2367" s="8"/>
    </row>
    <row r="2368" spans="6:14" x14ac:dyDescent="0.35">
      <c r="F2368" s="1"/>
      <c r="K2368" s="8" t="s">
        <v>270</v>
      </c>
      <c r="L2368" s="8" t="s">
        <v>1069</v>
      </c>
      <c r="M2368" s="8">
        <v>0</v>
      </c>
      <c r="N2368" s="8"/>
    </row>
    <row r="2369" spans="6:14" x14ac:dyDescent="0.35">
      <c r="F2369" s="1"/>
      <c r="K2369" s="8" t="s">
        <v>270</v>
      </c>
      <c r="L2369" s="8" t="s">
        <v>1070</v>
      </c>
      <c r="M2369" s="8">
        <v>0</v>
      </c>
      <c r="N2369" s="8"/>
    </row>
    <row r="2370" spans="6:14" x14ac:dyDescent="0.35">
      <c r="F2370" s="1"/>
      <c r="K2370" s="8" t="s">
        <v>270</v>
      </c>
      <c r="L2370" s="8" t="s">
        <v>1071</v>
      </c>
      <c r="M2370" s="8">
        <v>0</v>
      </c>
      <c r="N2370" s="8"/>
    </row>
    <row r="2371" spans="6:14" x14ac:dyDescent="0.35">
      <c r="F2371" s="1"/>
      <c r="K2371" s="8" t="s">
        <v>270</v>
      </c>
      <c r="L2371" s="8" t="s">
        <v>1072</v>
      </c>
      <c r="M2371" s="8">
        <v>0</v>
      </c>
      <c r="N2371" s="8"/>
    </row>
    <row r="2372" spans="6:14" x14ac:dyDescent="0.35">
      <c r="F2372" s="1"/>
      <c r="K2372" s="8" t="s">
        <v>270</v>
      </c>
      <c r="L2372" s="8" t="s">
        <v>1073</v>
      </c>
      <c r="M2372" s="8">
        <v>0</v>
      </c>
      <c r="N2372" s="8"/>
    </row>
    <row r="2373" spans="6:14" x14ac:dyDescent="0.35">
      <c r="F2373" s="1"/>
      <c r="K2373" s="8" t="s">
        <v>270</v>
      </c>
      <c r="L2373" s="8" t="s">
        <v>1074</v>
      </c>
      <c r="M2373" s="8">
        <v>0</v>
      </c>
      <c r="N2373" s="8"/>
    </row>
    <row r="2374" spans="6:14" x14ac:dyDescent="0.35">
      <c r="F2374" s="1"/>
      <c r="K2374" s="8" t="s">
        <v>270</v>
      </c>
      <c r="L2374" s="8" t="s">
        <v>1075</v>
      </c>
      <c r="M2374" s="8">
        <v>0</v>
      </c>
      <c r="N2374" s="8"/>
    </row>
    <row r="2375" spans="6:14" x14ac:dyDescent="0.35">
      <c r="F2375" s="1"/>
      <c r="K2375" s="8" t="s">
        <v>270</v>
      </c>
      <c r="L2375" s="8" t="s">
        <v>1076</v>
      </c>
      <c r="M2375" s="8">
        <v>0</v>
      </c>
      <c r="N2375" s="8"/>
    </row>
    <row r="2376" spans="6:14" x14ac:dyDescent="0.35">
      <c r="F2376" s="1"/>
      <c r="K2376" s="8" t="s">
        <v>270</v>
      </c>
      <c r="L2376" s="8" t="s">
        <v>1079</v>
      </c>
      <c r="M2376" s="8">
        <v>0</v>
      </c>
      <c r="N2376" s="8"/>
    </row>
    <row r="2377" spans="6:14" x14ac:dyDescent="0.35">
      <c r="F2377" s="1"/>
      <c r="K2377" s="8" t="s">
        <v>270</v>
      </c>
      <c r="L2377" s="8" t="s">
        <v>1080</v>
      </c>
      <c r="M2377" s="8">
        <v>0</v>
      </c>
      <c r="N2377" s="8"/>
    </row>
    <row r="2378" spans="6:14" x14ac:dyDescent="0.35">
      <c r="F2378" s="1"/>
      <c r="K2378" s="8" t="s">
        <v>270</v>
      </c>
      <c r="L2378" s="8" t="s">
        <v>1077</v>
      </c>
      <c r="M2378" s="8">
        <v>0</v>
      </c>
      <c r="N2378" s="8"/>
    </row>
    <row r="2379" spans="6:14" x14ac:dyDescent="0.35">
      <c r="F2379" s="1"/>
      <c r="K2379" s="8" t="s">
        <v>270</v>
      </c>
      <c r="L2379" s="8" t="s">
        <v>1078</v>
      </c>
      <c r="M2379" s="8">
        <v>0</v>
      </c>
      <c r="N2379" s="8"/>
    </row>
    <row r="2380" spans="6:14" x14ac:dyDescent="0.35">
      <c r="F2380" s="1"/>
      <c r="K2380" s="8" t="s">
        <v>270</v>
      </c>
      <c r="L2380" s="8" t="s">
        <v>1081</v>
      </c>
      <c r="M2380" s="8">
        <v>0</v>
      </c>
      <c r="N2380" s="8"/>
    </row>
    <row r="2381" spans="6:14" x14ac:dyDescent="0.35">
      <c r="F2381" s="1"/>
      <c r="K2381" s="8" t="s">
        <v>270</v>
      </c>
      <c r="L2381" s="8" t="s">
        <v>1082</v>
      </c>
      <c r="M2381" s="8">
        <v>0</v>
      </c>
      <c r="N2381" s="8"/>
    </row>
    <row r="2382" spans="6:14" x14ac:dyDescent="0.35">
      <c r="F2382" s="1"/>
      <c r="K2382" s="8" t="s">
        <v>270</v>
      </c>
      <c r="L2382" s="8" t="s">
        <v>1083</v>
      </c>
      <c r="M2382" s="8">
        <v>0</v>
      </c>
      <c r="N2382" s="8"/>
    </row>
    <row r="2383" spans="6:14" x14ac:dyDescent="0.35">
      <c r="F2383" s="1"/>
      <c r="K2383" s="8" t="s">
        <v>270</v>
      </c>
      <c r="L2383" s="8" t="s">
        <v>1084</v>
      </c>
      <c r="M2383" s="8">
        <v>0</v>
      </c>
      <c r="N2383" s="8"/>
    </row>
    <row r="2384" spans="6:14" x14ac:dyDescent="0.35">
      <c r="F2384" s="1"/>
      <c r="K2384" s="8" t="s">
        <v>270</v>
      </c>
      <c r="L2384" s="8" t="s">
        <v>1085</v>
      </c>
      <c r="M2384" s="8">
        <v>0</v>
      </c>
      <c r="N2384" s="8"/>
    </row>
    <row r="2385" spans="6:14" x14ac:dyDescent="0.35">
      <c r="F2385" s="1"/>
      <c r="K2385" s="8" t="s">
        <v>270</v>
      </c>
      <c r="L2385" s="8" t="s">
        <v>1086</v>
      </c>
      <c r="M2385" s="8">
        <v>0</v>
      </c>
      <c r="N2385" s="8"/>
    </row>
    <row r="2386" spans="6:14" x14ac:dyDescent="0.35">
      <c r="F2386" s="1"/>
      <c r="K2386" s="8" t="s">
        <v>270</v>
      </c>
      <c r="L2386" s="8" t="s">
        <v>1087</v>
      </c>
      <c r="M2386" s="8">
        <v>1</v>
      </c>
      <c r="N2386" s="8" t="s">
        <v>517</v>
      </c>
    </row>
    <row r="2387" spans="6:14" x14ac:dyDescent="0.35">
      <c r="F2387" s="1"/>
      <c r="K2387" s="8" t="s">
        <v>270</v>
      </c>
      <c r="L2387" s="8" t="s">
        <v>1088</v>
      </c>
      <c r="M2387" s="8">
        <v>1</v>
      </c>
      <c r="N2387" s="8" t="s">
        <v>517</v>
      </c>
    </row>
    <row r="2388" spans="6:14" x14ac:dyDescent="0.35">
      <c r="F2388" s="1"/>
      <c r="K2388" s="8" t="s">
        <v>270</v>
      </c>
      <c r="L2388" s="8" t="s">
        <v>1089</v>
      </c>
      <c r="M2388" s="8">
        <v>0</v>
      </c>
      <c r="N2388" s="8"/>
    </row>
    <row r="2389" spans="6:14" x14ac:dyDescent="0.35">
      <c r="F2389" s="1"/>
      <c r="K2389" s="8" t="s">
        <v>270</v>
      </c>
      <c r="L2389" s="8" t="s">
        <v>1090</v>
      </c>
      <c r="M2389" s="8">
        <v>0</v>
      </c>
      <c r="N2389" s="8"/>
    </row>
    <row r="2390" spans="6:14" x14ac:dyDescent="0.35">
      <c r="F2390" s="1"/>
      <c r="K2390" s="8" t="s">
        <v>270</v>
      </c>
      <c r="L2390" s="8" t="s">
        <v>373</v>
      </c>
      <c r="M2390" s="8">
        <v>1</v>
      </c>
      <c r="N2390" s="8"/>
    </row>
    <row r="2391" spans="6:14" x14ac:dyDescent="0.35">
      <c r="F2391" s="1"/>
      <c r="K2391" s="8" t="s">
        <v>270</v>
      </c>
      <c r="L2391" s="8" t="s">
        <v>1091</v>
      </c>
      <c r="M2391" s="8">
        <v>1</v>
      </c>
      <c r="N2391" s="8" t="s">
        <v>476</v>
      </c>
    </row>
    <row r="2392" spans="6:14" x14ac:dyDescent="0.35">
      <c r="F2392" s="1"/>
      <c r="K2392" s="8" t="s">
        <v>270</v>
      </c>
      <c r="L2392" s="8" t="s">
        <v>1092</v>
      </c>
      <c r="M2392" s="8">
        <v>0</v>
      </c>
      <c r="N2392" s="8" t="s">
        <v>1009</v>
      </c>
    </row>
    <row r="2393" spans="6:14" x14ac:dyDescent="0.35">
      <c r="F2393" s="1"/>
      <c r="K2393" s="8" t="s">
        <v>270</v>
      </c>
      <c r="L2393" s="8" t="s">
        <v>491</v>
      </c>
      <c r="M2393" s="8">
        <v>0</v>
      </c>
      <c r="N2393" s="8"/>
    </row>
    <row r="2394" spans="6:14" x14ac:dyDescent="0.35">
      <c r="F2394" s="1"/>
      <c r="K2394" s="8" t="s">
        <v>270</v>
      </c>
      <c r="L2394" s="8" t="s">
        <v>492</v>
      </c>
      <c r="M2394" s="8">
        <v>0</v>
      </c>
      <c r="N2394" s="8"/>
    </row>
    <row r="2395" spans="6:14" x14ac:dyDescent="0.35">
      <c r="F2395" s="1"/>
      <c r="K2395" s="8" t="s">
        <v>270</v>
      </c>
      <c r="L2395" s="8" t="s">
        <v>493</v>
      </c>
      <c r="M2395" s="8">
        <v>0</v>
      </c>
      <c r="N2395" s="8"/>
    </row>
    <row r="2396" spans="6:14" x14ac:dyDescent="0.35">
      <c r="F2396" s="1"/>
      <c r="K2396" s="8" t="s">
        <v>270</v>
      </c>
      <c r="L2396" s="8" t="s">
        <v>494</v>
      </c>
      <c r="M2396" s="8">
        <v>0</v>
      </c>
      <c r="N2396" s="8"/>
    </row>
    <row r="2397" spans="6:14" x14ac:dyDescent="0.35">
      <c r="F2397" s="1"/>
      <c r="K2397" s="8" t="s">
        <v>270</v>
      </c>
      <c r="L2397" s="8" t="s">
        <v>495</v>
      </c>
      <c r="M2397" s="8">
        <v>0</v>
      </c>
      <c r="N2397" s="8"/>
    </row>
    <row r="2398" spans="6:14" x14ac:dyDescent="0.35">
      <c r="F2398" s="1"/>
      <c r="K2398" s="8" t="s">
        <v>270</v>
      </c>
      <c r="L2398" s="8" t="s">
        <v>604</v>
      </c>
      <c r="M2398" s="8">
        <v>0</v>
      </c>
      <c r="N2398" s="8"/>
    </row>
    <row r="2399" spans="6:14" x14ac:dyDescent="0.35">
      <c r="F2399" s="1"/>
      <c r="K2399" s="8" t="s">
        <v>270</v>
      </c>
      <c r="L2399" s="8" t="s">
        <v>432</v>
      </c>
      <c r="M2399" s="8">
        <v>0</v>
      </c>
      <c r="N2399" s="8" t="s">
        <v>1004</v>
      </c>
    </row>
    <row r="2400" spans="6:14" x14ac:dyDescent="0.35">
      <c r="F2400" s="1"/>
      <c r="K2400" s="8" t="s">
        <v>270</v>
      </c>
      <c r="L2400" s="8" t="s">
        <v>433</v>
      </c>
      <c r="M2400" s="8">
        <v>0</v>
      </c>
      <c r="N2400" s="8" t="s">
        <v>1010</v>
      </c>
    </row>
    <row r="2401" spans="6:14" x14ac:dyDescent="0.35">
      <c r="F2401" s="1"/>
      <c r="K2401" s="8" t="s">
        <v>270</v>
      </c>
      <c r="L2401" s="8" t="s">
        <v>434</v>
      </c>
      <c r="M2401" s="8">
        <v>0</v>
      </c>
      <c r="N2401" s="8" t="s">
        <v>1011</v>
      </c>
    </row>
    <row r="2402" spans="6:14" x14ac:dyDescent="0.35">
      <c r="F2402" s="1"/>
      <c r="K2402" s="8" t="s">
        <v>270</v>
      </c>
      <c r="L2402" s="8" t="s">
        <v>460</v>
      </c>
      <c r="M2402" s="8">
        <v>0</v>
      </c>
      <c r="N2402" s="8" t="s">
        <v>1004</v>
      </c>
    </row>
    <row r="2403" spans="6:14" x14ac:dyDescent="0.35">
      <c r="F2403" s="1"/>
      <c r="K2403" s="8" t="s">
        <v>270</v>
      </c>
      <c r="L2403" s="8" t="s">
        <v>461</v>
      </c>
      <c r="M2403" s="8">
        <v>0</v>
      </c>
      <c r="N2403" s="8" t="s">
        <v>1093</v>
      </c>
    </row>
    <row r="2404" spans="6:14" x14ac:dyDescent="0.35">
      <c r="F2404" s="1"/>
      <c r="K2404" s="8" t="s">
        <v>271</v>
      </c>
      <c r="L2404" s="8" t="s">
        <v>480</v>
      </c>
      <c r="M2404" s="8">
        <v>0</v>
      </c>
      <c r="N2404" s="8"/>
    </row>
    <row r="2405" spans="6:14" x14ac:dyDescent="0.35">
      <c r="F2405" s="1"/>
      <c r="K2405" s="8" t="s">
        <v>271</v>
      </c>
      <c r="L2405" s="8" t="s">
        <v>481</v>
      </c>
      <c r="M2405" s="8">
        <v>0</v>
      </c>
      <c r="N2405" s="8"/>
    </row>
    <row r="2406" spans="6:14" x14ac:dyDescent="0.35">
      <c r="F2406" s="1"/>
      <c r="K2406" s="8" t="s">
        <v>271</v>
      </c>
      <c r="L2406" s="8" t="s">
        <v>482</v>
      </c>
      <c r="M2406" s="8">
        <v>0</v>
      </c>
      <c r="N2406" s="8"/>
    </row>
    <row r="2407" spans="6:14" x14ac:dyDescent="0.35">
      <c r="F2407" s="1"/>
      <c r="K2407" s="8" t="s">
        <v>271</v>
      </c>
      <c r="L2407" s="8" t="s">
        <v>483</v>
      </c>
      <c r="M2407" s="8">
        <v>0</v>
      </c>
      <c r="N2407" s="8"/>
    </row>
    <row r="2408" spans="6:14" x14ac:dyDescent="0.35">
      <c r="F2408" s="1"/>
      <c r="K2408" s="8" t="s">
        <v>271</v>
      </c>
      <c r="L2408" s="8" t="s">
        <v>484</v>
      </c>
      <c r="M2408" s="8">
        <v>0</v>
      </c>
      <c r="N2408" s="8"/>
    </row>
    <row r="2409" spans="6:14" x14ac:dyDescent="0.35">
      <c r="F2409" s="1"/>
      <c r="K2409" s="8" t="s">
        <v>271</v>
      </c>
      <c r="L2409" s="8" t="s">
        <v>377</v>
      </c>
      <c r="M2409" s="8">
        <v>1</v>
      </c>
      <c r="N2409" s="8"/>
    </row>
    <row r="2410" spans="6:14" x14ac:dyDescent="0.35">
      <c r="F2410" s="1"/>
      <c r="K2410" s="8" t="s">
        <v>271</v>
      </c>
      <c r="L2410" s="8" t="s">
        <v>486</v>
      </c>
      <c r="M2410" s="8">
        <v>0</v>
      </c>
      <c r="N2410" s="8"/>
    </row>
    <row r="2411" spans="6:14" x14ac:dyDescent="0.35">
      <c r="F2411" s="1"/>
      <c r="K2411" s="8" t="s">
        <v>271</v>
      </c>
      <c r="L2411" s="8" t="s">
        <v>487</v>
      </c>
      <c r="M2411" s="8">
        <v>0</v>
      </c>
      <c r="N2411" s="8"/>
    </row>
    <row r="2412" spans="6:14" x14ac:dyDescent="0.35">
      <c r="F2412" s="1"/>
      <c r="K2412" s="8" t="s">
        <v>271</v>
      </c>
      <c r="L2412" s="8" t="s">
        <v>488</v>
      </c>
      <c r="M2412" s="8">
        <v>0</v>
      </c>
      <c r="N2412" s="8"/>
    </row>
    <row r="2413" spans="6:14" x14ac:dyDescent="0.35">
      <c r="F2413" s="1"/>
      <c r="K2413" s="8" t="s">
        <v>271</v>
      </c>
      <c r="L2413" s="8" t="s">
        <v>489</v>
      </c>
      <c r="M2413" s="8">
        <v>0</v>
      </c>
      <c r="N2413" s="8"/>
    </row>
    <row r="2414" spans="6:14" x14ac:dyDescent="0.35">
      <c r="F2414" s="1"/>
      <c r="K2414" s="8" t="s">
        <v>271</v>
      </c>
      <c r="L2414" s="8" t="s">
        <v>490</v>
      </c>
      <c r="M2414" s="8">
        <v>0</v>
      </c>
      <c r="N2414" s="8"/>
    </row>
    <row r="2415" spans="6:14" x14ac:dyDescent="0.35">
      <c r="F2415" s="1"/>
      <c r="K2415" s="8" t="s">
        <v>271</v>
      </c>
      <c r="L2415" s="8" t="s">
        <v>462</v>
      </c>
      <c r="M2415" s="8">
        <v>1</v>
      </c>
      <c r="N2415" s="8"/>
    </row>
    <row r="2416" spans="6:14" x14ac:dyDescent="0.35">
      <c r="F2416" s="1"/>
      <c r="K2416" s="8" t="s">
        <v>271</v>
      </c>
      <c r="L2416" s="8" t="s">
        <v>710</v>
      </c>
      <c r="M2416" s="8">
        <v>0</v>
      </c>
      <c r="N2416" s="8"/>
    </row>
    <row r="2417" spans="6:14" x14ac:dyDescent="0.35">
      <c r="F2417" s="1"/>
      <c r="K2417" s="8" t="s">
        <v>271</v>
      </c>
      <c r="L2417" s="8" t="s">
        <v>491</v>
      </c>
      <c r="M2417" s="8">
        <v>0</v>
      </c>
      <c r="N2417" s="8"/>
    </row>
    <row r="2418" spans="6:14" x14ac:dyDescent="0.35">
      <c r="F2418" s="1"/>
      <c r="K2418" s="8" t="s">
        <v>271</v>
      </c>
      <c r="L2418" s="8" t="s">
        <v>492</v>
      </c>
      <c r="M2418" s="8">
        <v>0</v>
      </c>
      <c r="N2418" s="8"/>
    </row>
    <row r="2419" spans="6:14" x14ac:dyDescent="0.35">
      <c r="F2419" s="1"/>
      <c r="K2419" s="8" t="s">
        <v>271</v>
      </c>
      <c r="L2419" s="8" t="s">
        <v>493</v>
      </c>
      <c r="M2419" s="8">
        <v>0</v>
      </c>
      <c r="N2419" s="8"/>
    </row>
    <row r="2420" spans="6:14" x14ac:dyDescent="0.35">
      <c r="F2420" s="1"/>
      <c r="K2420" s="8" t="s">
        <v>271</v>
      </c>
      <c r="L2420" s="8" t="s">
        <v>494</v>
      </c>
      <c r="M2420" s="8">
        <v>0</v>
      </c>
      <c r="N2420" s="8"/>
    </row>
    <row r="2421" spans="6:14" x14ac:dyDescent="0.35">
      <c r="F2421" s="1"/>
      <c r="K2421" s="8" t="s">
        <v>271</v>
      </c>
      <c r="L2421" s="8" t="s">
        <v>495</v>
      </c>
      <c r="M2421" s="8">
        <v>0</v>
      </c>
      <c r="N2421" s="8"/>
    </row>
    <row r="2422" spans="6:14" x14ac:dyDescent="0.35">
      <c r="F2422" s="1"/>
      <c r="K2422" s="8" t="s">
        <v>272</v>
      </c>
      <c r="L2422" s="8" t="s">
        <v>463</v>
      </c>
      <c r="M2422" s="8">
        <v>1</v>
      </c>
      <c r="N2422" s="8"/>
    </row>
    <row r="2423" spans="6:14" x14ac:dyDescent="0.35">
      <c r="F2423" s="1"/>
      <c r="K2423" s="8" t="s">
        <v>272</v>
      </c>
      <c r="L2423" s="8" t="s">
        <v>711</v>
      </c>
      <c r="M2423" s="8">
        <v>0</v>
      </c>
      <c r="N2423" s="8"/>
    </row>
    <row r="2424" spans="6:14" x14ac:dyDescent="0.35">
      <c r="F2424" s="1"/>
      <c r="K2424" s="8" t="s">
        <v>272</v>
      </c>
      <c r="L2424" s="8" t="s">
        <v>712</v>
      </c>
      <c r="M2424" s="8">
        <v>0</v>
      </c>
      <c r="N2424" s="8"/>
    </row>
    <row r="2425" spans="6:14" x14ac:dyDescent="0.35">
      <c r="F2425" s="1"/>
      <c r="K2425" s="8" t="s">
        <v>272</v>
      </c>
      <c r="L2425" s="8" t="s">
        <v>713</v>
      </c>
      <c r="M2425" s="8">
        <v>0</v>
      </c>
      <c r="N2425" s="8" t="s">
        <v>539</v>
      </c>
    </row>
    <row r="2426" spans="6:14" x14ac:dyDescent="0.35">
      <c r="F2426" s="1"/>
      <c r="K2426" s="8" t="s">
        <v>272</v>
      </c>
      <c r="L2426" s="8" t="s">
        <v>480</v>
      </c>
      <c r="M2426" s="8">
        <v>0</v>
      </c>
      <c r="N2426" s="8"/>
    </row>
    <row r="2427" spans="6:14" x14ac:dyDescent="0.35">
      <c r="F2427" s="1"/>
      <c r="K2427" s="8" t="s">
        <v>272</v>
      </c>
      <c r="L2427" s="8" t="s">
        <v>481</v>
      </c>
      <c r="M2427" s="8">
        <v>0</v>
      </c>
      <c r="N2427" s="8"/>
    </row>
    <row r="2428" spans="6:14" x14ac:dyDescent="0.35">
      <c r="F2428" s="1"/>
      <c r="K2428" s="8" t="s">
        <v>272</v>
      </c>
      <c r="L2428" s="8" t="s">
        <v>482</v>
      </c>
      <c r="M2428" s="8">
        <v>0</v>
      </c>
      <c r="N2428" s="8"/>
    </row>
    <row r="2429" spans="6:14" x14ac:dyDescent="0.35">
      <c r="F2429" s="1"/>
      <c r="K2429" s="8" t="s">
        <v>272</v>
      </c>
      <c r="L2429" s="8" t="s">
        <v>483</v>
      </c>
      <c r="M2429" s="8">
        <v>0</v>
      </c>
      <c r="N2429" s="8"/>
    </row>
    <row r="2430" spans="6:14" x14ac:dyDescent="0.35">
      <c r="F2430" s="1"/>
      <c r="K2430" s="8" t="s">
        <v>272</v>
      </c>
      <c r="L2430" s="8" t="s">
        <v>484</v>
      </c>
      <c r="M2430" s="8">
        <v>0</v>
      </c>
      <c r="N2430" s="8"/>
    </row>
    <row r="2431" spans="6:14" x14ac:dyDescent="0.35">
      <c r="F2431" s="1"/>
      <c r="K2431" s="8" t="s">
        <v>272</v>
      </c>
      <c r="L2431" s="8" t="s">
        <v>486</v>
      </c>
      <c r="M2431" s="8">
        <v>0</v>
      </c>
      <c r="N2431" s="8"/>
    </row>
    <row r="2432" spans="6:14" x14ac:dyDescent="0.35">
      <c r="F2432" s="1"/>
      <c r="K2432" s="8" t="s">
        <v>272</v>
      </c>
      <c r="L2432" s="8" t="s">
        <v>487</v>
      </c>
      <c r="M2432" s="8">
        <v>0</v>
      </c>
      <c r="N2432" s="8"/>
    </row>
    <row r="2433" spans="6:14" x14ac:dyDescent="0.35">
      <c r="F2433" s="1"/>
      <c r="K2433" s="8" t="s">
        <v>272</v>
      </c>
      <c r="L2433" s="8" t="s">
        <v>488</v>
      </c>
      <c r="M2433" s="8">
        <v>0</v>
      </c>
      <c r="N2433" s="8"/>
    </row>
    <row r="2434" spans="6:14" x14ac:dyDescent="0.35">
      <c r="F2434" s="1"/>
      <c r="K2434" s="8" t="s">
        <v>272</v>
      </c>
      <c r="L2434" s="8" t="s">
        <v>489</v>
      </c>
      <c r="M2434" s="8">
        <v>0</v>
      </c>
      <c r="N2434" s="8"/>
    </row>
    <row r="2435" spans="6:14" x14ac:dyDescent="0.35">
      <c r="F2435" s="1"/>
      <c r="K2435" s="8" t="s">
        <v>272</v>
      </c>
      <c r="L2435" s="8" t="s">
        <v>490</v>
      </c>
      <c r="M2435" s="8">
        <v>0</v>
      </c>
      <c r="N2435" s="8"/>
    </row>
    <row r="2436" spans="6:14" x14ac:dyDescent="0.35">
      <c r="F2436" s="1"/>
      <c r="K2436" s="8" t="s">
        <v>272</v>
      </c>
      <c r="L2436" s="8" t="s">
        <v>462</v>
      </c>
      <c r="M2436" s="8">
        <v>1</v>
      </c>
      <c r="N2436" s="8"/>
    </row>
    <row r="2437" spans="6:14" x14ac:dyDescent="0.35">
      <c r="F2437" s="1"/>
      <c r="K2437" s="8" t="s">
        <v>272</v>
      </c>
      <c r="L2437" s="8" t="s">
        <v>491</v>
      </c>
      <c r="M2437" s="8">
        <v>0</v>
      </c>
      <c r="N2437" s="8"/>
    </row>
    <row r="2438" spans="6:14" x14ac:dyDescent="0.35">
      <c r="F2438" s="1"/>
      <c r="K2438" s="8" t="s">
        <v>272</v>
      </c>
      <c r="L2438" s="8" t="s">
        <v>492</v>
      </c>
      <c r="M2438" s="8">
        <v>0</v>
      </c>
      <c r="N2438" s="8"/>
    </row>
    <row r="2439" spans="6:14" x14ac:dyDescent="0.35">
      <c r="F2439" s="1"/>
      <c r="K2439" s="8" t="s">
        <v>272</v>
      </c>
      <c r="L2439" s="8" t="s">
        <v>493</v>
      </c>
      <c r="M2439" s="8">
        <v>0</v>
      </c>
      <c r="N2439" s="8"/>
    </row>
    <row r="2440" spans="6:14" x14ac:dyDescent="0.35">
      <c r="F2440" s="1"/>
      <c r="K2440" s="8" t="s">
        <v>272</v>
      </c>
      <c r="L2440" s="8" t="s">
        <v>494</v>
      </c>
      <c r="M2440" s="8">
        <v>0</v>
      </c>
      <c r="N2440" s="8"/>
    </row>
    <row r="2441" spans="6:14" x14ac:dyDescent="0.35">
      <c r="F2441" s="1"/>
      <c r="K2441" s="8" t="s">
        <v>272</v>
      </c>
      <c r="L2441" s="8" t="s">
        <v>495</v>
      </c>
      <c r="M2441" s="8">
        <v>0</v>
      </c>
      <c r="N2441" s="8"/>
    </row>
    <row r="2442" spans="6:14" x14ac:dyDescent="0.35">
      <c r="F2442" s="1"/>
      <c r="K2442" s="8" t="s">
        <v>272</v>
      </c>
      <c r="L2442" s="8" t="s">
        <v>380</v>
      </c>
      <c r="M2442" s="8">
        <v>0</v>
      </c>
      <c r="N2442" s="8"/>
    </row>
    <row r="2443" spans="6:14" x14ac:dyDescent="0.35">
      <c r="F2443" s="1"/>
      <c r="K2443" s="8" t="s">
        <v>273</v>
      </c>
      <c r="L2443" s="8" t="s">
        <v>709</v>
      </c>
      <c r="M2443" s="8">
        <v>0</v>
      </c>
      <c r="N2443" s="8" t="s">
        <v>476</v>
      </c>
    </row>
    <row r="2444" spans="6:14" x14ac:dyDescent="0.35">
      <c r="F2444" s="1"/>
      <c r="K2444" s="8" t="s">
        <v>273</v>
      </c>
      <c r="L2444" s="8" t="s">
        <v>480</v>
      </c>
      <c r="M2444" s="8">
        <v>0</v>
      </c>
      <c r="N2444" s="8"/>
    </row>
    <row r="2445" spans="6:14" x14ac:dyDescent="0.35">
      <c r="F2445" s="1"/>
      <c r="K2445" s="8" t="s">
        <v>273</v>
      </c>
      <c r="L2445" s="8" t="s">
        <v>481</v>
      </c>
      <c r="M2445" s="8">
        <v>0</v>
      </c>
      <c r="N2445" s="8"/>
    </row>
    <row r="2446" spans="6:14" x14ac:dyDescent="0.35">
      <c r="F2446" s="1"/>
      <c r="K2446" s="8" t="s">
        <v>273</v>
      </c>
      <c r="L2446" s="8" t="s">
        <v>482</v>
      </c>
      <c r="M2446" s="8">
        <v>0</v>
      </c>
      <c r="N2446" s="8"/>
    </row>
    <row r="2447" spans="6:14" x14ac:dyDescent="0.35">
      <c r="F2447" s="1"/>
      <c r="K2447" s="8" t="s">
        <v>273</v>
      </c>
      <c r="L2447" s="8" t="s">
        <v>483</v>
      </c>
      <c r="M2447" s="8">
        <v>0</v>
      </c>
      <c r="N2447" s="8"/>
    </row>
    <row r="2448" spans="6:14" x14ac:dyDescent="0.35">
      <c r="F2448" s="1"/>
      <c r="K2448" s="8" t="s">
        <v>273</v>
      </c>
      <c r="L2448" s="8" t="s">
        <v>484</v>
      </c>
      <c r="M2448" s="8">
        <v>0</v>
      </c>
      <c r="N2448" s="8"/>
    </row>
    <row r="2449" spans="6:14" x14ac:dyDescent="0.35">
      <c r="F2449" s="1"/>
      <c r="K2449" s="8" t="s">
        <v>273</v>
      </c>
      <c r="L2449" s="8" t="s">
        <v>375</v>
      </c>
      <c r="M2449" s="8">
        <v>1</v>
      </c>
      <c r="N2449" s="8"/>
    </row>
    <row r="2450" spans="6:14" x14ac:dyDescent="0.35">
      <c r="F2450" s="1"/>
      <c r="K2450" s="8" t="s">
        <v>273</v>
      </c>
      <c r="L2450" s="8" t="s">
        <v>376</v>
      </c>
      <c r="M2450" s="8">
        <v>1</v>
      </c>
      <c r="N2450" s="8"/>
    </row>
    <row r="2451" spans="6:14" x14ac:dyDescent="0.35">
      <c r="F2451" s="1"/>
      <c r="K2451" s="8" t="s">
        <v>273</v>
      </c>
      <c r="L2451" s="8" t="s">
        <v>486</v>
      </c>
      <c r="M2451" s="8">
        <v>0</v>
      </c>
      <c r="N2451" s="8"/>
    </row>
    <row r="2452" spans="6:14" x14ac:dyDescent="0.35">
      <c r="F2452" s="1"/>
      <c r="K2452" s="8" t="s">
        <v>273</v>
      </c>
      <c r="L2452" s="8" t="s">
        <v>487</v>
      </c>
      <c r="M2452" s="8">
        <v>0</v>
      </c>
      <c r="N2452" s="8"/>
    </row>
    <row r="2453" spans="6:14" x14ac:dyDescent="0.35">
      <c r="F2453" s="1"/>
      <c r="K2453" s="8" t="s">
        <v>273</v>
      </c>
      <c r="L2453" s="8" t="s">
        <v>488</v>
      </c>
      <c r="M2453" s="8">
        <v>0</v>
      </c>
      <c r="N2453" s="8"/>
    </row>
    <row r="2454" spans="6:14" x14ac:dyDescent="0.35">
      <c r="F2454" s="1"/>
      <c r="K2454" s="8" t="s">
        <v>273</v>
      </c>
      <c r="L2454" s="8" t="s">
        <v>489</v>
      </c>
      <c r="M2454" s="8">
        <v>0</v>
      </c>
      <c r="N2454" s="8"/>
    </row>
    <row r="2455" spans="6:14" x14ac:dyDescent="0.35">
      <c r="F2455" s="1"/>
      <c r="K2455" s="8" t="s">
        <v>273</v>
      </c>
      <c r="L2455" s="8" t="s">
        <v>490</v>
      </c>
      <c r="M2455" s="8">
        <v>0</v>
      </c>
      <c r="N2455" s="8"/>
    </row>
    <row r="2456" spans="6:14" x14ac:dyDescent="0.35">
      <c r="F2456" s="1"/>
      <c r="K2456" s="8" t="s">
        <v>273</v>
      </c>
      <c r="L2456" s="8" t="s">
        <v>462</v>
      </c>
      <c r="M2456" s="8">
        <v>1</v>
      </c>
      <c r="N2456" s="8"/>
    </row>
    <row r="2457" spans="6:14" x14ac:dyDescent="0.35">
      <c r="F2457" s="1"/>
      <c r="K2457" s="8" t="s">
        <v>273</v>
      </c>
      <c r="L2457" s="8" t="s">
        <v>491</v>
      </c>
      <c r="M2457" s="8">
        <v>0</v>
      </c>
      <c r="N2457" s="8"/>
    </row>
    <row r="2458" spans="6:14" x14ac:dyDescent="0.35">
      <c r="F2458" s="1"/>
      <c r="K2458" s="8" t="s">
        <v>273</v>
      </c>
      <c r="L2458" s="8" t="s">
        <v>492</v>
      </c>
      <c r="M2458" s="8">
        <v>0</v>
      </c>
      <c r="N2458" s="8"/>
    </row>
    <row r="2459" spans="6:14" x14ac:dyDescent="0.35">
      <c r="F2459" s="1"/>
      <c r="K2459" s="8" t="s">
        <v>273</v>
      </c>
      <c r="L2459" s="8" t="s">
        <v>493</v>
      </c>
      <c r="M2459" s="8">
        <v>0</v>
      </c>
      <c r="N2459" s="8"/>
    </row>
    <row r="2460" spans="6:14" x14ac:dyDescent="0.35">
      <c r="F2460" s="1"/>
      <c r="K2460" s="8" t="s">
        <v>273</v>
      </c>
      <c r="L2460" s="8" t="s">
        <v>494</v>
      </c>
      <c r="M2460" s="8">
        <v>0</v>
      </c>
      <c r="N2460" s="8"/>
    </row>
    <row r="2461" spans="6:14" x14ac:dyDescent="0.35">
      <c r="F2461" s="1"/>
      <c r="K2461" s="8" t="s">
        <v>273</v>
      </c>
      <c r="L2461" s="8" t="s">
        <v>495</v>
      </c>
      <c r="M2461" s="8">
        <v>0</v>
      </c>
      <c r="N2461" s="8"/>
    </row>
    <row r="2462" spans="6:14" x14ac:dyDescent="0.35">
      <c r="F2462" s="1"/>
      <c r="K2462" s="8" t="s">
        <v>274</v>
      </c>
      <c r="L2462" s="8" t="s">
        <v>446</v>
      </c>
      <c r="M2462" s="8">
        <v>1</v>
      </c>
      <c r="N2462" s="8"/>
    </row>
    <row r="2463" spans="6:14" x14ac:dyDescent="0.35">
      <c r="F2463" s="1"/>
      <c r="K2463" s="8" t="s">
        <v>274</v>
      </c>
      <c r="L2463" s="8" t="s">
        <v>447</v>
      </c>
      <c r="M2463" s="8">
        <v>1</v>
      </c>
      <c r="N2463" s="8"/>
    </row>
    <row r="2464" spans="6:14" x14ac:dyDescent="0.35">
      <c r="F2464" s="1"/>
      <c r="K2464" s="8" t="s">
        <v>274</v>
      </c>
      <c r="L2464" s="8" t="s">
        <v>480</v>
      </c>
      <c r="M2464" s="8">
        <v>0</v>
      </c>
      <c r="N2464" s="8"/>
    </row>
    <row r="2465" spans="6:14" x14ac:dyDescent="0.35">
      <c r="F2465" s="1"/>
      <c r="K2465" s="8" t="s">
        <v>274</v>
      </c>
      <c r="L2465" s="8" t="s">
        <v>481</v>
      </c>
      <c r="M2465" s="8">
        <v>0</v>
      </c>
      <c r="N2465" s="8"/>
    </row>
    <row r="2466" spans="6:14" x14ac:dyDescent="0.35">
      <c r="F2466" s="1"/>
      <c r="K2466" s="8" t="s">
        <v>274</v>
      </c>
      <c r="L2466" s="8" t="s">
        <v>482</v>
      </c>
      <c r="M2466" s="8">
        <v>0</v>
      </c>
      <c r="N2466" s="8"/>
    </row>
    <row r="2467" spans="6:14" x14ac:dyDescent="0.35">
      <c r="F2467" s="1"/>
      <c r="K2467" s="8" t="s">
        <v>274</v>
      </c>
      <c r="L2467" s="8" t="s">
        <v>483</v>
      </c>
      <c r="M2467" s="8">
        <v>0</v>
      </c>
      <c r="N2467" s="8"/>
    </row>
    <row r="2468" spans="6:14" x14ac:dyDescent="0.35">
      <c r="F2468" s="1"/>
      <c r="K2468" s="8" t="s">
        <v>274</v>
      </c>
      <c r="L2468" s="8" t="s">
        <v>484</v>
      </c>
      <c r="M2468" s="8">
        <v>0</v>
      </c>
      <c r="N2468" s="8"/>
    </row>
    <row r="2469" spans="6:14" x14ac:dyDescent="0.35">
      <c r="F2469" s="1"/>
      <c r="K2469" s="8" t="s">
        <v>274</v>
      </c>
      <c r="L2469" s="8" t="s">
        <v>412</v>
      </c>
      <c r="M2469" s="8">
        <v>1</v>
      </c>
      <c r="N2469" s="8"/>
    </row>
    <row r="2470" spans="6:14" x14ac:dyDescent="0.35">
      <c r="F2470" s="1"/>
      <c r="K2470" s="8" t="s">
        <v>274</v>
      </c>
      <c r="L2470" s="8" t="s">
        <v>435</v>
      </c>
      <c r="M2470" s="8">
        <v>1</v>
      </c>
      <c r="N2470" s="8"/>
    </row>
    <row r="2471" spans="6:14" x14ac:dyDescent="0.35">
      <c r="F2471" s="1"/>
      <c r="K2471" s="8" t="s">
        <v>274</v>
      </c>
      <c r="L2471" s="8" t="s">
        <v>943</v>
      </c>
      <c r="M2471" s="8">
        <v>1</v>
      </c>
      <c r="N2471" s="8"/>
    </row>
    <row r="2472" spans="6:14" x14ac:dyDescent="0.35">
      <c r="F2472" s="1"/>
      <c r="K2472" s="8" t="s">
        <v>274</v>
      </c>
      <c r="L2472" s="8" t="s">
        <v>486</v>
      </c>
      <c r="M2472" s="8">
        <v>0</v>
      </c>
      <c r="N2472" s="8"/>
    </row>
    <row r="2473" spans="6:14" x14ac:dyDescent="0.35">
      <c r="F2473" s="1"/>
      <c r="K2473" s="8" t="s">
        <v>274</v>
      </c>
      <c r="L2473" s="8" t="s">
        <v>487</v>
      </c>
      <c r="M2473" s="8">
        <v>0</v>
      </c>
      <c r="N2473" s="8"/>
    </row>
    <row r="2474" spans="6:14" x14ac:dyDescent="0.35">
      <c r="F2474" s="1"/>
      <c r="K2474" s="8" t="s">
        <v>274</v>
      </c>
      <c r="L2474" s="8" t="s">
        <v>488</v>
      </c>
      <c r="M2474" s="8">
        <v>0</v>
      </c>
      <c r="N2474" s="8"/>
    </row>
    <row r="2475" spans="6:14" x14ac:dyDescent="0.35">
      <c r="F2475" s="1"/>
      <c r="K2475" s="8" t="s">
        <v>274</v>
      </c>
      <c r="L2475" s="8" t="s">
        <v>489</v>
      </c>
      <c r="M2475" s="8">
        <v>0</v>
      </c>
      <c r="N2475" s="8"/>
    </row>
    <row r="2476" spans="6:14" x14ac:dyDescent="0.35">
      <c r="F2476" s="1"/>
      <c r="K2476" s="8" t="s">
        <v>274</v>
      </c>
      <c r="L2476" s="8" t="s">
        <v>490</v>
      </c>
      <c r="M2476" s="8">
        <v>0</v>
      </c>
      <c r="N2476" s="8"/>
    </row>
    <row r="2477" spans="6:14" x14ac:dyDescent="0.35">
      <c r="F2477" s="1"/>
      <c r="K2477" s="8" t="s">
        <v>274</v>
      </c>
      <c r="L2477" s="8" t="s">
        <v>491</v>
      </c>
      <c r="M2477" s="8">
        <v>0</v>
      </c>
      <c r="N2477" s="8"/>
    </row>
    <row r="2478" spans="6:14" x14ac:dyDescent="0.35">
      <c r="F2478" s="1"/>
      <c r="K2478" s="8" t="s">
        <v>274</v>
      </c>
      <c r="L2478" s="8" t="s">
        <v>492</v>
      </c>
      <c r="M2478" s="8">
        <v>0</v>
      </c>
      <c r="N2478" s="8"/>
    </row>
    <row r="2479" spans="6:14" x14ac:dyDescent="0.35">
      <c r="F2479" s="1"/>
      <c r="K2479" s="8" t="s">
        <v>274</v>
      </c>
      <c r="L2479" s="8" t="s">
        <v>493</v>
      </c>
      <c r="M2479" s="8">
        <v>0</v>
      </c>
      <c r="N2479" s="8"/>
    </row>
    <row r="2480" spans="6:14" x14ac:dyDescent="0.35">
      <c r="F2480" s="1"/>
      <c r="K2480" s="8" t="s">
        <v>274</v>
      </c>
      <c r="L2480" s="8" t="s">
        <v>494</v>
      </c>
      <c r="M2480" s="8">
        <v>0</v>
      </c>
      <c r="N2480" s="8"/>
    </row>
    <row r="2481" spans="6:14" x14ac:dyDescent="0.35">
      <c r="F2481" s="1"/>
      <c r="K2481" s="8" t="s">
        <v>274</v>
      </c>
      <c r="L2481" s="8" t="s">
        <v>495</v>
      </c>
      <c r="M2481" s="8">
        <v>0</v>
      </c>
      <c r="N2481" s="8"/>
    </row>
    <row r="2482" spans="6:14" x14ac:dyDescent="0.35">
      <c r="F2482" s="1"/>
      <c r="K2482" s="8" t="s">
        <v>275</v>
      </c>
      <c r="L2482" s="8" t="s">
        <v>350</v>
      </c>
      <c r="M2482" s="8">
        <v>1</v>
      </c>
      <c r="N2482" s="8"/>
    </row>
    <row r="2483" spans="6:14" x14ac:dyDescent="0.35">
      <c r="F2483" s="1"/>
      <c r="K2483" s="8" t="s">
        <v>275</v>
      </c>
      <c r="L2483" s="8" t="s">
        <v>464</v>
      </c>
      <c r="M2483" s="8">
        <v>1</v>
      </c>
      <c r="N2483" s="8"/>
    </row>
    <row r="2484" spans="6:14" x14ac:dyDescent="0.35">
      <c r="F2484" s="1"/>
      <c r="K2484" s="8" t="s">
        <v>275</v>
      </c>
      <c r="L2484" s="8" t="s">
        <v>1047</v>
      </c>
      <c r="M2484" s="8">
        <v>0</v>
      </c>
      <c r="N2484" s="8"/>
    </row>
    <row r="2485" spans="6:14" x14ac:dyDescent="0.35">
      <c r="F2485" s="1"/>
      <c r="K2485" s="8" t="s">
        <v>275</v>
      </c>
      <c r="L2485" s="8" t="s">
        <v>480</v>
      </c>
      <c r="M2485" s="8">
        <v>0</v>
      </c>
      <c r="N2485" s="8"/>
    </row>
    <row r="2486" spans="6:14" x14ac:dyDescent="0.35">
      <c r="F2486" s="1"/>
      <c r="K2486" s="8" t="s">
        <v>275</v>
      </c>
      <c r="L2486" s="8" t="s">
        <v>481</v>
      </c>
      <c r="M2486" s="8">
        <v>0</v>
      </c>
      <c r="N2486" s="8"/>
    </row>
    <row r="2487" spans="6:14" x14ac:dyDescent="0.35">
      <c r="F2487" s="1"/>
      <c r="K2487" s="8" t="s">
        <v>275</v>
      </c>
      <c r="L2487" s="8" t="s">
        <v>482</v>
      </c>
      <c r="M2487" s="8">
        <v>0</v>
      </c>
      <c r="N2487" s="8"/>
    </row>
    <row r="2488" spans="6:14" x14ac:dyDescent="0.35">
      <c r="F2488" s="1"/>
      <c r="K2488" s="8" t="s">
        <v>275</v>
      </c>
      <c r="L2488" s="8" t="s">
        <v>483</v>
      </c>
      <c r="M2488" s="8">
        <v>0</v>
      </c>
      <c r="N2488" s="8"/>
    </row>
    <row r="2489" spans="6:14" x14ac:dyDescent="0.35">
      <c r="F2489" s="1"/>
      <c r="K2489" s="8" t="s">
        <v>275</v>
      </c>
      <c r="L2489" s="8" t="s">
        <v>484</v>
      </c>
      <c r="M2489" s="8">
        <v>0</v>
      </c>
      <c r="N2489" s="8"/>
    </row>
    <row r="2490" spans="6:14" x14ac:dyDescent="0.35">
      <c r="F2490" s="1"/>
      <c r="K2490" s="8" t="s">
        <v>275</v>
      </c>
      <c r="L2490" s="8" t="s">
        <v>467</v>
      </c>
      <c r="M2490" s="8">
        <v>0</v>
      </c>
      <c r="N2490" s="8"/>
    </row>
    <row r="2491" spans="6:14" x14ac:dyDescent="0.35">
      <c r="F2491" s="1"/>
      <c r="K2491" s="8" t="s">
        <v>275</v>
      </c>
      <c r="L2491" s="8" t="s">
        <v>1048</v>
      </c>
      <c r="M2491" s="8">
        <v>0</v>
      </c>
      <c r="N2491" s="8"/>
    </row>
    <row r="2492" spans="6:14" x14ac:dyDescent="0.35">
      <c r="F2492" s="1"/>
      <c r="K2492" s="8" t="s">
        <v>275</v>
      </c>
      <c r="L2492" s="8" t="s">
        <v>465</v>
      </c>
      <c r="M2492" s="8">
        <v>1</v>
      </c>
      <c r="N2492" s="8"/>
    </row>
    <row r="2493" spans="6:14" x14ac:dyDescent="0.35">
      <c r="F2493" s="1"/>
      <c r="K2493" s="8" t="s">
        <v>275</v>
      </c>
      <c r="L2493" s="8" t="s">
        <v>466</v>
      </c>
      <c r="M2493" s="8">
        <v>1</v>
      </c>
      <c r="N2493" s="8" t="s">
        <v>517</v>
      </c>
    </row>
    <row r="2494" spans="6:14" x14ac:dyDescent="0.35">
      <c r="F2494" s="1"/>
      <c r="K2494" s="8" t="s">
        <v>275</v>
      </c>
      <c r="L2494" s="8" t="s">
        <v>486</v>
      </c>
      <c r="M2494" s="8">
        <v>0</v>
      </c>
      <c r="N2494" s="8"/>
    </row>
    <row r="2495" spans="6:14" x14ac:dyDescent="0.35">
      <c r="F2495" s="1"/>
      <c r="K2495" s="8" t="s">
        <v>275</v>
      </c>
      <c r="L2495" s="8" t="s">
        <v>487</v>
      </c>
      <c r="M2495" s="8">
        <v>0</v>
      </c>
      <c r="N2495" s="8"/>
    </row>
    <row r="2496" spans="6:14" x14ac:dyDescent="0.35">
      <c r="F2496" s="1"/>
      <c r="K2496" s="8" t="s">
        <v>275</v>
      </c>
      <c r="L2496" s="8" t="s">
        <v>488</v>
      </c>
      <c r="M2496" s="8">
        <v>0</v>
      </c>
      <c r="N2496" s="8"/>
    </row>
    <row r="2497" spans="6:14" x14ac:dyDescent="0.35">
      <c r="F2497" s="1"/>
      <c r="K2497" s="8" t="s">
        <v>275</v>
      </c>
      <c r="L2497" s="8" t="s">
        <v>489</v>
      </c>
      <c r="M2497" s="8">
        <v>0</v>
      </c>
      <c r="N2497" s="8"/>
    </row>
    <row r="2498" spans="6:14" x14ac:dyDescent="0.35">
      <c r="F2498" s="1"/>
      <c r="K2498" s="8" t="s">
        <v>275</v>
      </c>
      <c r="L2498" s="8" t="s">
        <v>490</v>
      </c>
      <c r="M2498" s="8">
        <v>0</v>
      </c>
      <c r="N2498" s="8"/>
    </row>
    <row r="2499" spans="6:14" x14ac:dyDescent="0.35">
      <c r="F2499" s="1"/>
      <c r="K2499" s="8" t="s">
        <v>275</v>
      </c>
      <c r="L2499" s="8" t="s">
        <v>1049</v>
      </c>
      <c r="M2499" s="8">
        <v>0</v>
      </c>
      <c r="N2499" s="8"/>
    </row>
    <row r="2500" spans="6:14" x14ac:dyDescent="0.35">
      <c r="F2500" s="1"/>
      <c r="K2500" s="8" t="s">
        <v>275</v>
      </c>
      <c r="L2500" s="8" t="s">
        <v>1050</v>
      </c>
      <c r="M2500" s="8">
        <v>0</v>
      </c>
      <c r="N2500" s="8"/>
    </row>
    <row r="2501" spans="6:14" x14ac:dyDescent="0.35">
      <c r="F2501" s="1"/>
      <c r="K2501" s="8" t="s">
        <v>275</v>
      </c>
      <c r="L2501" s="8" t="s">
        <v>1051</v>
      </c>
      <c r="M2501" s="8">
        <v>0</v>
      </c>
      <c r="N2501" s="8"/>
    </row>
    <row r="2502" spans="6:14" x14ac:dyDescent="0.35">
      <c r="F2502" s="1"/>
      <c r="K2502" s="8" t="s">
        <v>275</v>
      </c>
      <c r="L2502" s="8" t="s">
        <v>1052</v>
      </c>
      <c r="M2502" s="8">
        <v>0</v>
      </c>
      <c r="N2502" s="8"/>
    </row>
    <row r="2503" spans="6:14" x14ac:dyDescent="0.35">
      <c r="F2503" s="1"/>
      <c r="K2503" s="8" t="s">
        <v>275</v>
      </c>
      <c r="L2503" s="8" t="s">
        <v>1053</v>
      </c>
      <c r="M2503" s="8">
        <v>0</v>
      </c>
      <c r="N2503" s="8"/>
    </row>
    <row r="2504" spans="6:14" x14ac:dyDescent="0.35">
      <c r="F2504" s="1"/>
      <c r="K2504" s="8" t="s">
        <v>275</v>
      </c>
      <c r="L2504" s="8" t="s">
        <v>491</v>
      </c>
      <c r="M2504" s="8">
        <v>0</v>
      </c>
      <c r="N2504" s="8"/>
    </row>
    <row r="2505" spans="6:14" x14ac:dyDescent="0.35">
      <c r="F2505" s="1"/>
      <c r="K2505" s="8" t="s">
        <v>275</v>
      </c>
      <c r="L2505" s="8" t="s">
        <v>492</v>
      </c>
      <c r="M2505" s="8">
        <v>0</v>
      </c>
      <c r="N2505" s="8"/>
    </row>
    <row r="2506" spans="6:14" x14ac:dyDescent="0.35">
      <c r="F2506" s="1"/>
      <c r="K2506" s="8" t="s">
        <v>275</v>
      </c>
      <c r="L2506" s="8" t="s">
        <v>493</v>
      </c>
      <c r="M2506" s="8">
        <v>0</v>
      </c>
      <c r="N2506" s="8"/>
    </row>
    <row r="2507" spans="6:14" x14ac:dyDescent="0.35">
      <c r="F2507" s="1"/>
      <c r="K2507" s="8" t="s">
        <v>276</v>
      </c>
      <c r="L2507" s="8" t="s">
        <v>468</v>
      </c>
      <c r="M2507" s="8">
        <v>1</v>
      </c>
      <c r="N2507" s="8"/>
    </row>
    <row r="2508" spans="6:14" x14ac:dyDescent="0.35">
      <c r="F2508" s="1"/>
      <c r="K2508" s="8" t="s">
        <v>276</v>
      </c>
      <c r="L2508" s="8" t="s">
        <v>438</v>
      </c>
      <c r="M2508" s="8">
        <v>1</v>
      </c>
      <c r="N2508" s="8"/>
    </row>
    <row r="2509" spans="6:14" x14ac:dyDescent="0.35">
      <c r="F2509" s="1"/>
      <c r="K2509" s="8" t="s">
        <v>276</v>
      </c>
      <c r="L2509" s="8" t="s">
        <v>1339</v>
      </c>
      <c r="M2509" s="8">
        <v>1</v>
      </c>
      <c r="N2509" s="8" t="s">
        <v>476</v>
      </c>
    </row>
    <row r="2510" spans="6:14" x14ac:dyDescent="0.35">
      <c r="F2510" s="1"/>
      <c r="K2510" s="8" t="s">
        <v>278</v>
      </c>
      <c r="L2510" s="8" t="s">
        <v>470</v>
      </c>
      <c r="M2510" s="8">
        <v>1</v>
      </c>
      <c r="N2510" s="8"/>
    </row>
    <row r="2511" spans="6:14" x14ac:dyDescent="0.35">
      <c r="F2511" s="1"/>
      <c r="K2511" s="8" t="s">
        <v>278</v>
      </c>
      <c r="L2511" s="8" t="s">
        <v>480</v>
      </c>
      <c r="M2511" s="8">
        <v>0</v>
      </c>
      <c r="N2511" s="8"/>
    </row>
    <row r="2512" spans="6:14" x14ac:dyDescent="0.35">
      <c r="F2512" s="1"/>
      <c r="K2512" s="8" t="s">
        <v>278</v>
      </c>
      <c r="L2512" s="8" t="s">
        <v>481</v>
      </c>
      <c r="M2512" s="8">
        <v>0</v>
      </c>
      <c r="N2512" s="8"/>
    </row>
    <row r="2513" spans="6:14" x14ac:dyDescent="0.35">
      <c r="F2513" s="1"/>
      <c r="K2513" s="8" t="s">
        <v>278</v>
      </c>
      <c r="L2513" s="8" t="s">
        <v>482</v>
      </c>
      <c r="M2513" s="8">
        <v>0</v>
      </c>
      <c r="N2513" s="8"/>
    </row>
    <row r="2514" spans="6:14" x14ac:dyDescent="0.35">
      <c r="F2514" s="1"/>
      <c r="K2514" s="8" t="s">
        <v>278</v>
      </c>
      <c r="L2514" s="8" t="s">
        <v>483</v>
      </c>
      <c r="M2514" s="8">
        <v>0</v>
      </c>
      <c r="N2514" s="8"/>
    </row>
    <row r="2515" spans="6:14" x14ac:dyDescent="0.35">
      <c r="F2515" s="1"/>
      <c r="K2515" s="8" t="s">
        <v>278</v>
      </c>
      <c r="L2515" s="8" t="s">
        <v>484</v>
      </c>
      <c r="M2515" s="8">
        <v>0</v>
      </c>
      <c r="N2515" s="8"/>
    </row>
    <row r="2516" spans="6:14" x14ac:dyDescent="0.35">
      <c r="F2516" s="1"/>
      <c r="K2516" s="8" t="s">
        <v>278</v>
      </c>
      <c r="L2516" s="8" t="s">
        <v>415</v>
      </c>
      <c r="M2516" s="8">
        <v>1</v>
      </c>
      <c r="N2516" s="8"/>
    </row>
    <row r="2517" spans="6:14" x14ac:dyDescent="0.35">
      <c r="F2517" s="1"/>
      <c r="K2517" s="8" t="s">
        <v>278</v>
      </c>
      <c r="L2517" s="8" t="s">
        <v>534</v>
      </c>
      <c r="M2517" s="8">
        <v>1</v>
      </c>
      <c r="N2517" s="8" t="s">
        <v>517</v>
      </c>
    </row>
    <row r="2518" spans="6:14" x14ac:dyDescent="0.35">
      <c r="F2518" s="1"/>
      <c r="K2518" s="8" t="s">
        <v>278</v>
      </c>
      <c r="L2518" s="8" t="s">
        <v>486</v>
      </c>
      <c r="M2518" s="8">
        <v>0</v>
      </c>
      <c r="N2518" s="8"/>
    </row>
    <row r="2519" spans="6:14" x14ac:dyDescent="0.35">
      <c r="F2519" s="1"/>
      <c r="K2519" s="8" t="s">
        <v>278</v>
      </c>
      <c r="L2519" s="8" t="s">
        <v>487</v>
      </c>
      <c r="M2519" s="8">
        <v>0</v>
      </c>
      <c r="N2519" s="8"/>
    </row>
    <row r="2520" spans="6:14" x14ac:dyDescent="0.35">
      <c r="F2520" s="1"/>
      <c r="K2520" s="8" t="s">
        <v>278</v>
      </c>
      <c r="L2520" s="8" t="s">
        <v>488</v>
      </c>
      <c r="M2520" s="8">
        <v>0</v>
      </c>
      <c r="N2520" s="8"/>
    </row>
    <row r="2521" spans="6:14" x14ac:dyDescent="0.35">
      <c r="F2521" s="1"/>
      <c r="K2521" s="8" t="s">
        <v>278</v>
      </c>
      <c r="L2521" s="8" t="s">
        <v>489</v>
      </c>
      <c r="M2521" s="8">
        <v>0</v>
      </c>
      <c r="N2521" s="8"/>
    </row>
    <row r="2522" spans="6:14" x14ac:dyDescent="0.35">
      <c r="F2522" s="1"/>
      <c r="K2522" s="8" t="s">
        <v>278</v>
      </c>
      <c r="L2522" s="8" t="s">
        <v>490</v>
      </c>
      <c r="M2522" s="8">
        <v>0</v>
      </c>
      <c r="N2522" s="8"/>
    </row>
    <row r="2523" spans="6:14" x14ac:dyDescent="0.35">
      <c r="F2523" s="1"/>
      <c r="K2523" s="8" t="s">
        <v>278</v>
      </c>
      <c r="L2523" s="8" t="s">
        <v>535</v>
      </c>
      <c r="M2523" s="8">
        <v>1</v>
      </c>
      <c r="N2523" s="8" t="s">
        <v>476</v>
      </c>
    </row>
    <row r="2524" spans="6:14" x14ac:dyDescent="0.35">
      <c r="F2524" s="1"/>
      <c r="K2524" s="8" t="s">
        <v>278</v>
      </c>
      <c r="L2524" s="8" t="s">
        <v>536</v>
      </c>
      <c r="M2524" s="8">
        <v>0</v>
      </c>
      <c r="N2524" s="8"/>
    </row>
    <row r="2525" spans="6:14" x14ac:dyDescent="0.35">
      <c r="F2525" s="1"/>
      <c r="K2525" s="8" t="s">
        <v>278</v>
      </c>
      <c r="L2525" s="8" t="s">
        <v>537</v>
      </c>
      <c r="M2525" s="8">
        <v>0</v>
      </c>
      <c r="N2525" s="8"/>
    </row>
    <row r="2526" spans="6:14" x14ac:dyDescent="0.35">
      <c r="F2526" s="1"/>
      <c r="K2526" s="8" t="s">
        <v>278</v>
      </c>
      <c r="L2526" s="8" t="s">
        <v>538</v>
      </c>
      <c r="M2526" s="8">
        <v>1</v>
      </c>
      <c r="N2526" s="8" t="s">
        <v>539</v>
      </c>
    </row>
    <row r="2527" spans="6:14" x14ac:dyDescent="0.35">
      <c r="F2527" s="1"/>
      <c r="K2527" s="8" t="s">
        <v>278</v>
      </c>
      <c r="L2527" s="8" t="s">
        <v>540</v>
      </c>
      <c r="M2527" s="8">
        <v>0</v>
      </c>
      <c r="N2527" s="8"/>
    </row>
    <row r="2528" spans="6:14" x14ac:dyDescent="0.35">
      <c r="F2528" s="1"/>
      <c r="K2528" s="8" t="s">
        <v>278</v>
      </c>
      <c r="L2528" s="8" t="s">
        <v>541</v>
      </c>
      <c r="M2528" s="8">
        <v>0</v>
      </c>
      <c r="N2528" s="8"/>
    </row>
    <row r="2529" spans="6:14" x14ac:dyDescent="0.35">
      <c r="F2529" s="1"/>
      <c r="K2529" s="8" t="s">
        <v>278</v>
      </c>
      <c r="L2529" s="8" t="s">
        <v>491</v>
      </c>
      <c r="M2529" s="8">
        <v>0</v>
      </c>
      <c r="N2529" s="8"/>
    </row>
    <row r="2530" spans="6:14" x14ac:dyDescent="0.35">
      <c r="F2530" s="1"/>
      <c r="K2530" s="8" t="s">
        <v>278</v>
      </c>
      <c r="L2530" s="8" t="s">
        <v>492</v>
      </c>
      <c r="M2530" s="8">
        <v>0</v>
      </c>
      <c r="N2530" s="8"/>
    </row>
    <row r="2531" spans="6:14" x14ac:dyDescent="0.35">
      <c r="F2531" s="1"/>
      <c r="K2531" s="8" t="s">
        <v>278</v>
      </c>
      <c r="L2531" s="8" t="s">
        <v>493</v>
      </c>
      <c r="M2531" s="8">
        <v>0</v>
      </c>
      <c r="N2531" s="8"/>
    </row>
    <row r="2532" spans="6:14" x14ac:dyDescent="0.35">
      <c r="F2532" s="1"/>
      <c r="K2532" s="8" t="s">
        <v>278</v>
      </c>
      <c r="L2532" s="8" t="s">
        <v>494</v>
      </c>
      <c r="M2532" s="8">
        <v>0</v>
      </c>
      <c r="N2532" s="8"/>
    </row>
    <row r="2533" spans="6:14" x14ac:dyDescent="0.35">
      <c r="F2533" s="1"/>
      <c r="K2533" s="8" t="s">
        <v>278</v>
      </c>
      <c r="L2533" s="8" t="s">
        <v>495</v>
      </c>
      <c r="M2533" s="8">
        <v>0</v>
      </c>
      <c r="N2533" s="8"/>
    </row>
    <row r="2534" spans="6:14" x14ac:dyDescent="0.35">
      <c r="F2534" s="1"/>
      <c r="K2534" s="8" t="s">
        <v>279</v>
      </c>
      <c r="L2534" s="8" t="s">
        <v>480</v>
      </c>
      <c r="M2534" s="8">
        <v>0</v>
      </c>
      <c r="N2534" s="8"/>
    </row>
    <row r="2535" spans="6:14" x14ac:dyDescent="0.35">
      <c r="F2535" s="1"/>
      <c r="K2535" s="8" t="s">
        <v>279</v>
      </c>
      <c r="L2535" s="8" t="s">
        <v>481</v>
      </c>
      <c r="M2535" s="8">
        <v>0</v>
      </c>
      <c r="N2535" s="8"/>
    </row>
    <row r="2536" spans="6:14" x14ac:dyDescent="0.35">
      <c r="F2536" s="1"/>
      <c r="K2536" s="8" t="s">
        <v>279</v>
      </c>
      <c r="L2536" s="8" t="s">
        <v>482</v>
      </c>
      <c r="M2536" s="8">
        <v>0</v>
      </c>
      <c r="N2536" s="8"/>
    </row>
    <row r="2537" spans="6:14" x14ac:dyDescent="0.35">
      <c r="F2537" s="1"/>
      <c r="K2537" s="8" t="s">
        <v>279</v>
      </c>
      <c r="L2537" s="8" t="s">
        <v>483</v>
      </c>
      <c r="M2537" s="8">
        <v>0</v>
      </c>
      <c r="N2537" s="8"/>
    </row>
    <row r="2538" spans="6:14" x14ac:dyDescent="0.35">
      <c r="F2538" s="1"/>
      <c r="K2538" s="8" t="s">
        <v>279</v>
      </c>
      <c r="L2538" s="8" t="s">
        <v>484</v>
      </c>
      <c r="M2538" s="8">
        <v>0</v>
      </c>
      <c r="N2538" s="8"/>
    </row>
    <row r="2539" spans="6:14" x14ac:dyDescent="0.35">
      <c r="F2539" s="1"/>
      <c r="K2539" s="8" t="s">
        <v>279</v>
      </c>
      <c r="L2539" s="8" t="s">
        <v>375</v>
      </c>
      <c r="M2539" s="8">
        <v>1</v>
      </c>
      <c r="N2539" s="8"/>
    </row>
    <row r="2540" spans="6:14" x14ac:dyDescent="0.35">
      <c r="F2540" s="1"/>
      <c r="K2540" s="8" t="s">
        <v>279</v>
      </c>
      <c r="L2540" s="8" t="s">
        <v>376</v>
      </c>
      <c r="M2540" s="8">
        <v>1</v>
      </c>
      <c r="N2540" s="8"/>
    </row>
    <row r="2541" spans="6:14" x14ac:dyDescent="0.35">
      <c r="F2541" s="1"/>
      <c r="K2541" s="8" t="s">
        <v>279</v>
      </c>
      <c r="L2541" s="8" t="s">
        <v>486</v>
      </c>
      <c r="M2541" s="8">
        <v>0</v>
      </c>
      <c r="N2541" s="8"/>
    </row>
    <row r="2542" spans="6:14" x14ac:dyDescent="0.35">
      <c r="F2542" s="1"/>
      <c r="K2542" s="8" t="s">
        <v>279</v>
      </c>
      <c r="L2542" s="8" t="s">
        <v>487</v>
      </c>
      <c r="M2542" s="8">
        <v>0</v>
      </c>
      <c r="N2542" s="8"/>
    </row>
    <row r="2543" spans="6:14" x14ac:dyDescent="0.35">
      <c r="F2543" s="1"/>
      <c r="K2543" s="8" t="s">
        <v>279</v>
      </c>
      <c r="L2543" s="8" t="s">
        <v>488</v>
      </c>
      <c r="M2543" s="8">
        <v>0</v>
      </c>
      <c r="N2543" s="8"/>
    </row>
    <row r="2544" spans="6:14" x14ac:dyDescent="0.35">
      <c r="F2544" s="1"/>
      <c r="K2544" s="8" t="s">
        <v>279</v>
      </c>
      <c r="L2544" s="8" t="s">
        <v>489</v>
      </c>
      <c r="M2544" s="8">
        <v>0</v>
      </c>
      <c r="N2544" s="8"/>
    </row>
    <row r="2545" spans="6:14" x14ac:dyDescent="0.35">
      <c r="F2545" s="1"/>
      <c r="K2545" s="8" t="s">
        <v>279</v>
      </c>
      <c r="L2545" s="8" t="s">
        <v>490</v>
      </c>
      <c r="M2545" s="8">
        <v>0</v>
      </c>
      <c r="N2545" s="8"/>
    </row>
    <row r="2546" spans="6:14" x14ac:dyDescent="0.35">
      <c r="F2546" s="1"/>
      <c r="K2546" s="8" t="s">
        <v>279</v>
      </c>
      <c r="L2546" s="8" t="s">
        <v>606</v>
      </c>
      <c r="M2546" s="8">
        <v>1</v>
      </c>
      <c r="N2546" s="8" t="s">
        <v>517</v>
      </c>
    </row>
    <row r="2547" spans="6:14" x14ac:dyDescent="0.35">
      <c r="F2547" s="1"/>
      <c r="K2547" s="8" t="s">
        <v>279</v>
      </c>
      <c r="L2547" s="8" t="s">
        <v>607</v>
      </c>
      <c r="M2547" s="8">
        <v>1</v>
      </c>
      <c r="N2547" s="8" t="s">
        <v>476</v>
      </c>
    </row>
    <row r="2548" spans="6:14" x14ac:dyDescent="0.35">
      <c r="F2548" s="1"/>
      <c r="K2548" s="8" t="s">
        <v>279</v>
      </c>
      <c r="L2548" s="8" t="s">
        <v>387</v>
      </c>
      <c r="M2548" s="8">
        <v>1</v>
      </c>
      <c r="N2548" s="8"/>
    </row>
    <row r="2549" spans="6:14" x14ac:dyDescent="0.35">
      <c r="F2549" s="1"/>
      <c r="K2549" s="8" t="s">
        <v>279</v>
      </c>
      <c r="L2549" s="8" t="s">
        <v>491</v>
      </c>
      <c r="M2549" s="8">
        <v>0</v>
      </c>
      <c r="N2549" s="8"/>
    </row>
    <row r="2550" spans="6:14" x14ac:dyDescent="0.35">
      <c r="F2550" s="1"/>
      <c r="K2550" s="8" t="s">
        <v>279</v>
      </c>
      <c r="L2550" s="8" t="s">
        <v>492</v>
      </c>
      <c r="M2550" s="8">
        <v>0</v>
      </c>
      <c r="N2550" s="8"/>
    </row>
    <row r="2551" spans="6:14" x14ac:dyDescent="0.35">
      <c r="F2551" s="1"/>
      <c r="K2551" s="8" t="s">
        <v>279</v>
      </c>
      <c r="L2551" s="8" t="s">
        <v>493</v>
      </c>
      <c r="M2551" s="8">
        <v>0</v>
      </c>
      <c r="N2551" s="8"/>
    </row>
    <row r="2552" spans="6:14" x14ac:dyDescent="0.35">
      <c r="F2552" s="1"/>
      <c r="K2552" s="8" t="s">
        <v>279</v>
      </c>
      <c r="L2552" s="8" t="s">
        <v>494</v>
      </c>
      <c r="M2552" s="8">
        <v>0</v>
      </c>
      <c r="N2552" s="8"/>
    </row>
    <row r="2553" spans="6:14" x14ac:dyDescent="0.35">
      <c r="F2553" s="1"/>
      <c r="K2553" s="8" t="s">
        <v>279</v>
      </c>
      <c r="L2553" s="8" t="s">
        <v>495</v>
      </c>
      <c r="M2553" s="8">
        <v>0</v>
      </c>
      <c r="N2553" s="8"/>
    </row>
    <row r="2554" spans="6:14" x14ac:dyDescent="0.35">
      <c r="F2554" s="1"/>
      <c r="K2554" s="8" t="s">
        <v>280</v>
      </c>
      <c r="L2554" s="8" t="s">
        <v>480</v>
      </c>
      <c r="M2554" s="8">
        <v>0</v>
      </c>
      <c r="N2554" s="8"/>
    </row>
    <row r="2555" spans="6:14" x14ac:dyDescent="0.35">
      <c r="F2555" s="1"/>
      <c r="K2555" s="8" t="s">
        <v>280</v>
      </c>
      <c r="L2555" s="8" t="s">
        <v>481</v>
      </c>
      <c r="M2555" s="8">
        <v>0</v>
      </c>
      <c r="N2555" s="8"/>
    </row>
    <row r="2556" spans="6:14" x14ac:dyDescent="0.35">
      <c r="F2556" s="1"/>
      <c r="K2556" s="8" t="s">
        <v>280</v>
      </c>
      <c r="L2556" s="8" t="s">
        <v>482</v>
      </c>
      <c r="M2556" s="8">
        <v>0</v>
      </c>
      <c r="N2556" s="8"/>
    </row>
    <row r="2557" spans="6:14" x14ac:dyDescent="0.35">
      <c r="F2557" s="1"/>
      <c r="K2557" s="8" t="s">
        <v>280</v>
      </c>
      <c r="L2557" s="8" t="s">
        <v>483</v>
      </c>
      <c r="M2557" s="8">
        <v>0</v>
      </c>
      <c r="N2557" s="8"/>
    </row>
    <row r="2558" spans="6:14" x14ac:dyDescent="0.35">
      <c r="F2558" s="1"/>
      <c r="K2558" s="8" t="s">
        <v>280</v>
      </c>
      <c r="L2558" s="8" t="s">
        <v>484</v>
      </c>
      <c r="M2558" s="8">
        <v>0</v>
      </c>
      <c r="N2558" s="8"/>
    </row>
    <row r="2559" spans="6:14" x14ac:dyDescent="0.35">
      <c r="F2559" s="1"/>
      <c r="K2559" s="8" t="s">
        <v>280</v>
      </c>
      <c r="L2559" s="8" t="s">
        <v>515</v>
      </c>
      <c r="M2559" s="8">
        <v>0</v>
      </c>
      <c r="N2559" s="8"/>
    </row>
    <row r="2560" spans="6:14" x14ac:dyDescent="0.35">
      <c r="F2560" s="1"/>
      <c r="K2560" s="8" t="s">
        <v>280</v>
      </c>
      <c r="L2560" s="8" t="s">
        <v>486</v>
      </c>
      <c r="M2560" s="8">
        <v>0</v>
      </c>
      <c r="N2560" s="8"/>
    </row>
    <row r="2561" spans="6:14" x14ac:dyDescent="0.35">
      <c r="F2561" s="1"/>
      <c r="K2561" s="8" t="s">
        <v>280</v>
      </c>
      <c r="L2561" s="8" t="s">
        <v>487</v>
      </c>
      <c r="M2561" s="8">
        <v>0</v>
      </c>
      <c r="N2561" s="8"/>
    </row>
    <row r="2562" spans="6:14" x14ac:dyDescent="0.35">
      <c r="F2562" s="1"/>
      <c r="K2562" s="8" t="s">
        <v>280</v>
      </c>
      <c r="L2562" s="8" t="s">
        <v>488</v>
      </c>
      <c r="M2562" s="8">
        <v>0</v>
      </c>
      <c r="N2562" s="8"/>
    </row>
    <row r="2563" spans="6:14" x14ac:dyDescent="0.35">
      <c r="F2563" s="1"/>
      <c r="K2563" s="8" t="s">
        <v>280</v>
      </c>
      <c r="L2563" s="8" t="s">
        <v>489</v>
      </c>
      <c r="M2563" s="8">
        <v>0</v>
      </c>
      <c r="N2563" s="8"/>
    </row>
    <row r="2564" spans="6:14" x14ac:dyDescent="0.35">
      <c r="F2564" s="1"/>
      <c r="K2564" s="8" t="s">
        <v>280</v>
      </c>
      <c r="L2564" s="8" t="s">
        <v>490</v>
      </c>
      <c r="M2564" s="8">
        <v>0</v>
      </c>
      <c r="N2564" s="8"/>
    </row>
    <row r="2565" spans="6:14" x14ac:dyDescent="0.35">
      <c r="F2565" s="1"/>
      <c r="K2565" s="8" t="s">
        <v>280</v>
      </c>
      <c r="L2565" s="8" t="s">
        <v>516</v>
      </c>
      <c r="M2565" s="8">
        <v>1</v>
      </c>
      <c r="N2565" s="8" t="s">
        <v>517</v>
      </c>
    </row>
    <row r="2566" spans="6:14" x14ac:dyDescent="0.35">
      <c r="F2566" s="1"/>
      <c r="K2566" s="8" t="s">
        <v>280</v>
      </c>
      <c r="L2566" s="8" t="s">
        <v>518</v>
      </c>
      <c r="M2566" s="8">
        <v>1</v>
      </c>
      <c r="N2566" s="8" t="s">
        <v>476</v>
      </c>
    </row>
    <row r="2567" spans="6:14" x14ac:dyDescent="0.35">
      <c r="F2567" s="1"/>
      <c r="K2567" s="8" t="s">
        <v>280</v>
      </c>
      <c r="L2567" s="8" t="s">
        <v>387</v>
      </c>
      <c r="M2567" s="8">
        <v>1</v>
      </c>
      <c r="N2567" s="8"/>
    </row>
    <row r="2568" spans="6:14" x14ac:dyDescent="0.35">
      <c r="F2568" s="1"/>
      <c r="K2568" s="8" t="s">
        <v>280</v>
      </c>
      <c r="L2568" s="8" t="s">
        <v>491</v>
      </c>
      <c r="M2568" s="8">
        <v>0</v>
      </c>
      <c r="N2568" s="8"/>
    </row>
    <row r="2569" spans="6:14" x14ac:dyDescent="0.35">
      <c r="F2569" s="1"/>
      <c r="K2569" s="8" t="s">
        <v>280</v>
      </c>
      <c r="L2569" s="8" t="s">
        <v>492</v>
      </c>
      <c r="M2569" s="8">
        <v>0</v>
      </c>
      <c r="N2569" s="8"/>
    </row>
    <row r="2570" spans="6:14" x14ac:dyDescent="0.35">
      <c r="F2570" s="1"/>
      <c r="K2570" s="8" t="s">
        <v>280</v>
      </c>
      <c r="L2570" s="8" t="s">
        <v>493</v>
      </c>
      <c r="M2570" s="8">
        <v>0</v>
      </c>
      <c r="N2570" s="8"/>
    </row>
    <row r="2571" spans="6:14" x14ac:dyDescent="0.35">
      <c r="F2571" s="1"/>
      <c r="K2571" s="8" t="s">
        <v>280</v>
      </c>
      <c r="L2571" s="8" t="s">
        <v>494</v>
      </c>
      <c r="M2571" s="8">
        <v>0</v>
      </c>
      <c r="N2571" s="8"/>
    </row>
    <row r="2572" spans="6:14" x14ac:dyDescent="0.35">
      <c r="F2572" s="1"/>
      <c r="K2572" s="8" t="s">
        <v>280</v>
      </c>
      <c r="L2572" s="8" t="s">
        <v>495</v>
      </c>
      <c r="M2572" s="8">
        <v>0</v>
      </c>
      <c r="N2572" s="8"/>
    </row>
    <row r="2573" spans="6:14" x14ac:dyDescent="0.35">
      <c r="F2573" s="1"/>
      <c r="K2573" s="8" t="s">
        <v>281</v>
      </c>
      <c r="L2573" s="8" t="s">
        <v>480</v>
      </c>
      <c r="M2573" s="8">
        <v>0</v>
      </c>
      <c r="N2573" s="8"/>
    </row>
    <row r="2574" spans="6:14" x14ac:dyDescent="0.35">
      <c r="F2574" s="1"/>
      <c r="K2574" s="8" t="s">
        <v>281</v>
      </c>
      <c r="L2574" s="8" t="s">
        <v>481</v>
      </c>
      <c r="M2574" s="8">
        <v>0</v>
      </c>
      <c r="N2574" s="8"/>
    </row>
    <row r="2575" spans="6:14" x14ac:dyDescent="0.35">
      <c r="F2575" s="1"/>
      <c r="K2575" s="8" t="s">
        <v>281</v>
      </c>
      <c r="L2575" s="8" t="s">
        <v>482</v>
      </c>
      <c r="M2575" s="8">
        <v>0</v>
      </c>
      <c r="N2575" s="8"/>
    </row>
    <row r="2576" spans="6:14" x14ac:dyDescent="0.35">
      <c r="F2576" s="1"/>
      <c r="K2576" s="8" t="s">
        <v>281</v>
      </c>
      <c r="L2576" s="8" t="s">
        <v>483</v>
      </c>
      <c r="M2576" s="8">
        <v>0</v>
      </c>
      <c r="N2576" s="8"/>
    </row>
    <row r="2577" spans="6:14" x14ac:dyDescent="0.35">
      <c r="F2577" s="1"/>
      <c r="K2577" s="8" t="s">
        <v>281</v>
      </c>
      <c r="L2577" s="8" t="s">
        <v>484</v>
      </c>
      <c r="M2577" s="8">
        <v>0</v>
      </c>
      <c r="N2577" s="8"/>
    </row>
    <row r="2578" spans="6:14" x14ac:dyDescent="0.35">
      <c r="F2578" s="1"/>
      <c r="K2578" s="8" t="s">
        <v>281</v>
      </c>
      <c r="L2578" s="8" t="s">
        <v>944</v>
      </c>
      <c r="M2578" s="8">
        <v>0</v>
      </c>
      <c r="N2578" s="8"/>
    </row>
    <row r="2579" spans="6:14" x14ac:dyDescent="0.35">
      <c r="F2579" s="1"/>
      <c r="K2579" s="8" t="s">
        <v>281</v>
      </c>
      <c r="L2579" s="8" t="s">
        <v>945</v>
      </c>
      <c r="M2579" s="8">
        <v>1</v>
      </c>
      <c r="N2579" s="8" t="s">
        <v>517</v>
      </c>
    </row>
    <row r="2580" spans="6:14" x14ac:dyDescent="0.35">
      <c r="F2580" s="1"/>
      <c r="K2580" s="8" t="s">
        <v>281</v>
      </c>
      <c r="L2580" s="8" t="s">
        <v>486</v>
      </c>
      <c r="M2580" s="8">
        <v>0</v>
      </c>
      <c r="N2580" s="8"/>
    </row>
    <row r="2581" spans="6:14" x14ac:dyDescent="0.35">
      <c r="F2581" s="1"/>
      <c r="K2581" s="8" t="s">
        <v>281</v>
      </c>
      <c r="L2581" s="8" t="s">
        <v>487</v>
      </c>
      <c r="M2581" s="8">
        <v>0</v>
      </c>
      <c r="N2581" s="8"/>
    </row>
    <row r="2582" spans="6:14" x14ac:dyDescent="0.35">
      <c r="F2582" s="1"/>
      <c r="K2582" s="8" t="s">
        <v>281</v>
      </c>
      <c r="L2582" s="8" t="s">
        <v>488</v>
      </c>
      <c r="M2582" s="8">
        <v>0</v>
      </c>
      <c r="N2582" s="8"/>
    </row>
    <row r="2583" spans="6:14" x14ac:dyDescent="0.35">
      <c r="F2583" s="1"/>
      <c r="K2583" s="8" t="s">
        <v>281</v>
      </c>
      <c r="L2583" s="8" t="s">
        <v>489</v>
      </c>
      <c r="M2583" s="8">
        <v>0</v>
      </c>
      <c r="N2583" s="8"/>
    </row>
    <row r="2584" spans="6:14" x14ac:dyDescent="0.35">
      <c r="F2584" s="1"/>
      <c r="K2584" s="8" t="s">
        <v>281</v>
      </c>
      <c r="L2584" s="8" t="s">
        <v>490</v>
      </c>
      <c r="M2584" s="8">
        <v>0</v>
      </c>
      <c r="N2584" s="8"/>
    </row>
    <row r="2585" spans="6:14" x14ac:dyDescent="0.35">
      <c r="F2585" s="1"/>
      <c r="K2585" s="8" t="s">
        <v>281</v>
      </c>
      <c r="L2585" s="8" t="s">
        <v>946</v>
      </c>
      <c r="M2585" s="8">
        <v>1</v>
      </c>
      <c r="N2585" s="8" t="s">
        <v>476</v>
      </c>
    </row>
    <row r="2586" spans="6:14" x14ac:dyDescent="0.35">
      <c r="F2586" s="1"/>
      <c r="K2586" s="8" t="s">
        <v>281</v>
      </c>
      <c r="L2586" s="8" t="s">
        <v>370</v>
      </c>
      <c r="M2586" s="8">
        <v>1</v>
      </c>
      <c r="N2586" s="8"/>
    </row>
    <row r="2587" spans="6:14" x14ac:dyDescent="0.35">
      <c r="F2587" s="1"/>
      <c r="K2587" s="8" t="s">
        <v>281</v>
      </c>
      <c r="L2587" s="8" t="s">
        <v>947</v>
      </c>
      <c r="M2587" s="8">
        <v>1</v>
      </c>
      <c r="N2587" s="8" t="s">
        <v>948</v>
      </c>
    </row>
    <row r="2588" spans="6:14" x14ac:dyDescent="0.35">
      <c r="F2588" s="1"/>
      <c r="K2588" s="8" t="s">
        <v>281</v>
      </c>
      <c r="L2588" s="8" t="s">
        <v>949</v>
      </c>
      <c r="M2588" s="8">
        <v>0</v>
      </c>
      <c r="N2588" s="8"/>
    </row>
    <row r="2589" spans="6:14" x14ac:dyDescent="0.35">
      <c r="F2589" s="1"/>
      <c r="K2589" s="8" t="s">
        <v>281</v>
      </c>
      <c r="L2589" s="8" t="s">
        <v>950</v>
      </c>
      <c r="M2589" s="8">
        <v>0</v>
      </c>
      <c r="N2589" s="8"/>
    </row>
    <row r="2590" spans="6:14" x14ac:dyDescent="0.35">
      <c r="F2590" s="1"/>
      <c r="K2590" s="8" t="s">
        <v>281</v>
      </c>
      <c r="L2590" s="8" t="s">
        <v>951</v>
      </c>
      <c r="M2590" s="8">
        <v>1</v>
      </c>
      <c r="N2590" s="8" t="s">
        <v>539</v>
      </c>
    </row>
    <row r="2591" spans="6:14" x14ac:dyDescent="0.35">
      <c r="F2591" s="1"/>
      <c r="K2591" s="8" t="s">
        <v>281</v>
      </c>
      <c r="L2591" s="8" t="s">
        <v>952</v>
      </c>
      <c r="M2591" s="8">
        <v>0</v>
      </c>
      <c r="N2591" s="8"/>
    </row>
    <row r="2592" spans="6:14" x14ac:dyDescent="0.35">
      <c r="F2592" s="1"/>
      <c r="K2592" s="8" t="s">
        <v>281</v>
      </c>
      <c r="L2592" s="8" t="s">
        <v>953</v>
      </c>
      <c r="M2592" s="8">
        <v>0</v>
      </c>
      <c r="N2592" s="8"/>
    </row>
    <row r="2593" spans="6:14" x14ac:dyDescent="0.35">
      <c r="F2593" s="1"/>
      <c r="K2593" s="8" t="s">
        <v>281</v>
      </c>
      <c r="L2593" s="8" t="s">
        <v>491</v>
      </c>
      <c r="M2593" s="8">
        <v>0</v>
      </c>
      <c r="N2593" s="8"/>
    </row>
    <row r="2594" spans="6:14" x14ac:dyDescent="0.35">
      <c r="F2594" s="1"/>
      <c r="K2594" s="8" t="s">
        <v>281</v>
      </c>
      <c r="L2594" s="8" t="s">
        <v>492</v>
      </c>
      <c r="M2594" s="8">
        <v>0</v>
      </c>
      <c r="N2594" s="8"/>
    </row>
    <row r="2595" spans="6:14" x14ac:dyDescent="0.35">
      <c r="F2595" s="1"/>
      <c r="K2595" s="8" t="s">
        <v>281</v>
      </c>
      <c r="L2595" s="8" t="s">
        <v>493</v>
      </c>
      <c r="M2595" s="8">
        <v>0</v>
      </c>
      <c r="N2595" s="8"/>
    </row>
    <row r="2596" spans="6:14" x14ac:dyDescent="0.35">
      <c r="F2596" s="1"/>
      <c r="K2596" s="8" t="s">
        <v>281</v>
      </c>
      <c r="L2596" s="8" t="s">
        <v>494</v>
      </c>
      <c r="M2596" s="8">
        <v>0</v>
      </c>
      <c r="N2596" s="8"/>
    </row>
    <row r="2597" spans="6:14" x14ac:dyDescent="0.35">
      <c r="F2597" s="1"/>
      <c r="K2597" s="8" t="s">
        <v>281</v>
      </c>
      <c r="L2597" s="8" t="s">
        <v>495</v>
      </c>
      <c r="M2597" s="8">
        <v>0</v>
      </c>
      <c r="N2597" s="8"/>
    </row>
    <row r="2598" spans="6:14" x14ac:dyDescent="0.35">
      <c r="F2598" s="1"/>
      <c r="K2598" s="8" t="s">
        <v>282</v>
      </c>
      <c r="L2598" s="8" t="s">
        <v>349</v>
      </c>
      <c r="M2598" s="8">
        <v>1</v>
      </c>
      <c r="N2598" s="8"/>
    </row>
    <row r="2599" spans="6:14" x14ac:dyDescent="0.35">
      <c r="F2599" s="1"/>
      <c r="K2599" s="8" t="s">
        <v>282</v>
      </c>
      <c r="L2599" s="8" t="s">
        <v>623</v>
      </c>
      <c r="M2599" s="8">
        <v>0</v>
      </c>
      <c r="N2599" s="8" t="s">
        <v>517</v>
      </c>
    </row>
    <row r="2600" spans="6:14" x14ac:dyDescent="0.35">
      <c r="F2600" s="1"/>
      <c r="K2600" s="8" t="s">
        <v>282</v>
      </c>
      <c r="L2600" s="8" t="s">
        <v>480</v>
      </c>
      <c r="M2600" s="8">
        <v>0</v>
      </c>
      <c r="N2600" s="8"/>
    </row>
    <row r="2601" spans="6:14" x14ac:dyDescent="0.35">
      <c r="F2601" s="1"/>
      <c r="K2601" s="8" t="s">
        <v>282</v>
      </c>
      <c r="L2601" s="8" t="s">
        <v>481</v>
      </c>
      <c r="M2601" s="8">
        <v>0</v>
      </c>
      <c r="N2601" s="8"/>
    </row>
    <row r="2602" spans="6:14" x14ac:dyDescent="0.35">
      <c r="F2602" s="1"/>
      <c r="K2602" s="8" t="s">
        <v>282</v>
      </c>
      <c r="L2602" s="8" t="s">
        <v>482</v>
      </c>
      <c r="M2602" s="8">
        <v>0</v>
      </c>
      <c r="N2602" s="8"/>
    </row>
    <row r="2603" spans="6:14" x14ac:dyDescent="0.35">
      <c r="F2603" s="1"/>
      <c r="K2603" s="8" t="s">
        <v>282</v>
      </c>
      <c r="L2603" s="8" t="s">
        <v>483</v>
      </c>
      <c r="M2603" s="8">
        <v>0</v>
      </c>
      <c r="N2603" s="8"/>
    </row>
    <row r="2604" spans="6:14" x14ac:dyDescent="0.35">
      <c r="F2604" s="1"/>
      <c r="K2604" s="8" t="s">
        <v>282</v>
      </c>
      <c r="L2604" s="8" t="s">
        <v>484</v>
      </c>
      <c r="M2604" s="8">
        <v>0</v>
      </c>
      <c r="N2604" s="8"/>
    </row>
    <row r="2605" spans="6:14" x14ac:dyDescent="0.35">
      <c r="F2605" s="1"/>
      <c r="K2605" s="8" t="s">
        <v>282</v>
      </c>
      <c r="L2605" s="8" t="s">
        <v>624</v>
      </c>
      <c r="M2605" s="8">
        <v>1</v>
      </c>
      <c r="N2605" s="8" t="s">
        <v>476</v>
      </c>
    </row>
    <row r="2606" spans="6:14" x14ac:dyDescent="0.35">
      <c r="F2606" s="1"/>
      <c r="K2606" s="8" t="s">
        <v>282</v>
      </c>
      <c r="L2606" s="8" t="s">
        <v>486</v>
      </c>
      <c r="M2606" s="8">
        <v>0</v>
      </c>
      <c r="N2606" s="8"/>
    </row>
    <row r="2607" spans="6:14" x14ac:dyDescent="0.35">
      <c r="F2607" s="1"/>
      <c r="K2607" s="8" t="s">
        <v>282</v>
      </c>
      <c r="L2607" s="8" t="s">
        <v>487</v>
      </c>
      <c r="M2607" s="8">
        <v>0</v>
      </c>
      <c r="N2607" s="8"/>
    </row>
    <row r="2608" spans="6:14" x14ac:dyDescent="0.35">
      <c r="F2608" s="1"/>
      <c r="K2608" s="8" t="s">
        <v>282</v>
      </c>
      <c r="L2608" s="8" t="s">
        <v>488</v>
      </c>
      <c r="M2608" s="8">
        <v>0</v>
      </c>
      <c r="N2608" s="8"/>
    </row>
    <row r="2609" spans="6:14" x14ac:dyDescent="0.35">
      <c r="F2609" s="1"/>
      <c r="K2609" s="8" t="s">
        <v>282</v>
      </c>
      <c r="L2609" s="8" t="s">
        <v>489</v>
      </c>
      <c r="M2609" s="8">
        <v>0</v>
      </c>
      <c r="N2609" s="8"/>
    </row>
    <row r="2610" spans="6:14" x14ac:dyDescent="0.35">
      <c r="F2610" s="1"/>
      <c r="K2610" s="8" t="s">
        <v>282</v>
      </c>
      <c r="L2610" s="8" t="s">
        <v>490</v>
      </c>
      <c r="M2610" s="8">
        <v>0</v>
      </c>
      <c r="N2610" s="8"/>
    </row>
    <row r="2611" spans="6:14" x14ac:dyDescent="0.35">
      <c r="F2611" s="1"/>
      <c r="K2611" s="8" t="s">
        <v>282</v>
      </c>
      <c r="L2611" s="8" t="s">
        <v>625</v>
      </c>
      <c r="M2611" s="8">
        <v>0</v>
      </c>
      <c r="N2611" s="8"/>
    </row>
    <row r="2612" spans="6:14" x14ac:dyDescent="0.35">
      <c r="F2612" s="1"/>
      <c r="K2612" s="8" t="s">
        <v>282</v>
      </c>
      <c r="L2612" s="8" t="s">
        <v>626</v>
      </c>
      <c r="M2612" s="8">
        <v>0</v>
      </c>
      <c r="N2612" s="8"/>
    </row>
    <row r="2613" spans="6:14" x14ac:dyDescent="0.35">
      <c r="F2613" s="1"/>
      <c r="K2613" s="8" t="s">
        <v>282</v>
      </c>
      <c r="L2613" s="8" t="s">
        <v>627</v>
      </c>
      <c r="M2613" s="8">
        <v>0</v>
      </c>
      <c r="N2613" s="8"/>
    </row>
    <row r="2614" spans="6:14" x14ac:dyDescent="0.35">
      <c r="F2614" s="1"/>
      <c r="K2614" s="8" t="s">
        <v>282</v>
      </c>
      <c r="L2614" s="8" t="s">
        <v>628</v>
      </c>
      <c r="M2614" s="8">
        <v>0</v>
      </c>
      <c r="N2614" s="8"/>
    </row>
    <row r="2615" spans="6:14" x14ac:dyDescent="0.35">
      <c r="F2615" s="1"/>
      <c r="K2615" s="8" t="s">
        <v>282</v>
      </c>
      <c r="L2615" s="8" t="s">
        <v>491</v>
      </c>
      <c r="M2615" s="8">
        <v>0</v>
      </c>
      <c r="N2615" s="8"/>
    </row>
    <row r="2616" spans="6:14" x14ac:dyDescent="0.35">
      <c r="F2616" s="1"/>
      <c r="K2616" s="8" t="s">
        <v>282</v>
      </c>
      <c r="L2616" s="8" t="s">
        <v>492</v>
      </c>
      <c r="M2616" s="8">
        <v>0</v>
      </c>
      <c r="N2616" s="8"/>
    </row>
    <row r="2617" spans="6:14" x14ac:dyDescent="0.35">
      <c r="F2617" s="1"/>
      <c r="K2617" s="8" t="s">
        <v>282</v>
      </c>
      <c r="L2617" s="8" t="s">
        <v>493</v>
      </c>
      <c r="M2617" s="8">
        <v>0</v>
      </c>
      <c r="N2617" s="8"/>
    </row>
    <row r="2618" spans="6:14" x14ac:dyDescent="0.35">
      <c r="F2618" s="1"/>
      <c r="K2618" s="8" t="s">
        <v>282</v>
      </c>
      <c r="L2618" s="8" t="s">
        <v>494</v>
      </c>
      <c r="M2618" s="8">
        <v>0</v>
      </c>
      <c r="N2618" s="8"/>
    </row>
    <row r="2619" spans="6:14" x14ac:dyDescent="0.35">
      <c r="F2619" s="1"/>
      <c r="K2619" s="8" t="s">
        <v>282</v>
      </c>
      <c r="L2619" s="8" t="s">
        <v>495</v>
      </c>
      <c r="M2619" s="8">
        <v>0</v>
      </c>
      <c r="N2619" s="8"/>
    </row>
    <row r="2620" spans="6:14" x14ac:dyDescent="0.35">
      <c r="F2620" s="1"/>
      <c r="K2620" s="8" t="s">
        <v>283</v>
      </c>
      <c r="L2620" s="8" t="s">
        <v>477</v>
      </c>
      <c r="M2620" s="8">
        <v>1</v>
      </c>
      <c r="N2620" s="8" t="s">
        <v>476</v>
      </c>
    </row>
    <row r="2621" spans="6:14" x14ac:dyDescent="0.35">
      <c r="F2621" s="1"/>
      <c r="K2621" s="8" t="s">
        <v>283</v>
      </c>
      <c r="L2621" s="8" t="s">
        <v>471</v>
      </c>
      <c r="M2621" s="8">
        <v>1</v>
      </c>
      <c r="N2621" s="8"/>
    </row>
    <row r="2622" spans="6:14" x14ac:dyDescent="0.35">
      <c r="F2622" s="1"/>
      <c r="K2622" s="8" t="s">
        <v>283</v>
      </c>
      <c r="L2622" s="8" t="s">
        <v>478</v>
      </c>
      <c r="M2622" s="8">
        <v>1</v>
      </c>
      <c r="N2622" s="8"/>
    </row>
    <row r="2623" spans="6:14" x14ac:dyDescent="0.35">
      <c r="F2623" s="1"/>
      <c r="K2623" s="8" t="s">
        <v>283</v>
      </c>
      <c r="L2623" s="8" t="s">
        <v>479</v>
      </c>
      <c r="M2623" s="8">
        <v>0</v>
      </c>
      <c r="N2623" s="8"/>
    </row>
    <row r="2624" spans="6:14" x14ac:dyDescent="0.35">
      <c r="F2624" s="1"/>
      <c r="K2624" s="8" t="s">
        <v>284</v>
      </c>
      <c r="L2624" s="8" t="s">
        <v>480</v>
      </c>
      <c r="M2624" s="8">
        <v>0</v>
      </c>
      <c r="N2624" s="8"/>
    </row>
    <row r="2625" spans="6:14" x14ac:dyDescent="0.35">
      <c r="F2625" s="1"/>
      <c r="K2625" s="8" t="s">
        <v>284</v>
      </c>
      <c r="L2625" s="8" t="s">
        <v>481</v>
      </c>
      <c r="M2625" s="8">
        <v>0</v>
      </c>
      <c r="N2625" s="8"/>
    </row>
    <row r="2626" spans="6:14" x14ac:dyDescent="0.35">
      <c r="F2626" s="1"/>
      <c r="K2626" s="8" t="s">
        <v>284</v>
      </c>
      <c r="L2626" s="8" t="s">
        <v>482</v>
      </c>
      <c r="M2626" s="8">
        <v>0</v>
      </c>
      <c r="N2626" s="8"/>
    </row>
    <row r="2627" spans="6:14" x14ac:dyDescent="0.35">
      <c r="F2627" s="1"/>
      <c r="K2627" s="8" t="s">
        <v>284</v>
      </c>
      <c r="L2627" s="8" t="s">
        <v>483</v>
      </c>
      <c r="M2627" s="8">
        <v>0</v>
      </c>
      <c r="N2627" s="8"/>
    </row>
    <row r="2628" spans="6:14" x14ac:dyDescent="0.35">
      <c r="F2628" s="1"/>
      <c r="K2628" s="8" t="s">
        <v>284</v>
      </c>
      <c r="L2628" s="8" t="s">
        <v>484</v>
      </c>
      <c r="M2628" s="8">
        <v>0</v>
      </c>
      <c r="N2628" s="8"/>
    </row>
    <row r="2629" spans="6:14" x14ac:dyDescent="0.35">
      <c r="F2629" s="1"/>
      <c r="K2629" s="8" t="s">
        <v>284</v>
      </c>
      <c r="L2629" s="8" t="s">
        <v>485</v>
      </c>
      <c r="M2629" s="8">
        <v>0</v>
      </c>
      <c r="N2629" s="8"/>
    </row>
    <row r="2630" spans="6:14" x14ac:dyDescent="0.35">
      <c r="F2630" s="1"/>
      <c r="K2630" s="8" t="s">
        <v>284</v>
      </c>
      <c r="L2630" s="8" t="s">
        <v>486</v>
      </c>
      <c r="M2630" s="8">
        <v>0</v>
      </c>
      <c r="N2630" s="8"/>
    </row>
    <row r="2631" spans="6:14" x14ac:dyDescent="0.35">
      <c r="F2631" s="1"/>
      <c r="K2631" s="8" t="s">
        <v>284</v>
      </c>
      <c r="L2631" s="8" t="s">
        <v>487</v>
      </c>
      <c r="M2631" s="8">
        <v>0</v>
      </c>
      <c r="N2631" s="8"/>
    </row>
    <row r="2632" spans="6:14" x14ac:dyDescent="0.35">
      <c r="F2632" s="1"/>
      <c r="K2632" s="8" t="s">
        <v>284</v>
      </c>
      <c r="L2632" s="8" t="s">
        <v>488</v>
      </c>
      <c r="M2632" s="8">
        <v>0</v>
      </c>
      <c r="N2632" s="8"/>
    </row>
    <row r="2633" spans="6:14" x14ac:dyDescent="0.35">
      <c r="F2633" s="1"/>
      <c r="K2633" s="8" t="s">
        <v>284</v>
      </c>
      <c r="L2633" s="8" t="s">
        <v>489</v>
      </c>
      <c r="M2633" s="8">
        <v>0</v>
      </c>
      <c r="N2633" s="8"/>
    </row>
    <row r="2634" spans="6:14" x14ac:dyDescent="0.35">
      <c r="F2634" s="1"/>
      <c r="K2634" s="8" t="s">
        <v>284</v>
      </c>
      <c r="L2634" s="8" t="s">
        <v>490</v>
      </c>
      <c r="M2634" s="8">
        <v>0</v>
      </c>
      <c r="N2634" s="8"/>
    </row>
    <row r="2635" spans="6:14" x14ac:dyDescent="0.35">
      <c r="F2635" s="1"/>
      <c r="K2635" s="8" t="s">
        <v>284</v>
      </c>
      <c r="L2635" s="8" t="s">
        <v>491</v>
      </c>
      <c r="M2635" s="8">
        <v>0</v>
      </c>
      <c r="N2635" s="8"/>
    </row>
    <row r="2636" spans="6:14" x14ac:dyDescent="0.35">
      <c r="F2636" s="1"/>
      <c r="K2636" s="8" t="s">
        <v>284</v>
      </c>
      <c r="L2636" s="8" t="s">
        <v>492</v>
      </c>
      <c r="M2636" s="8">
        <v>0</v>
      </c>
      <c r="N2636" s="8"/>
    </row>
    <row r="2637" spans="6:14" x14ac:dyDescent="0.35">
      <c r="F2637" s="1"/>
      <c r="K2637" s="8" t="s">
        <v>284</v>
      </c>
      <c r="L2637" s="8" t="s">
        <v>493</v>
      </c>
      <c r="M2637" s="8">
        <v>0</v>
      </c>
      <c r="N2637" s="8"/>
    </row>
    <row r="2638" spans="6:14" x14ac:dyDescent="0.35">
      <c r="F2638" s="1"/>
      <c r="K2638" s="8" t="s">
        <v>284</v>
      </c>
      <c r="L2638" s="8" t="s">
        <v>494</v>
      </c>
      <c r="M2638" s="8">
        <v>0</v>
      </c>
      <c r="N2638" s="8"/>
    </row>
    <row r="2639" spans="6:14" x14ac:dyDescent="0.35">
      <c r="F2639" s="1"/>
      <c r="K2639" s="8" t="s">
        <v>284</v>
      </c>
      <c r="L2639" s="8" t="s">
        <v>495</v>
      </c>
      <c r="M2639" s="8">
        <v>0</v>
      </c>
      <c r="N2639" s="8"/>
    </row>
    <row r="2640" spans="6:14" x14ac:dyDescent="0.35">
      <c r="F2640" s="1"/>
      <c r="K2640" s="8" t="s">
        <v>284</v>
      </c>
      <c r="L2640" s="8" t="s">
        <v>380</v>
      </c>
      <c r="M2640" s="8">
        <v>1</v>
      </c>
      <c r="N2640" s="8"/>
    </row>
    <row r="2641" spans="6:14" x14ac:dyDescent="0.35">
      <c r="F2641" s="1"/>
      <c r="K2641" s="8" t="s">
        <v>284</v>
      </c>
      <c r="L2641" s="8" t="s">
        <v>496</v>
      </c>
      <c r="M2641" s="8">
        <v>0</v>
      </c>
      <c r="N2641" s="8"/>
    </row>
    <row r="2642" spans="6:14" x14ac:dyDescent="0.35">
      <c r="F2642" s="1"/>
      <c r="K2642" s="8" t="s">
        <v>284</v>
      </c>
      <c r="L2642" s="8" t="s">
        <v>497</v>
      </c>
      <c r="M2642" s="8">
        <v>0</v>
      </c>
      <c r="N2642" s="8"/>
    </row>
    <row r="2643" spans="6:14" x14ac:dyDescent="0.35">
      <c r="F2643" s="1"/>
      <c r="K2643" s="8" t="s">
        <v>284</v>
      </c>
      <c r="L2643" s="8" t="s">
        <v>498</v>
      </c>
      <c r="M2643" s="8">
        <v>0</v>
      </c>
      <c r="N2643" s="8"/>
    </row>
    <row r="2644" spans="6:14" x14ac:dyDescent="0.35">
      <c r="F2644" s="1"/>
      <c r="K2644" s="8" t="s">
        <v>284</v>
      </c>
      <c r="L2644" s="8" t="s">
        <v>499</v>
      </c>
      <c r="M2644" s="8">
        <v>0</v>
      </c>
      <c r="N2644" s="8"/>
    </row>
    <row r="2645" spans="6:14" x14ac:dyDescent="0.35">
      <c r="F2645" s="1"/>
      <c r="K2645" s="8" t="s">
        <v>285</v>
      </c>
      <c r="L2645" s="8" t="s">
        <v>472</v>
      </c>
      <c r="M2645" s="8">
        <v>1</v>
      </c>
      <c r="N2645" s="8"/>
    </row>
    <row r="2646" spans="6:14" x14ac:dyDescent="0.35">
      <c r="F2646" s="1"/>
      <c r="K2646" s="8" t="s">
        <v>285</v>
      </c>
      <c r="L2646" s="8" t="s">
        <v>473</v>
      </c>
      <c r="M2646" s="8">
        <v>1</v>
      </c>
      <c r="N2646" s="8"/>
    </row>
    <row r="2647" spans="6:14" x14ac:dyDescent="0.35">
      <c r="F2647" s="1"/>
      <c r="K2647" s="8" t="s">
        <v>285</v>
      </c>
      <c r="L2647" s="8" t="s">
        <v>480</v>
      </c>
      <c r="M2647" s="8">
        <v>0</v>
      </c>
      <c r="N2647" s="8"/>
    </row>
    <row r="2648" spans="6:14" x14ac:dyDescent="0.35">
      <c r="F2648" s="1"/>
      <c r="K2648" s="8" t="s">
        <v>285</v>
      </c>
      <c r="L2648" s="8" t="s">
        <v>481</v>
      </c>
      <c r="M2648" s="8">
        <v>0</v>
      </c>
      <c r="N2648" s="8"/>
    </row>
    <row r="2649" spans="6:14" x14ac:dyDescent="0.35">
      <c r="F2649" s="1"/>
      <c r="K2649" s="8" t="s">
        <v>285</v>
      </c>
      <c r="L2649" s="8" t="s">
        <v>482</v>
      </c>
      <c r="M2649" s="8">
        <v>0</v>
      </c>
      <c r="N2649" s="8"/>
    </row>
    <row r="2650" spans="6:14" x14ac:dyDescent="0.35">
      <c r="F2650" s="1"/>
      <c r="K2650" s="8" t="s">
        <v>285</v>
      </c>
      <c r="L2650" s="8" t="s">
        <v>483</v>
      </c>
      <c r="M2650" s="8">
        <v>0</v>
      </c>
      <c r="N2650" s="8"/>
    </row>
    <row r="2651" spans="6:14" x14ac:dyDescent="0.35">
      <c r="F2651" s="1"/>
      <c r="K2651" s="8" t="s">
        <v>285</v>
      </c>
      <c r="L2651" s="8" t="s">
        <v>484</v>
      </c>
      <c r="M2651" s="8">
        <v>0</v>
      </c>
      <c r="N2651" s="8"/>
    </row>
    <row r="2652" spans="6:14" x14ac:dyDescent="0.35">
      <c r="F2652" s="1"/>
      <c r="K2652" s="8" t="s">
        <v>285</v>
      </c>
      <c r="L2652" s="8" t="s">
        <v>486</v>
      </c>
      <c r="M2652" s="8">
        <v>0</v>
      </c>
      <c r="N2652" s="8"/>
    </row>
    <row r="2653" spans="6:14" x14ac:dyDescent="0.35">
      <c r="F2653" s="1"/>
      <c r="K2653" s="8" t="s">
        <v>285</v>
      </c>
      <c r="L2653" s="8" t="s">
        <v>487</v>
      </c>
      <c r="M2653" s="8">
        <v>0</v>
      </c>
      <c r="N2653" s="8"/>
    </row>
    <row r="2654" spans="6:14" x14ac:dyDescent="0.35">
      <c r="F2654" s="1"/>
      <c r="K2654" s="8" t="s">
        <v>285</v>
      </c>
      <c r="L2654" s="8" t="s">
        <v>488</v>
      </c>
      <c r="M2654" s="8">
        <v>0</v>
      </c>
      <c r="N2654" s="8"/>
    </row>
    <row r="2655" spans="6:14" x14ac:dyDescent="0.35">
      <c r="F2655" s="1"/>
      <c r="K2655" s="8" t="s">
        <v>285</v>
      </c>
      <c r="L2655" s="8" t="s">
        <v>489</v>
      </c>
      <c r="M2655" s="8">
        <v>0</v>
      </c>
      <c r="N2655" s="8"/>
    </row>
    <row r="2656" spans="6:14" x14ac:dyDescent="0.35">
      <c r="F2656" s="1"/>
      <c r="K2656" s="8" t="s">
        <v>285</v>
      </c>
      <c r="L2656" s="8" t="s">
        <v>490</v>
      </c>
      <c r="M2656" s="8">
        <v>0</v>
      </c>
      <c r="N2656" s="8"/>
    </row>
    <row r="2657" spans="6:14" x14ac:dyDescent="0.35">
      <c r="F2657" s="1"/>
      <c r="K2657" s="8" t="s">
        <v>285</v>
      </c>
      <c r="L2657" s="8" t="s">
        <v>491</v>
      </c>
      <c r="M2657" s="8">
        <v>0</v>
      </c>
      <c r="N2657" s="8"/>
    </row>
    <row r="2658" spans="6:14" x14ac:dyDescent="0.35">
      <c r="F2658" s="1"/>
      <c r="K2658" s="8" t="s">
        <v>285</v>
      </c>
      <c r="L2658" s="8" t="s">
        <v>492</v>
      </c>
      <c r="M2658" s="8">
        <v>0</v>
      </c>
      <c r="N2658" s="8"/>
    </row>
    <row r="2659" spans="6:14" x14ac:dyDescent="0.35">
      <c r="F2659" s="1"/>
      <c r="K2659" s="8" t="s">
        <v>285</v>
      </c>
      <c r="L2659" s="8" t="s">
        <v>493</v>
      </c>
      <c r="M2659" s="8">
        <v>0</v>
      </c>
      <c r="N2659" s="8"/>
    </row>
    <row r="2660" spans="6:14" x14ac:dyDescent="0.35">
      <c r="F2660" s="1"/>
      <c r="K2660" s="8" t="s">
        <v>285</v>
      </c>
      <c r="L2660" s="8" t="s">
        <v>494</v>
      </c>
      <c r="M2660" s="8">
        <v>0</v>
      </c>
      <c r="N2660" s="8"/>
    </row>
    <row r="2661" spans="6:14" x14ac:dyDescent="0.35">
      <c r="F2661" s="1"/>
      <c r="K2661" s="8" t="s">
        <v>285</v>
      </c>
      <c r="L2661" s="8" t="s">
        <v>495</v>
      </c>
      <c r="M2661" s="8">
        <v>0</v>
      </c>
      <c r="N2661" s="8"/>
    </row>
    <row r="2662" spans="6:14" x14ac:dyDescent="0.35">
      <c r="F2662" s="1"/>
      <c r="K2662" s="8" t="s">
        <v>285</v>
      </c>
      <c r="L2662" s="8" t="s">
        <v>511</v>
      </c>
      <c r="M2662" s="8">
        <v>0</v>
      </c>
      <c r="N2662" s="8"/>
    </row>
    <row r="2663" spans="6:14" x14ac:dyDescent="0.35">
      <c r="F2663" s="1"/>
      <c r="K2663" s="8" t="s">
        <v>285</v>
      </c>
      <c r="L2663" s="8" t="s">
        <v>512</v>
      </c>
      <c r="M2663" s="8">
        <v>0</v>
      </c>
      <c r="N2663" s="8"/>
    </row>
    <row r="2664" spans="6:14" x14ac:dyDescent="0.35">
      <c r="F2664" s="1"/>
      <c r="K2664" s="8" t="s">
        <v>285</v>
      </c>
      <c r="L2664" s="8" t="s">
        <v>513</v>
      </c>
      <c r="M2664" s="8">
        <v>0</v>
      </c>
      <c r="N2664" s="8"/>
    </row>
    <row r="2665" spans="6:14" x14ac:dyDescent="0.35">
      <c r="F2665" s="1"/>
      <c r="K2665" s="8" t="s">
        <v>285</v>
      </c>
      <c r="L2665" s="8" t="s">
        <v>514</v>
      </c>
      <c r="M2665" s="8">
        <v>0</v>
      </c>
      <c r="N2665" s="8"/>
    </row>
    <row r="2666" spans="6:14" x14ac:dyDescent="0.35">
      <c r="F2666" s="1"/>
      <c r="K2666" s="8" t="s">
        <v>285</v>
      </c>
      <c r="L2666" s="8" t="s">
        <v>510</v>
      </c>
      <c r="M2666" s="8">
        <v>0</v>
      </c>
      <c r="N2666" s="8"/>
    </row>
    <row r="2667" spans="6:14" x14ac:dyDescent="0.35">
      <c r="F2667" s="1"/>
      <c r="K2667" s="8" t="s">
        <v>286</v>
      </c>
      <c r="L2667" s="8" t="s">
        <v>350</v>
      </c>
      <c r="M2667" s="8">
        <v>1</v>
      </c>
      <c r="N2667" s="8"/>
    </row>
    <row r="2668" spans="6:14" x14ac:dyDescent="0.35">
      <c r="F2668" s="1"/>
      <c r="K2668" s="8" t="s">
        <v>286</v>
      </c>
      <c r="L2668" s="8" t="s">
        <v>850</v>
      </c>
      <c r="M2668" s="8">
        <v>1</v>
      </c>
      <c r="N2668" s="8" t="s">
        <v>517</v>
      </c>
    </row>
    <row r="2669" spans="6:14" x14ac:dyDescent="0.35">
      <c r="F2669" s="1"/>
      <c r="K2669" s="8" t="s">
        <v>286</v>
      </c>
      <c r="L2669" s="8" t="s">
        <v>851</v>
      </c>
      <c r="M2669" s="8">
        <v>1</v>
      </c>
      <c r="N2669" s="8" t="s">
        <v>476</v>
      </c>
    </row>
    <row r="2670" spans="6:14" x14ac:dyDescent="0.35">
      <c r="F2670" s="1"/>
      <c r="K2670" s="8" t="s">
        <v>286</v>
      </c>
      <c r="L2670" s="8" t="s">
        <v>480</v>
      </c>
      <c r="M2670" s="8">
        <v>0</v>
      </c>
      <c r="N2670" s="8"/>
    </row>
    <row r="2671" spans="6:14" x14ac:dyDescent="0.35">
      <c r="F2671" s="1"/>
      <c r="K2671" s="8" t="s">
        <v>286</v>
      </c>
      <c r="L2671" s="8" t="s">
        <v>481</v>
      </c>
      <c r="M2671" s="8">
        <v>0</v>
      </c>
      <c r="N2671" s="8"/>
    </row>
    <row r="2672" spans="6:14" x14ac:dyDescent="0.35">
      <c r="F2672" s="1"/>
      <c r="K2672" s="8" t="s">
        <v>286</v>
      </c>
      <c r="L2672" s="8" t="s">
        <v>482</v>
      </c>
      <c r="M2672" s="8">
        <v>0</v>
      </c>
      <c r="N2672" s="8"/>
    </row>
    <row r="2673" spans="6:14" x14ac:dyDescent="0.35">
      <c r="F2673" s="1"/>
      <c r="K2673" s="8" t="s">
        <v>286</v>
      </c>
      <c r="L2673" s="8" t="s">
        <v>483</v>
      </c>
      <c r="M2673" s="8">
        <v>0</v>
      </c>
      <c r="N2673" s="8"/>
    </row>
    <row r="2674" spans="6:14" x14ac:dyDescent="0.35">
      <c r="F2674" s="1"/>
      <c r="K2674" s="8" t="s">
        <v>286</v>
      </c>
      <c r="L2674" s="8" t="s">
        <v>484</v>
      </c>
      <c r="M2674" s="8">
        <v>0</v>
      </c>
      <c r="N2674" s="8"/>
    </row>
    <row r="2675" spans="6:14" x14ac:dyDescent="0.35">
      <c r="F2675" s="1"/>
      <c r="K2675" s="8" t="s">
        <v>286</v>
      </c>
      <c r="L2675" s="8" t="s">
        <v>1012</v>
      </c>
      <c r="M2675" s="8">
        <v>1</v>
      </c>
      <c r="N2675" s="8" t="s">
        <v>539</v>
      </c>
    </row>
    <row r="2676" spans="6:14" x14ac:dyDescent="0.35">
      <c r="F2676" s="1"/>
      <c r="K2676" s="8" t="s">
        <v>286</v>
      </c>
      <c r="L2676" s="8" t="s">
        <v>412</v>
      </c>
      <c r="M2676" s="8">
        <v>1</v>
      </c>
      <c r="N2676" s="8"/>
    </row>
    <row r="2677" spans="6:14" x14ac:dyDescent="0.35">
      <c r="F2677" s="1"/>
      <c r="K2677" s="8" t="s">
        <v>286</v>
      </c>
      <c r="L2677" s="8" t="s">
        <v>834</v>
      </c>
      <c r="M2677" s="8">
        <v>0</v>
      </c>
      <c r="N2677" s="8" t="s">
        <v>476</v>
      </c>
    </row>
    <row r="2678" spans="6:14" x14ac:dyDescent="0.35">
      <c r="F2678" s="1"/>
      <c r="K2678" s="8" t="s">
        <v>286</v>
      </c>
      <c r="L2678" s="8" t="s">
        <v>1013</v>
      </c>
      <c r="M2678" s="8">
        <v>0</v>
      </c>
      <c r="N2678" s="8" t="s">
        <v>476</v>
      </c>
    </row>
    <row r="2679" spans="6:14" x14ac:dyDescent="0.35">
      <c r="F2679" s="1"/>
      <c r="K2679" s="8" t="s">
        <v>286</v>
      </c>
      <c r="L2679" s="8" t="s">
        <v>835</v>
      </c>
      <c r="M2679" s="8">
        <v>0</v>
      </c>
      <c r="N2679" s="8" t="s">
        <v>476</v>
      </c>
    </row>
    <row r="2680" spans="6:14" x14ac:dyDescent="0.35">
      <c r="F2680" s="1"/>
      <c r="K2680" s="8" t="s">
        <v>286</v>
      </c>
      <c r="L2680" s="8" t="s">
        <v>486</v>
      </c>
      <c r="M2680" s="8">
        <v>0</v>
      </c>
      <c r="N2680" s="8"/>
    </row>
    <row r="2681" spans="6:14" x14ac:dyDescent="0.35">
      <c r="F2681" s="1"/>
      <c r="K2681" s="8" t="s">
        <v>286</v>
      </c>
      <c r="L2681" s="8" t="s">
        <v>487</v>
      </c>
      <c r="M2681" s="8">
        <v>0</v>
      </c>
      <c r="N2681" s="8"/>
    </row>
    <row r="2682" spans="6:14" x14ac:dyDescent="0.35">
      <c r="F2682" s="1"/>
      <c r="K2682" s="8" t="s">
        <v>286</v>
      </c>
      <c r="L2682" s="8" t="s">
        <v>488</v>
      </c>
      <c r="M2682" s="8">
        <v>0</v>
      </c>
      <c r="N2682" s="8"/>
    </row>
    <row r="2683" spans="6:14" x14ac:dyDescent="0.35">
      <c r="F2683" s="1"/>
      <c r="K2683" s="8" t="s">
        <v>286</v>
      </c>
      <c r="L2683" s="8" t="s">
        <v>489</v>
      </c>
      <c r="M2683" s="8">
        <v>0</v>
      </c>
      <c r="N2683" s="8"/>
    </row>
    <row r="2684" spans="6:14" x14ac:dyDescent="0.35">
      <c r="F2684" s="1"/>
      <c r="K2684" s="8" t="s">
        <v>286</v>
      </c>
      <c r="L2684" s="8" t="s">
        <v>490</v>
      </c>
      <c r="M2684" s="8">
        <v>0</v>
      </c>
      <c r="N2684" s="8"/>
    </row>
    <row r="2685" spans="6:14" x14ac:dyDescent="0.35">
      <c r="F2685" s="1"/>
      <c r="K2685" s="8" t="s">
        <v>286</v>
      </c>
      <c r="L2685" s="8" t="s">
        <v>491</v>
      </c>
      <c r="M2685" s="8">
        <v>0</v>
      </c>
      <c r="N2685" s="8"/>
    </row>
    <row r="2686" spans="6:14" x14ac:dyDescent="0.35">
      <c r="F2686" s="1"/>
      <c r="K2686" s="8" t="s">
        <v>286</v>
      </c>
      <c r="L2686" s="8" t="s">
        <v>492</v>
      </c>
      <c r="M2686" s="8">
        <v>0</v>
      </c>
      <c r="N2686" s="8"/>
    </row>
    <row r="2687" spans="6:14" x14ac:dyDescent="0.35">
      <c r="F2687" s="1"/>
      <c r="K2687" s="8" t="s">
        <v>286</v>
      </c>
      <c r="L2687" s="8" t="s">
        <v>493</v>
      </c>
      <c r="M2687" s="8">
        <v>0</v>
      </c>
      <c r="N2687" s="8"/>
    </row>
    <row r="2688" spans="6:14" x14ac:dyDescent="0.35">
      <c r="F2688" s="1"/>
      <c r="K2688" s="8" t="s">
        <v>286</v>
      </c>
      <c r="L2688" s="8" t="s">
        <v>604</v>
      </c>
      <c r="M2688" s="8">
        <v>0</v>
      </c>
      <c r="N2688" s="8"/>
    </row>
    <row r="2689" spans="6:14" x14ac:dyDescent="0.35">
      <c r="F2689" s="1"/>
      <c r="K2689" s="8" t="s">
        <v>286</v>
      </c>
      <c r="L2689" s="8" t="s">
        <v>432</v>
      </c>
      <c r="M2689" s="8">
        <v>1</v>
      </c>
      <c r="N2689" s="8" t="s">
        <v>1004</v>
      </c>
    </row>
    <row r="2690" spans="6:14" x14ac:dyDescent="0.35">
      <c r="F2690" s="1"/>
      <c r="K2690" s="8" t="s">
        <v>286</v>
      </c>
      <c r="L2690" s="8" t="s">
        <v>1014</v>
      </c>
      <c r="M2690" s="8">
        <v>0</v>
      </c>
      <c r="N2690" s="8"/>
    </row>
    <row r="2691" spans="6:14" x14ac:dyDescent="0.35">
      <c r="F2691" s="1"/>
      <c r="K2691" s="8" t="s">
        <v>286</v>
      </c>
      <c r="L2691" s="8" t="s">
        <v>1015</v>
      </c>
      <c r="M2691" s="8">
        <v>0</v>
      </c>
      <c r="N2691" s="8"/>
    </row>
    <row r="2692" spans="6:14" x14ac:dyDescent="0.35">
      <c r="F2692" s="1"/>
      <c r="K2692" s="8" t="s">
        <v>286</v>
      </c>
      <c r="L2692" s="8" t="s">
        <v>1016</v>
      </c>
      <c r="M2692" s="8">
        <v>0</v>
      </c>
      <c r="N2692" s="8"/>
    </row>
    <row r="2693" spans="6:14" x14ac:dyDescent="0.35">
      <c r="F2693" s="1"/>
      <c r="K2693" s="8" t="s">
        <v>286</v>
      </c>
      <c r="L2693" s="8" t="s">
        <v>433</v>
      </c>
      <c r="M2693" s="8">
        <v>1</v>
      </c>
      <c r="N2693" s="8" t="s">
        <v>1010</v>
      </c>
    </row>
    <row r="2694" spans="6:14" x14ac:dyDescent="0.35">
      <c r="F2694" s="1"/>
      <c r="K2694" s="8" t="s">
        <v>286</v>
      </c>
      <c r="L2694" s="8" t="s">
        <v>434</v>
      </c>
      <c r="M2694" s="8">
        <v>1</v>
      </c>
      <c r="N2694" s="8" t="s">
        <v>1011</v>
      </c>
    </row>
    <row r="2695" spans="6:14" x14ac:dyDescent="0.35">
      <c r="F2695" s="1"/>
      <c r="K2695" s="8" t="s">
        <v>286</v>
      </c>
      <c r="L2695" s="8" t="s">
        <v>1017</v>
      </c>
      <c r="M2695" s="8">
        <v>1</v>
      </c>
      <c r="N2695" s="8" t="s">
        <v>476</v>
      </c>
    </row>
    <row r="2696" spans="6:14" x14ac:dyDescent="0.35">
      <c r="F2696" s="1"/>
      <c r="K2696" s="8" t="s">
        <v>286</v>
      </c>
      <c r="L2696" s="8" t="s">
        <v>1018</v>
      </c>
      <c r="M2696" s="8">
        <v>1</v>
      </c>
      <c r="N2696" s="8" t="s">
        <v>517</v>
      </c>
    </row>
    <row r="2697" spans="6:14" x14ac:dyDescent="0.35">
      <c r="F2697" s="1"/>
      <c r="K2697" s="8" t="s">
        <v>286</v>
      </c>
      <c r="L2697" s="8" t="s">
        <v>1019</v>
      </c>
      <c r="M2697" s="8">
        <v>0</v>
      </c>
      <c r="N2697" s="8"/>
    </row>
    <row r="2698" spans="6:14" x14ac:dyDescent="0.35">
      <c r="F2698" s="1"/>
      <c r="K2698" s="8" t="s">
        <v>286</v>
      </c>
      <c r="L2698" s="8" t="s">
        <v>1020</v>
      </c>
      <c r="M2698" s="8">
        <v>0</v>
      </c>
      <c r="N2698" s="8"/>
    </row>
    <row r="2699" spans="6:14" x14ac:dyDescent="0.35">
      <c r="F2699" s="1"/>
      <c r="K2699" s="8" t="s">
        <v>287</v>
      </c>
      <c r="L2699" s="8" t="s">
        <v>417</v>
      </c>
      <c r="M2699" s="8">
        <v>1</v>
      </c>
      <c r="N2699" s="8"/>
    </row>
    <row r="2700" spans="6:14" x14ac:dyDescent="0.35">
      <c r="F2700" s="1"/>
      <c r="K2700" s="8" t="s">
        <v>287</v>
      </c>
      <c r="L2700" s="8" t="s">
        <v>480</v>
      </c>
      <c r="M2700" s="8">
        <v>0</v>
      </c>
      <c r="N2700" s="8"/>
    </row>
    <row r="2701" spans="6:14" x14ac:dyDescent="0.35">
      <c r="F2701" s="1"/>
      <c r="K2701" s="8" t="s">
        <v>287</v>
      </c>
      <c r="L2701" s="8" t="s">
        <v>481</v>
      </c>
      <c r="M2701" s="8">
        <v>0</v>
      </c>
      <c r="N2701" s="8"/>
    </row>
    <row r="2702" spans="6:14" x14ac:dyDescent="0.35">
      <c r="F2702" s="1"/>
      <c r="K2702" s="8" t="s">
        <v>287</v>
      </c>
      <c r="L2702" s="8" t="s">
        <v>482</v>
      </c>
      <c r="M2702" s="8">
        <v>0</v>
      </c>
      <c r="N2702" s="8"/>
    </row>
    <row r="2703" spans="6:14" x14ac:dyDescent="0.35">
      <c r="F2703" s="1"/>
      <c r="K2703" s="8" t="s">
        <v>287</v>
      </c>
      <c r="L2703" s="8" t="s">
        <v>483</v>
      </c>
      <c r="M2703" s="8">
        <v>0</v>
      </c>
      <c r="N2703" s="8"/>
    </row>
    <row r="2704" spans="6:14" x14ac:dyDescent="0.35">
      <c r="F2704" s="1"/>
      <c r="K2704" s="8" t="s">
        <v>287</v>
      </c>
      <c r="L2704" s="8" t="s">
        <v>484</v>
      </c>
      <c r="M2704" s="8">
        <v>0</v>
      </c>
      <c r="N2704" s="8"/>
    </row>
    <row r="2705" spans="6:14" x14ac:dyDescent="0.35">
      <c r="F2705" s="1"/>
      <c r="K2705" s="8" t="s">
        <v>287</v>
      </c>
      <c r="L2705" s="8" t="s">
        <v>1169</v>
      </c>
      <c r="M2705" s="8">
        <v>0</v>
      </c>
      <c r="N2705" s="8"/>
    </row>
    <row r="2706" spans="6:14" x14ac:dyDescent="0.35">
      <c r="F2706" s="1"/>
      <c r="K2706" s="8" t="s">
        <v>287</v>
      </c>
      <c r="L2706" s="8" t="s">
        <v>1167</v>
      </c>
      <c r="M2706" s="8">
        <v>1</v>
      </c>
      <c r="N2706" s="8" t="s">
        <v>1010</v>
      </c>
    </row>
    <row r="2707" spans="6:14" x14ac:dyDescent="0.35">
      <c r="F2707" s="1"/>
      <c r="K2707" s="8" t="s">
        <v>287</v>
      </c>
      <c r="L2707" s="8" t="s">
        <v>1168</v>
      </c>
      <c r="M2707" s="8">
        <v>1</v>
      </c>
      <c r="N2707" s="8" t="s">
        <v>1011</v>
      </c>
    </row>
    <row r="2708" spans="6:14" x14ac:dyDescent="0.35">
      <c r="F2708" s="1"/>
      <c r="K2708" s="8" t="s">
        <v>287</v>
      </c>
      <c r="L2708" s="8" t="s">
        <v>410</v>
      </c>
      <c r="M2708" s="8">
        <v>1</v>
      </c>
      <c r="N2708" s="8"/>
    </row>
    <row r="2709" spans="6:14" x14ac:dyDescent="0.35">
      <c r="F2709" s="1"/>
      <c r="K2709" s="8" t="s">
        <v>287</v>
      </c>
      <c r="L2709" s="8" t="s">
        <v>486</v>
      </c>
      <c r="M2709" s="8">
        <v>0</v>
      </c>
      <c r="N2709" s="8"/>
    </row>
    <row r="2710" spans="6:14" x14ac:dyDescent="0.35">
      <c r="F2710" s="1"/>
      <c r="K2710" s="8" t="s">
        <v>287</v>
      </c>
      <c r="L2710" s="8" t="s">
        <v>487</v>
      </c>
      <c r="M2710" s="8">
        <v>0</v>
      </c>
      <c r="N2710" s="8"/>
    </row>
    <row r="2711" spans="6:14" x14ac:dyDescent="0.35">
      <c r="F2711" s="1"/>
      <c r="K2711" s="8" t="s">
        <v>287</v>
      </c>
      <c r="L2711" s="8" t="s">
        <v>488</v>
      </c>
      <c r="M2711" s="8">
        <v>0</v>
      </c>
      <c r="N2711" s="8"/>
    </row>
    <row r="2712" spans="6:14" x14ac:dyDescent="0.35">
      <c r="F2712" s="1"/>
      <c r="K2712" s="8" t="s">
        <v>287</v>
      </c>
      <c r="L2712" s="8" t="s">
        <v>489</v>
      </c>
      <c r="M2712" s="8">
        <v>0</v>
      </c>
      <c r="N2712" s="8"/>
    </row>
    <row r="2713" spans="6:14" x14ac:dyDescent="0.35">
      <c r="F2713" s="1"/>
      <c r="K2713" s="8" t="s">
        <v>287</v>
      </c>
      <c r="L2713" s="8" t="s">
        <v>490</v>
      </c>
      <c r="M2713" s="8">
        <v>0</v>
      </c>
      <c r="N2713" s="8"/>
    </row>
    <row r="2714" spans="6:14" x14ac:dyDescent="0.35">
      <c r="F2714" s="1"/>
      <c r="K2714" s="8" t="s">
        <v>287</v>
      </c>
      <c r="L2714" s="8" t="s">
        <v>491</v>
      </c>
      <c r="M2714" s="8">
        <v>0</v>
      </c>
      <c r="N2714" s="8"/>
    </row>
    <row r="2715" spans="6:14" x14ac:dyDescent="0.35">
      <c r="F2715" s="1"/>
      <c r="K2715" s="8" t="s">
        <v>287</v>
      </c>
      <c r="L2715" s="8" t="s">
        <v>492</v>
      </c>
      <c r="M2715" s="8">
        <v>0</v>
      </c>
      <c r="N2715" s="8"/>
    </row>
    <row r="2716" spans="6:14" x14ac:dyDescent="0.35">
      <c r="F2716" s="1"/>
      <c r="K2716" s="8" t="s">
        <v>287</v>
      </c>
      <c r="L2716" s="8" t="s">
        <v>493</v>
      </c>
      <c r="M2716" s="8">
        <v>0</v>
      </c>
      <c r="N2716" s="8"/>
    </row>
    <row r="2717" spans="6:14" x14ac:dyDescent="0.35">
      <c r="F2717" s="1"/>
      <c r="K2717" s="8" t="s">
        <v>287</v>
      </c>
      <c r="L2717" s="8" t="s">
        <v>460</v>
      </c>
      <c r="M2717" s="8">
        <v>1</v>
      </c>
      <c r="N2717" s="8" t="s">
        <v>1004</v>
      </c>
    </row>
    <row r="2718" spans="6:14" x14ac:dyDescent="0.35">
      <c r="F2718" s="1"/>
      <c r="K2718" s="8" t="s">
        <v>287</v>
      </c>
      <c r="L2718" s="8" t="s">
        <v>1170</v>
      </c>
      <c r="M2718" s="8">
        <v>1</v>
      </c>
      <c r="N2718" s="8" t="s">
        <v>476</v>
      </c>
    </row>
    <row r="2719" spans="6:14" x14ac:dyDescent="0.35">
      <c r="F2719" s="1"/>
      <c r="K2719" s="8" t="s">
        <v>287</v>
      </c>
      <c r="L2719" s="8" t="s">
        <v>461</v>
      </c>
      <c r="M2719" s="8">
        <v>1</v>
      </c>
      <c r="N2719" s="8" t="s">
        <v>1093</v>
      </c>
    </row>
    <row r="2720" spans="6:14" x14ac:dyDescent="0.35">
      <c r="F2720" s="1"/>
      <c r="K2720" s="8" t="s">
        <v>288</v>
      </c>
      <c r="L2720" s="8" t="s">
        <v>480</v>
      </c>
      <c r="M2720" s="8">
        <v>0</v>
      </c>
      <c r="N2720" s="8"/>
    </row>
    <row r="2721" spans="6:14" x14ac:dyDescent="0.35">
      <c r="F2721" s="1"/>
      <c r="K2721" s="8" t="s">
        <v>288</v>
      </c>
      <c r="L2721" s="8" t="s">
        <v>481</v>
      </c>
      <c r="M2721" s="8">
        <v>0</v>
      </c>
      <c r="N2721" s="8"/>
    </row>
    <row r="2722" spans="6:14" x14ac:dyDescent="0.35">
      <c r="F2722" s="1"/>
      <c r="K2722" s="8" t="s">
        <v>288</v>
      </c>
      <c r="L2722" s="8" t="s">
        <v>482</v>
      </c>
      <c r="M2722" s="8">
        <v>0</v>
      </c>
      <c r="N2722" s="8"/>
    </row>
    <row r="2723" spans="6:14" x14ac:dyDescent="0.35">
      <c r="F2723" s="1"/>
      <c r="K2723" s="8" t="s">
        <v>288</v>
      </c>
      <c r="L2723" s="8" t="s">
        <v>483</v>
      </c>
      <c r="M2723" s="8">
        <v>0</v>
      </c>
      <c r="N2723" s="8"/>
    </row>
    <row r="2724" spans="6:14" x14ac:dyDescent="0.35">
      <c r="F2724" s="1"/>
      <c r="K2724" s="8" t="s">
        <v>288</v>
      </c>
      <c r="L2724" s="8" t="s">
        <v>484</v>
      </c>
      <c r="M2724" s="8">
        <v>0</v>
      </c>
      <c r="N2724" s="8"/>
    </row>
    <row r="2725" spans="6:14" x14ac:dyDescent="0.35">
      <c r="F2725" s="1"/>
      <c r="K2725" s="8" t="s">
        <v>288</v>
      </c>
      <c r="L2725" s="8" t="s">
        <v>529</v>
      </c>
      <c r="M2725" s="8">
        <v>0</v>
      </c>
      <c r="N2725" s="8"/>
    </row>
    <row r="2726" spans="6:14" x14ac:dyDescent="0.35">
      <c r="F2726" s="1"/>
      <c r="K2726" s="8" t="s">
        <v>288</v>
      </c>
      <c r="L2726" s="8" t="s">
        <v>415</v>
      </c>
      <c r="M2726" s="8">
        <v>1</v>
      </c>
      <c r="N2726" s="8"/>
    </row>
    <row r="2727" spans="6:14" x14ac:dyDescent="0.35">
      <c r="F2727" s="1"/>
      <c r="K2727" s="8" t="s">
        <v>288</v>
      </c>
      <c r="L2727" s="8" t="s">
        <v>486</v>
      </c>
      <c r="M2727" s="8">
        <v>0</v>
      </c>
      <c r="N2727" s="8"/>
    </row>
    <row r="2728" spans="6:14" x14ac:dyDescent="0.35">
      <c r="F2728" s="1"/>
      <c r="K2728" s="8" t="s">
        <v>288</v>
      </c>
      <c r="L2728" s="8" t="s">
        <v>487</v>
      </c>
      <c r="M2728" s="8">
        <v>0</v>
      </c>
      <c r="N2728" s="8"/>
    </row>
    <row r="2729" spans="6:14" x14ac:dyDescent="0.35">
      <c r="F2729" s="1"/>
      <c r="K2729" s="8" t="s">
        <v>288</v>
      </c>
      <c r="L2729" s="8" t="s">
        <v>488</v>
      </c>
      <c r="M2729" s="8">
        <v>0</v>
      </c>
      <c r="N2729" s="8"/>
    </row>
    <row r="2730" spans="6:14" x14ac:dyDescent="0.35">
      <c r="F2730" s="1"/>
      <c r="K2730" s="8" t="s">
        <v>288</v>
      </c>
      <c r="L2730" s="8" t="s">
        <v>489</v>
      </c>
      <c r="M2730" s="8">
        <v>0</v>
      </c>
      <c r="N2730" s="8"/>
    </row>
    <row r="2731" spans="6:14" x14ac:dyDescent="0.35">
      <c r="F2731" s="1"/>
      <c r="K2731" s="8" t="s">
        <v>288</v>
      </c>
      <c r="L2731" s="8" t="s">
        <v>490</v>
      </c>
      <c r="M2731" s="8">
        <v>0</v>
      </c>
      <c r="N2731" s="8"/>
    </row>
    <row r="2732" spans="6:14" x14ac:dyDescent="0.35">
      <c r="F2732" s="1"/>
      <c r="K2732" s="8" t="s">
        <v>288</v>
      </c>
      <c r="L2732" s="8" t="s">
        <v>491</v>
      </c>
      <c r="M2732" s="8">
        <v>0</v>
      </c>
      <c r="N2732" s="8"/>
    </row>
    <row r="2733" spans="6:14" x14ac:dyDescent="0.35">
      <c r="F2733" s="1"/>
      <c r="K2733" s="8" t="s">
        <v>288</v>
      </c>
      <c r="L2733" s="8" t="s">
        <v>492</v>
      </c>
      <c r="M2733" s="8">
        <v>0</v>
      </c>
      <c r="N2733" s="8"/>
    </row>
    <row r="2734" spans="6:14" x14ac:dyDescent="0.35">
      <c r="F2734" s="1"/>
      <c r="K2734" s="8" t="s">
        <v>288</v>
      </c>
      <c r="L2734" s="8" t="s">
        <v>493</v>
      </c>
      <c r="M2734" s="8">
        <v>0</v>
      </c>
      <c r="N2734" s="8"/>
    </row>
    <row r="2735" spans="6:14" x14ac:dyDescent="0.35">
      <c r="F2735" s="1"/>
      <c r="K2735" s="8" t="s">
        <v>288</v>
      </c>
      <c r="L2735" s="8" t="s">
        <v>530</v>
      </c>
      <c r="M2735" s="8">
        <v>0</v>
      </c>
      <c r="N2735" s="8"/>
    </row>
    <row r="2736" spans="6:14" x14ac:dyDescent="0.35">
      <c r="F2736" s="1"/>
      <c r="K2736" s="8" t="s">
        <v>288</v>
      </c>
      <c r="L2736" s="8" t="s">
        <v>531</v>
      </c>
      <c r="M2736" s="8">
        <v>0</v>
      </c>
      <c r="N2736" s="8"/>
    </row>
    <row r="2737" spans="6:14" x14ac:dyDescent="0.35">
      <c r="F2737" s="1"/>
      <c r="K2737" s="8" t="s">
        <v>288</v>
      </c>
      <c r="L2737" s="8" t="s">
        <v>532</v>
      </c>
      <c r="M2737" s="8">
        <v>0</v>
      </c>
      <c r="N2737" s="8"/>
    </row>
    <row r="2738" spans="6:14" x14ac:dyDescent="0.35">
      <c r="F2738" s="1"/>
      <c r="K2738" s="8" t="s">
        <v>288</v>
      </c>
      <c r="L2738" s="8" t="s">
        <v>533</v>
      </c>
      <c r="M2738" s="8">
        <v>0</v>
      </c>
      <c r="N2738" s="8"/>
    </row>
    <row r="2739" spans="6:14" x14ac:dyDescent="0.35">
      <c r="F2739" s="1"/>
      <c r="K2739" s="8" t="s">
        <v>1998</v>
      </c>
      <c r="L2739" s="8" t="s">
        <v>2138</v>
      </c>
      <c r="M2739" s="8">
        <v>1</v>
      </c>
      <c r="N2739" s="8"/>
    </row>
    <row r="2740" spans="6:14" x14ac:dyDescent="0.35">
      <c r="F2740" s="1"/>
      <c r="K2740" s="8" t="s">
        <v>1998</v>
      </c>
      <c r="L2740" s="8" t="s">
        <v>2650</v>
      </c>
      <c r="M2740" s="8">
        <v>0</v>
      </c>
      <c r="N2740" s="8"/>
    </row>
    <row r="2741" spans="6:14" x14ac:dyDescent="0.35">
      <c r="F2741" s="1"/>
      <c r="K2741" s="8" t="s">
        <v>1998</v>
      </c>
      <c r="L2741" s="8" t="s">
        <v>2651</v>
      </c>
      <c r="M2741" s="8">
        <v>0</v>
      </c>
      <c r="N2741" s="8"/>
    </row>
    <row r="2742" spans="6:14" x14ac:dyDescent="0.35">
      <c r="F2742" s="1"/>
      <c r="K2742" s="8" t="s">
        <v>1998</v>
      </c>
      <c r="L2742" s="8" t="s">
        <v>358</v>
      </c>
      <c r="M2742" s="8">
        <v>1</v>
      </c>
      <c r="N2742" s="8"/>
    </row>
    <row r="2743" spans="6:14" x14ac:dyDescent="0.35">
      <c r="F2743" s="1"/>
      <c r="K2743" s="8" t="s">
        <v>1998</v>
      </c>
      <c r="L2743" s="8" t="s">
        <v>357</v>
      </c>
      <c r="M2743" s="8">
        <v>1</v>
      </c>
      <c r="N2743" s="8"/>
    </row>
    <row r="2744" spans="6:14" x14ac:dyDescent="0.35">
      <c r="F2744" s="1"/>
      <c r="K2744" s="8" t="s">
        <v>1998</v>
      </c>
      <c r="L2744" s="8" t="s">
        <v>350</v>
      </c>
      <c r="M2744" s="8">
        <v>1</v>
      </c>
      <c r="N2744" s="8"/>
    </row>
    <row r="2745" spans="6:14" x14ac:dyDescent="0.35">
      <c r="F2745" s="1"/>
      <c r="K2745" s="8" t="s">
        <v>1998</v>
      </c>
      <c r="L2745" s="8" t="s">
        <v>356</v>
      </c>
      <c r="M2745" s="8">
        <v>1</v>
      </c>
      <c r="N2745" s="8"/>
    </row>
    <row r="2746" spans="6:14" x14ac:dyDescent="0.35">
      <c r="F2746" s="1"/>
      <c r="K2746" s="8" t="s">
        <v>1998</v>
      </c>
      <c r="L2746" s="8" t="s">
        <v>355</v>
      </c>
      <c r="M2746" s="8">
        <v>1</v>
      </c>
      <c r="N2746" s="8"/>
    </row>
    <row r="2747" spans="6:14" x14ac:dyDescent="0.35">
      <c r="F2747" s="1"/>
      <c r="K2747" s="8" t="s">
        <v>1999</v>
      </c>
      <c r="L2747" s="8" t="s">
        <v>2139</v>
      </c>
      <c r="M2747" s="8">
        <v>1</v>
      </c>
      <c r="N2747" s="8"/>
    </row>
    <row r="2748" spans="6:14" x14ac:dyDescent="0.35">
      <c r="F2748" s="1"/>
      <c r="K2748" s="8" t="s">
        <v>1999</v>
      </c>
      <c r="L2748" s="8" t="s">
        <v>2766</v>
      </c>
      <c r="M2748" s="8">
        <v>0</v>
      </c>
      <c r="N2748" s="8"/>
    </row>
    <row r="2749" spans="6:14" x14ac:dyDescent="0.35">
      <c r="F2749" s="1"/>
      <c r="K2749" s="8" t="s">
        <v>1999</v>
      </c>
      <c r="L2749" s="8" t="s">
        <v>2767</v>
      </c>
      <c r="M2749" s="8">
        <v>0</v>
      </c>
      <c r="N2749" s="8"/>
    </row>
    <row r="2750" spans="6:14" x14ac:dyDescent="0.35">
      <c r="F2750" s="1"/>
      <c r="K2750" s="8" t="s">
        <v>1999</v>
      </c>
      <c r="L2750" s="8" t="s">
        <v>361</v>
      </c>
      <c r="M2750" s="8">
        <v>1</v>
      </c>
      <c r="N2750" s="8"/>
    </row>
    <row r="2751" spans="6:14" x14ac:dyDescent="0.35">
      <c r="F2751" s="1"/>
      <c r="K2751" s="8" t="s">
        <v>1999</v>
      </c>
      <c r="L2751" s="8" t="s">
        <v>360</v>
      </c>
      <c r="M2751" s="8">
        <v>1</v>
      </c>
      <c r="N2751" s="8"/>
    </row>
    <row r="2752" spans="6:14" x14ac:dyDescent="0.35">
      <c r="F2752" s="1"/>
      <c r="K2752" s="8" t="s">
        <v>1999</v>
      </c>
      <c r="L2752" s="8" t="s">
        <v>350</v>
      </c>
      <c r="M2752" s="8">
        <v>1</v>
      </c>
      <c r="N2752" s="8"/>
    </row>
    <row r="2753" spans="6:14" x14ac:dyDescent="0.35">
      <c r="F2753" s="1"/>
      <c r="K2753" s="8" t="s">
        <v>1999</v>
      </c>
      <c r="L2753" s="8" t="s">
        <v>359</v>
      </c>
      <c r="M2753" s="8">
        <v>1</v>
      </c>
      <c r="N2753" s="8"/>
    </row>
    <row r="2754" spans="6:14" x14ac:dyDescent="0.35">
      <c r="F2754" s="1"/>
      <c r="K2754" s="8" t="s">
        <v>1999</v>
      </c>
      <c r="L2754" s="8" t="s">
        <v>355</v>
      </c>
      <c r="M2754" s="8">
        <v>1</v>
      </c>
      <c r="N2754" s="8"/>
    </row>
    <row r="2755" spans="6:14" x14ac:dyDescent="0.35">
      <c r="F2755" s="1"/>
      <c r="K2755" s="8" t="s">
        <v>2000</v>
      </c>
      <c r="L2755" s="8" t="s">
        <v>365</v>
      </c>
      <c r="M2755" s="8">
        <v>1</v>
      </c>
      <c r="N2755" s="8"/>
    </row>
    <row r="2756" spans="6:14" x14ac:dyDescent="0.35">
      <c r="F2756" s="1"/>
      <c r="K2756" s="8" t="s">
        <v>2000</v>
      </c>
      <c r="L2756" s="8" t="s">
        <v>364</v>
      </c>
      <c r="M2756" s="8">
        <v>1</v>
      </c>
      <c r="N2756" s="8"/>
    </row>
    <row r="2757" spans="6:14" x14ac:dyDescent="0.35">
      <c r="F2757" s="1"/>
      <c r="K2757" s="8" t="s">
        <v>2000</v>
      </c>
      <c r="L2757" s="8" t="s">
        <v>363</v>
      </c>
      <c r="M2757" s="8">
        <v>1</v>
      </c>
      <c r="N2757" s="8"/>
    </row>
    <row r="2758" spans="6:14" x14ac:dyDescent="0.35">
      <c r="F2758" s="1"/>
      <c r="K2758" s="8" t="s">
        <v>2000</v>
      </c>
      <c r="L2758" s="8" t="s">
        <v>362</v>
      </c>
      <c r="M2758" s="8">
        <v>1</v>
      </c>
      <c r="N2758" s="8"/>
    </row>
    <row r="2759" spans="6:14" x14ac:dyDescent="0.35">
      <c r="F2759" s="1"/>
      <c r="K2759" s="8" t="s">
        <v>2000</v>
      </c>
      <c r="L2759" s="8" t="s">
        <v>358</v>
      </c>
      <c r="M2759" s="8">
        <v>1</v>
      </c>
      <c r="N2759" s="8"/>
    </row>
    <row r="2760" spans="6:14" x14ac:dyDescent="0.35">
      <c r="F2760" s="1"/>
      <c r="K2760" s="8" t="s">
        <v>2000</v>
      </c>
      <c r="L2760" s="8" t="s">
        <v>357</v>
      </c>
      <c r="M2760" s="8">
        <v>1</v>
      </c>
      <c r="N2760" s="8"/>
    </row>
    <row r="2761" spans="6:14" x14ac:dyDescent="0.35">
      <c r="F2761" s="1"/>
      <c r="K2761" s="8" t="s">
        <v>2000</v>
      </c>
      <c r="L2761" s="8" t="s">
        <v>356</v>
      </c>
      <c r="M2761" s="8">
        <v>1</v>
      </c>
      <c r="N2761" s="8"/>
    </row>
    <row r="2762" spans="6:14" x14ac:dyDescent="0.35">
      <c r="F2762" s="1"/>
      <c r="K2762" s="8" t="s">
        <v>2000</v>
      </c>
      <c r="L2762" s="8" t="s">
        <v>355</v>
      </c>
      <c r="M2762" s="8">
        <v>1</v>
      </c>
      <c r="N2762" s="8"/>
    </row>
    <row r="2763" spans="6:14" x14ac:dyDescent="0.35">
      <c r="F2763" s="1"/>
      <c r="K2763" s="8" t="s">
        <v>2000</v>
      </c>
      <c r="L2763" s="8" t="s">
        <v>2140</v>
      </c>
      <c r="M2763" s="8">
        <v>1</v>
      </c>
      <c r="N2763" s="8"/>
    </row>
    <row r="2764" spans="6:14" x14ac:dyDescent="0.35">
      <c r="F2764" s="1"/>
      <c r="K2764" s="8" t="s">
        <v>2001</v>
      </c>
      <c r="L2764" s="8" t="s">
        <v>368</v>
      </c>
      <c r="M2764" s="8">
        <v>1</v>
      </c>
      <c r="N2764" s="8"/>
    </row>
    <row r="2765" spans="6:14" x14ac:dyDescent="0.35">
      <c r="F2765" s="1"/>
      <c r="K2765" s="8" t="s">
        <v>2001</v>
      </c>
      <c r="L2765" s="8" t="s">
        <v>367</v>
      </c>
      <c r="M2765" s="8">
        <v>1</v>
      </c>
      <c r="N2765" s="8"/>
    </row>
    <row r="2766" spans="6:14" x14ac:dyDescent="0.35">
      <c r="F2766" s="1"/>
      <c r="K2766" s="8" t="s">
        <v>2001</v>
      </c>
      <c r="L2766" s="8" t="s">
        <v>366</v>
      </c>
      <c r="M2766" s="8">
        <v>1</v>
      </c>
      <c r="N2766" s="8"/>
    </row>
    <row r="2767" spans="6:14" x14ac:dyDescent="0.35">
      <c r="F2767" s="1"/>
      <c r="K2767" s="8" t="s">
        <v>2001</v>
      </c>
      <c r="L2767" s="8" t="s">
        <v>362</v>
      </c>
      <c r="M2767" s="8">
        <v>1</v>
      </c>
      <c r="N2767" s="8"/>
    </row>
    <row r="2768" spans="6:14" x14ac:dyDescent="0.35">
      <c r="F2768" s="1"/>
      <c r="K2768" s="8" t="s">
        <v>2001</v>
      </c>
      <c r="L2768" s="8" t="s">
        <v>361</v>
      </c>
      <c r="M2768" s="8">
        <v>1</v>
      </c>
      <c r="N2768" s="8"/>
    </row>
    <row r="2769" spans="6:14" x14ac:dyDescent="0.35">
      <c r="F2769" s="1"/>
      <c r="K2769" s="8" t="s">
        <v>2001</v>
      </c>
      <c r="L2769" s="8" t="s">
        <v>360</v>
      </c>
      <c r="M2769" s="8">
        <v>1</v>
      </c>
      <c r="N2769" s="8"/>
    </row>
    <row r="2770" spans="6:14" x14ac:dyDescent="0.35">
      <c r="F2770" s="1"/>
      <c r="K2770" s="8" t="s">
        <v>2001</v>
      </c>
      <c r="L2770" s="8" t="s">
        <v>359</v>
      </c>
      <c r="M2770" s="8">
        <v>1</v>
      </c>
      <c r="N2770" s="8"/>
    </row>
    <row r="2771" spans="6:14" x14ac:dyDescent="0.35">
      <c r="F2771" s="1"/>
      <c r="K2771" s="8" t="s">
        <v>2001</v>
      </c>
      <c r="L2771" s="8" t="s">
        <v>355</v>
      </c>
      <c r="M2771" s="8">
        <v>1</v>
      </c>
      <c r="N2771" s="8"/>
    </row>
    <row r="2772" spans="6:14" x14ac:dyDescent="0.35">
      <c r="F2772" s="1"/>
      <c r="K2772" s="8" t="s">
        <v>2001</v>
      </c>
      <c r="L2772" s="8" t="s">
        <v>2141</v>
      </c>
      <c r="M2772" s="8">
        <v>1</v>
      </c>
      <c r="N2772" s="8"/>
    </row>
    <row r="2773" spans="6:14" x14ac:dyDescent="0.35">
      <c r="F2773" s="1"/>
      <c r="K2773" s="8" t="s">
        <v>2002</v>
      </c>
      <c r="L2773" s="8" t="s">
        <v>358</v>
      </c>
      <c r="M2773" s="8">
        <v>1</v>
      </c>
      <c r="N2773" s="8"/>
    </row>
    <row r="2774" spans="6:14" x14ac:dyDescent="0.35">
      <c r="F2774" s="1"/>
      <c r="K2774" s="8" t="s">
        <v>2002</v>
      </c>
      <c r="L2774" s="8" t="s">
        <v>2653</v>
      </c>
      <c r="M2774" s="8">
        <v>0</v>
      </c>
      <c r="N2774" s="8"/>
    </row>
    <row r="2775" spans="6:14" x14ac:dyDescent="0.35">
      <c r="F2775" s="1"/>
      <c r="K2775" s="8" t="s">
        <v>2002</v>
      </c>
      <c r="L2775" s="8" t="s">
        <v>357</v>
      </c>
      <c r="M2775" s="8">
        <v>1</v>
      </c>
      <c r="N2775" s="8"/>
    </row>
    <row r="2776" spans="6:14" x14ac:dyDescent="0.35">
      <c r="F2776" s="1"/>
      <c r="K2776" s="8" t="s">
        <v>2002</v>
      </c>
      <c r="L2776" s="8" t="s">
        <v>369</v>
      </c>
      <c r="M2776" s="8">
        <v>1</v>
      </c>
      <c r="N2776" s="8"/>
    </row>
    <row r="2777" spans="6:14" x14ac:dyDescent="0.35">
      <c r="F2777" s="1"/>
      <c r="K2777" s="8" t="s">
        <v>2002</v>
      </c>
      <c r="L2777" s="8" t="s">
        <v>356</v>
      </c>
      <c r="M2777" s="8">
        <v>1</v>
      </c>
      <c r="N2777" s="8"/>
    </row>
    <row r="2778" spans="6:14" x14ac:dyDescent="0.35">
      <c r="F2778" s="1"/>
      <c r="K2778" s="8" t="s">
        <v>2002</v>
      </c>
      <c r="L2778" s="8" t="s">
        <v>355</v>
      </c>
      <c r="M2778" s="8">
        <v>1</v>
      </c>
      <c r="N2778" s="8"/>
    </row>
    <row r="2779" spans="6:14" x14ac:dyDescent="0.35">
      <c r="F2779" s="1"/>
      <c r="K2779" s="8" t="s">
        <v>2003</v>
      </c>
      <c r="L2779" s="8" t="s">
        <v>361</v>
      </c>
      <c r="M2779" s="8">
        <v>1</v>
      </c>
      <c r="N2779" s="8"/>
    </row>
    <row r="2780" spans="6:14" x14ac:dyDescent="0.35">
      <c r="F2780" s="1"/>
      <c r="K2780" s="8" t="s">
        <v>2003</v>
      </c>
      <c r="L2780" s="8" t="s">
        <v>2769</v>
      </c>
      <c r="M2780" s="8">
        <v>0</v>
      </c>
      <c r="N2780" s="8"/>
    </row>
    <row r="2781" spans="6:14" x14ac:dyDescent="0.35">
      <c r="F2781" s="1"/>
      <c r="K2781" s="8" t="s">
        <v>2003</v>
      </c>
      <c r="L2781" s="8" t="s">
        <v>360</v>
      </c>
      <c r="M2781" s="8">
        <v>1</v>
      </c>
      <c r="N2781" s="8"/>
    </row>
    <row r="2782" spans="6:14" x14ac:dyDescent="0.35">
      <c r="F2782" s="1"/>
      <c r="K2782" s="8" t="s">
        <v>2003</v>
      </c>
      <c r="L2782" s="8" t="s">
        <v>369</v>
      </c>
      <c r="M2782" s="8">
        <v>1</v>
      </c>
      <c r="N2782" s="8"/>
    </row>
    <row r="2783" spans="6:14" x14ac:dyDescent="0.35">
      <c r="F2783" s="1"/>
      <c r="K2783" s="8" t="s">
        <v>2003</v>
      </c>
      <c r="L2783" s="8" t="s">
        <v>359</v>
      </c>
      <c r="M2783" s="8">
        <v>1</v>
      </c>
      <c r="N2783" s="8"/>
    </row>
    <row r="2784" spans="6:14" x14ac:dyDescent="0.35">
      <c r="F2784" s="1"/>
      <c r="K2784" s="8" t="s">
        <v>2003</v>
      </c>
      <c r="L2784" s="8" t="s">
        <v>355</v>
      </c>
      <c r="M2784" s="8">
        <v>1</v>
      </c>
      <c r="N2784" s="8"/>
    </row>
    <row r="2785" spans="6:14" x14ac:dyDescent="0.35">
      <c r="F2785" s="1"/>
      <c r="K2785" s="8" t="s">
        <v>2004</v>
      </c>
      <c r="L2785" s="8" t="s">
        <v>358</v>
      </c>
      <c r="M2785" s="8">
        <v>1</v>
      </c>
      <c r="N2785" s="8"/>
    </row>
    <row r="2786" spans="6:14" x14ac:dyDescent="0.35">
      <c r="F2786" s="1"/>
      <c r="K2786" s="8" t="s">
        <v>2004</v>
      </c>
      <c r="L2786" s="8" t="s">
        <v>357</v>
      </c>
      <c r="M2786" s="8">
        <v>1</v>
      </c>
      <c r="N2786" s="8"/>
    </row>
    <row r="2787" spans="6:14" x14ac:dyDescent="0.35">
      <c r="F2787" s="1"/>
      <c r="K2787" s="8" t="s">
        <v>2004</v>
      </c>
      <c r="L2787" s="8" t="s">
        <v>356</v>
      </c>
      <c r="M2787" s="8">
        <v>1</v>
      </c>
      <c r="N2787" s="8"/>
    </row>
    <row r="2788" spans="6:14" x14ac:dyDescent="0.35">
      <c r="F2788" s="1"/>
      <c r="K2788" s="8" t="s">
        <v>2004</v>
      </c>
      <c r="L2788" s="8" t="s">
        <v>355</v>
      </c>
      <c r="M2788" s="8">
        <v>1</v>
      </c>
      <c r="N2788" s="8"/>
    </row>
    <row r="2789" spans="6:14" x14ac:dyDescent="0.35">
      <c r="F2789" s="1"/>
      <c r="K2789" s="8" t="s">
        <v>2004</v>
      </c>
      <c r="L2789" s="8" t="s">
        <v>371</v>
      </c>
      <c r="M2789" s="8">
        <v>1</v>
      </c>
      <c r="N2789" s="8"/>
    </row>
    <row r="2790" spans="6:14" x14ac:dyDescent="0.35">
      <c r="F2790" s="1"/>
      <c r="K2790" s="8" t="s">
        <v>2004</v>
      </c>
      <c r="L2790" s="8" t="s">
        <v>370</v>
      </c>
      <c r="M2790" s="8">
        <v>1</v>
      </c>
      <c r="N2790" s="8"/>
    </row>
    <row r="2791" spans="6:14" x14ac:dyDescent="0.35">
      <c r="F2791" s="1"/>
      <c r="K2791" s="8" t="s">
        <v>2005</v>
      </c>
      <c r="L2791" s="8" t="s">
        <v>361</v>
      </c>
      <c r="M2791" s="8">
        <v>1</v>
      </c>
      <c r="N2791" s="8"/>
    </row>
    <row r="2792" spans="6:14" x14ac:dyDescent="0.35">
      <c r="F2792" s="1"/>
      <c r="K2792" s="8" t="s">
        <v>2005</v>
      </c>
      <c r="L2792" s="8" t="s">
        <v>360</v>
      </c>
      <c r="M2792" s="8">
        <v>1</v>
      </c>
      <c r="N2792" s="8"/>
    </row>
    <row r="2793" spans="6:14" x14ac:dyDescent="0.35">
      <c r="F2793" s="1"/>
      <c r="K2793" s="8" t="s">
        <v>2005</v>
      </c>
      <c r="L2793" s="8" t="s">
        <v>359</v>
      </c>
      <c r="M2793" s="8">
        <v>1</v>
      </c>
      <c r="N2793" s="8"/>
    </row>
    <row r="2794" spans="6:14" x14ac:dyDescent="0.35">
      <c r="F2794" s="1"/>
      <c r="K2794" s="8" t="s">
        <v>2005</v>
      </c>
      <c r="L2794" s="8" t="s">
        <v>355</v>
      </c>
      <c r="M2794" s="8">
        <v>1</v>
      </c>
      <c r="N2794" s="8"/>
    </row>
    <row r="2795" spans="6:14" x14ac:dyDescent="0.35">
      <c r="F2795" s="1"/>
      <c r="K2795" s="8" t="s">
        <v>2005</v>
      </c>
      <c r="L2795" s="8" t="s">
        <v>371</v>
      </c>
      <c r="M2795" s="8">
        <v>1</v>
      </c>
      <c r="N2795" s="8"/>
    </row>
    <row r="2796" spans="6:14" x14ac:dyDescent="0.35">
      <c r="F2796" s="1"/>
      <c r="K2796" s="8" t="s">
        <v>2005</v>
      </c>
      <c r="L2796" s="8" t="s">
        <v>370</v>
      </c>
      <c r="M2796" s="8">
        <v>1</v>
      </c>
      <c r="N2796" s="8"/>
    </row>
    <row r="2797" spans="6:14" x14ac:dyDescent="0.35">
      <c r="F2797" s="1"/>
      <c r="K2797" s="8" t="s">
        <v>2006</v>
      </c>
      <c r="L2797" s="8" t="s">
        <v>358</v>
      </c>
      <c r="M2797" s="8">
        <v>1</v>
      </c>
      <c r="N2797" s="8"/>
    </row>
    <row r="2798" spans="6:14" x14ac:dyDescent="0.35">
      <c r="F2798" s="1"/>
      <c r="K2798" s="8" t="s">
        <v>2006</v>
      </c>
      <c r="L2798" s="8" t="s">
        <v>357</v>
      </c>
      <c r="M2798" s="8">
        <v>1</v>
      </c>
      <c r="N2798" s="8"/>
    </row>
    <row r="2799" spans="6:14" x14ac:dyDescent="0.35">
      <c r="F2799" s="1"/>
      <c r="K2799" s="8" t="s">
        <v>2006</v>
      </c>
      <c r="L2799" s="8" t="s">
        <v>356</v>
      </c>
      <c r="M2799" s="8">
        <v>1</v>
      </c>
      <c r="N2799" s="8"/>
    </row>
    <row r="2800" spans="6:14" x14ac:dyDescent="0.35">
      <c r="F2800" s="1"/>
      <c r="K2800" s="8" t="s">
        <v>2006</v>
      </c>
      <c r="L2800" s="8" t="s">
        <v>355</v>
      </c>
      <c r="M2800" s="8">
        <v>1</v>
      </c>
      <c r="N2800" s="8"/>
    </row>
    <row r="2801" spans="6:14" x14ac:dyDescent="0.35">
      <c r="F2801" s="1"/>
      <c r="K2801" s="8" t="s">
        <v>2006</v>
      </c>
      <c r="L2801" s="8" t="s">
        <v>2652</v>
      </c>
      <c r="M2801" s="8">
        <v>1</v>
      </c>
      <c r="N2801" s="8"/>
    </row>
    <row r="2802" spans="6:14" x14ac:dyDescent="0.35">
      <c r="F2802" s="1"/>
      <c r="K2802" s="8" t="s">
        <v>2006</v>
      </c>
      <c r="L2802" s="8" t="s">
        <v>370</v>
      </c>
      <c r="M2802" s="8">
        <v>1</v>
      </c>
      <c r="N2802" s="8"/>
    </row>
    <row r="2803" spans="6:14" x14ac:dyDescent="0.35">
      <c r="F2803" s="1"/>
      <c r="K2803" s="8" t="s">
        <v>2007</v>
      </c>
      <c r="L2803" s="8" t="s">
        <v>361</v>
      </c>
      <c r="M2803" s="8">
        <v>1</v>
      </c>
      <c r="N2803" s="8"/>
    </row>
    <row r="2804" spans="6:14" x14ac:dyDescent="0.35">
      <c r="F2804" s="1"/>
      <c r="K2804" s="8" t="s">
        <v>2007</v>
      </c>
      <c r="L2804" s="8" t="s">
        <v>360</v>
      </c>
      <c r="M2804" s="8">
        <v>1</v>
      </c>
      <c r="N2804" s="8"/>
    </row>
    <row r="2805" spans="6:14" x14ac:dyDescent="0.35">
      <c r="F2805" s="1"/>
      <c r="K2805" s="8" t="s">
        <v>2007</v>
      </c>
      <c r="L2805" s="8" t="s">
        <v>359</v>
      </c>
      <c r="M2805" s="8">
        <v>1</v>
      </c>
      <c r="N2805" s="8"/>
    </row>
    <row r="2806" spans="6:14" x14ac:dyDescent="0.35">
      <c r="F2806" s="1"/>
      <c r="K2806" s="8" t="s">
        <v>2007</v>
      </c>
      <c r="L2806" s="8" t="s">
        <v>355</v>
      </c>
      <c r="M2806" s="8">
        <v>1</v>
      </c>
      <c r="N2806" s="8"/>
    </row>
    <row r="2807" spans="6:14" x14ac:dyDescent="0.35">
      <c r="F2807" s="1"/>
      <c r="K2807" s="8" t="s">
        <v>2007</v>
      </c>
      <c r="L2807" s="8" t="s">
        <v>2768</v>
      </c>
      <c r="M2807" s="8">
        <v>1</v>
      </c>
      <c r="N2807" s="8"/>
    </row>
    <row r="2808" spans="6:14" x14ac:dyDescent="0.35">
      <c r="F2808" s="1"/>
      <c r="K2808" s="8" t="s">
        <v>2007</v>
      </c>
      <c r="L2808" s="8" t="s">
        <v>370</v>
      </c>
      <c r="M2808" s="8">
        <v>1</v>
      </c>
      <c r="N2808" s="8"/>
    </row>
    <row r="2809" spans="6:14" x14ac:dyDescent="0.35">
      <c r="F2809" s="1"/>
      <c r="K2809" s="8" t="s">
        <v>2008</v>
      </c>
      <c r="L2809" s="8" t="s">
        <v>358</v>
      </c>
      <c r="M2809" s="8">
        <v>1</v>
      </c>
      <c r="N2809" s="8"/>
    </row>
    <row r="2810" spans="6:14" x14ac:dyDescent="0.35">
      <c r="F2810" s="1"/>
      <c r="K2810" s="8" t="s">
        <v>2008</v>
      </c>
      <c r="L2810" s="8" t="s">
        <v>357</v>
      </c>
      <c r="M2810" s="8">
        <v>1</v>
      </c>
      <c r="N2810" s="8"/>
    </row>
    <row r="2811" spans="6:14" x14ac:dyDescent="0.35">
      <c r="F2811" s="1"/>
      <c r="K2811" s="8" t="s">
        <v>2008</v>
      </c>
      <c r="L2811" s="8" t="s">
        <v>2654</v>
      </c>
      <c r="M2811" s="8">
        <v>0</v>
      </c>
      <c r="N2811" s="8"/>
    </row>
    <row r="2812" spans="6:14" x14ac:dyDescent="0.35">
      <c r="F2812" s="1"/>
      <c r="K2812" s="8" t="s">
        <v>2008</v>
      </c>
      <c r="L2812" s="8" t="s">
        <v>2655</v>
      </c>
      <c r="M2812" s="8">
        <v>0</v>
      </c>
      <c r="N2812" s="8"/>
    </row>
    <row r="2813" spans="6:14" x14ac:dyDescent="0.35">
      <c r="F2813" s="1"/>
      <c r="K2813" s="8" t="s">
        <v>2008</v>
      </c>
      <c r="L2813" s="8" t="s">
        <v>2656</v>
      </c>
      <c r="M2813" s="8">
        <v>0</v>
      </c>
      <c r="N2813" s="8"/>
    </row>
    <row r="2814" spans="6:14" x14ac:dyDescent="0.35">
      <c r="F2814" s="1"/>
      <c r="K2814" s="8" t="s">
        <v>2008</v>
      </c>
      <c r="L2814" s="8" t="s">
        <v>2657</v>
      </c>
      <c r="M2814" s="8">
        <v>0</v>
      </c>
      <c r="N2814" s="8"/>
    </row>
    <row r="2815" spans="6:14" x14ac:dyDescent="0.35">
      <c r="F2815" s="1"/>
      <c r="K2815" s="8" t="s">
        <v>2008</v>
      </c>
      <c r="L2815" s="8" t="s">
        <v>356</v>
      </c>
      <c r="M2815" s="8">
        <v>1</v>
      </c>
      <c r="N2815" s="8"/>
    </row>
    <row r="2816" spans="6:14" x14ac:dyDescent="0.35">
      <c r="F2816" s="1"/>
      <c r="K2816" s="8" t="s">
        <v>2008</v>
      </c>
      <c r="L2816" s="8" t="s">
        <v>480</v>
      </c>
      <c r="M2816" s="8">
        <v>0</v>
      </c>
      <c r="N2816" s="8"/>
    </row>
    <row r="2817" spans="6:14" x14ac:dyDescent="0.35">
      <c r="F2817" s="1"/>
      <c r="K2817" s="8" t="s">
        <v>2008</v>
      </c>
      <c r="L2817" s="8" t="s">
        <v>481</v>
      </c>
      <c r="M2817" s="8">
        <v>0</v>
      </c>
      <c r="N2817" s="8"/>
    </row>
    <row r="2818" spans="6:14" x14ac:dyDescent="0.35">
      <c r="F2818" s="1"/>
      <c r="K2818" s="8" t="s">
        <v>2008</v>
      </c>
      <c r="L2818" s="8" t="s">
        <v>482</v>
      </c>
      <c r="M2818" s="8">
        <v>0</v>
      </c>
      <c r="N2818" s="8"/>
    </row>
    <row r="2819" spans="6:14" x14ac:dyDescent="0.35">
      <c r="F2819" s="1"/>
      <c r="K2819" s="8" t="s">
        <v>2008</v>
      </c>
      <c r="L2819" s="8" t="s">
        <v>483</v>
      </c>
      <c r="M2819" s="8">
        <v>0</v>
      </c>
      <c r="N2819" s="8"/>
    </row>
    <row r="2820" spans="6:14" x14ac:dyDescent="0.35">
      <c r="F2820" s="1"/>
      <c r="K2820" s="8" t="s">
        <v>2008</v>
      </c>
      <c r="L2820" s="8" t="s">
        <v>484</v>
      </c>
      <c r="M2820" s="8">
        <v>0</v>
      </c>
      <c r="N2820" s="8"/>
    </row>
    <row r="2821" spans="6:14" x14ac:dyDescent="0.35">
      <c r="F2821" s="1"/>
      <c r="K2821" s="8" t="s">
        <v>2008</v>
      </c>
      <c r="L2821" s="8" t="s">
        <v>355</v>
      </c>
      <c r="M2821" s="8">
        <v>1</v>
      </c>
      <c r="N2821" s="8"/>
    </row>
    <row r="2822" spans="6:14" x14ac:dyDescent="0.35">
      <c r="F2822" s="1"/>
      <c r="K2822" s="8" t="s">
        <v>2008</v>
      </c>
      <c r="L2822" s="8" t="s">
        <v>372</v>
      </c>
      <c r="M2822" s="8">
        <v>1</v>
      </c>
      <c r="N2822" s="8"/>
    </row>
    <row r="2823" spans="6:14" x14ac:dyDescent="0.35">
      <c r="F2823" s="1"/>
      <c r="K2823" s="8" t="s">
        <v>2008</v>
      </c>
      <c r="L2823" s="8" t="s">
        <v>486</v>
      </c>
      <c r="M2823" s="8">
        <v>0</v>
      </c>
      <c r="N2823" s="8"/>
    </row>
    <row r="2824" spans="6:14" x14ac:dyDescent="0.35">
      <c r="F2824" s="1"/>
      <c r="K2824" s="8" t="s">
        <v>2008</v>
      </c>
      <c r="L2824" s="8" t="s">
        <v>487</v>
      </c>
      <c r="M2824" s="8">
        <v>0</v>
      </c>
      <c r="N2824" s="8"/>
    </row>
    <row r="2825" spans="6:14" x14ac:dyDescent="0.35">
      <c r="F2825" s="1"/>
      <c r="K2825" s="8" t="s">
        <v>2008</v>
      </c>
      <c r="L2825" s="8" t="s">
        <v>488</v>
      </c>
      <c r="M2825" s="8">
        <v>0</v>
      </c>
      <c r="N2825" s="8"/>
    </row>
    <row r="2826" spans="6:14" x14ac:dyDescent="0.35">
      <c r="F2826" s="1"/>
      <c r="K2826" s="8" t="s">
        <v>2008</v>
      </c>
      <c r="L2826" s="8" t="s">
        <v>489</v>
      </c>
      <c r="M2826" s="8">
        <v>0</v>
      </c>
      <c r="N2826" s="8"/>
    </row>
    <row r="2827" spans="6:14" x14ac:dyDescent="0.35">
      <c r="F2827" s="1"/>
      <c r="K2827" s="8" t="s">
        <v>2008</v>
      </c>
      <c r="L2827" s="8" t="s">
        <v>490</v>
      </c>
      <c r="M2827" s="8">
        <v>0</v>
      </c>
      <c r="N2827" s="8"/>
    </row>
    <row r="2828" spans="6:14" x14ac:dyDescent="0.35">
      <c r="F2828" s="1"/>
      <c r="K2828" s="8" t="s">
        <v>2008</v>
      </c>
      <c r="L2828" s="8" t="s">
        <v>491</v>
      </c>
      <c r="M2828" s="8">
        <v>0</v>
      </c>
      <c r="N2828" s="8"/>
    </row>
    <row r="2829" spans="6:14" x14ac:dyDescent="0.35">
      <c r="F2829" s="1"/>
      <c r="K2829" s="8" t="s">
        <v>2008</v>
      </c>
      <c r="L2829" s="8" t="s">
        <v>492</v>
      </c>
      <c r="M2829" s="8">
        <v>0</v>
      </c>
      <c r="N2829" s="8"/>
    </row>
    <row r="2830" spans="6:14" x14ac:dyDescent="0.35">
      <c r="F2830" s="1"/>
      <c r="K2830" s="8" t="s">
        <v>2008</v>
      </c>
      <c r="L2830" s="8" t="s">
        <v>493</v>
      </c>
      <c r="M2830" s="8">
        <v>0</v>
      </c>
      <c r="N2830" s="8"/>
    </row>
    <row r="2831" spans="6:14" x14ac:dyDescent="0.35">
      <c r="F2831" s="1"/>
      <c r="K2831" s="8" t="s">
        <v>2008</v>
      </c>
      <c r="L2831" s="8" t="s">
        <v>494</v>
      </c>
      <c r="M2831" s="8">
        <v>0</v>
      </c>
      <c r="N2831" s="8"/>
    </row>
    <row r="2832" spans="6:14" x14ac:dyDescent="0.35">
      <c r="F2832" s="1"/>
      <c r="K2832" s="8" t="s">
        <v>2008</v>
      </c>
      <c r="L2832" s="8" t="s">
        <v>495</v>
      </c>
      <c r="M2832" s="8">
        <v>0</v>
      </c>
      <c r="N2832" s="8"/>
    </row>
    <row r="2833" spans="6:14" x14ac:dyDescent="0.35">
      <c r="F2833" s="1"/>
      <c r="K2833" s="8" t="s">
        <v>2009</v>
      </c>
      <c r="L2833" s="8" t="s">
        <v>2678</v>
      </c>
      <c r="M2833" s="8">
        <v>0</v>
      </c>
      <c r="N2833" s="8"/>
    </row>
    <row r="2834" spans="6:14" x14ac:dyDescent="0.35">
      <c r="F2834" s="1"/>
      <c r="K2834" s="8" t="s">
        <v>2009</v>
      </c>
      <c r="L2834" s="8" t="s">
        <v>701</v>
      </c>
      <c r="M2834" s="8">
        <v>0</v>
      </c>
      <c r="N2834" s="8"/>
    </row>
    <row r="2835" spans="6:14" x14ac:dyDescent="0.35">
      <c r="F2835" s="1"/>
      <c r="K2835" s="8" t="s">
        <v>2009</v>
      </c>
      <c r="L2835" s="8" t="s">
        <v>358</v>
      </c>
      <c r="M2835" s="8">
        <v>1</v>
      </c>
      <c r="N2835" s="8"/>
    </row>
    <row r="2836" spans="6:14" x14ac:dyDescent="0.35">
      <c r="F2836" s="1"/>
      <c r="K2836" s="8" t="s">
        <v>2009</v>
      </c>
      <c r="L2836" s="8" t="s">
        <v>357</v>
      </c>
      <c r="M2836" s="8">
        <v>1</v>
      </c>
      <c r="N2836" s="8"/>
    </row>
    <row r="2837" spans="6:14" x14ac:dyDescent="0.35">
      <c r="F2837" s="1"/>
      <c r="K2837" s="8" t="s">
        <v>2009</v>
      </c>
      <c r="L2837" s="8" t="s">
        <v>702</v>
      </c>
      <c r="M2837" s="8">
        <v>1</v>
      </c>
      <c r="N2837" s="8" t="s">
        <v>476</v>
      </c>
    </row>
    <row r="2838" spans="6:14" x14ac:dyDescent="0.35">
      <c r="F2838" s="1"/>
      <c r="K2838" s="8" t="s">
        <v>2009</v>
      </c>
      <c r="L2838" s="8" t="s">
        <v>703</v>
      </c>
      <c r="M2838" s="8">
        <v>1</v>
      </c>
      <c r="N2838" s="8" t="s">
        <v>476</v>
      </c>
    </row>
    <row r="2839" spans="6:14" x14ac:dyDescent="0.35">
      <c r="F2839" s="1"/>
      <c r="K2839" s="8" t="s">
        <v>2009</v>
      </c>
      <c r="L2839" s="8" t="s">
        <v>356</v>
      </c>
      <c r="M2839" s="8">
        <v>1</v>
      </c>
      <c r="N2839" s="8"/>
    </row>
    <row r="2840" spans="6:14" x14ac:dyDescent="0.35">
      <c r="F2840" s="1"/>
      <c r="K2840" s="8" t="s">
        <v>2009</v>
      </c>
      <c r="L2840" s="8" t="s">
        <v>480</v>
      </c>
      <c r="M2840" s="8">
        <v>0</v>
      </c>
      <c r="N2840" s="8"/>
    </row>
    <row r="2841" spans="6:14" x14ac:dyDescent="0.35">
      <c r="F2841" s="1"/>
      <c r="K2841" s="8" t="s">
        <v>2009</v>
      </c>
      <c r="L2841" s="8" t="s">
        <v>481</v>
      </c>
      <c r="M2841" s="8">
        <v>0</v>
      </c>
      <c r="N2841" s="8"/>
    </row>
    <row r="2842" spans="6:14" x14ac:dyDescent="0.35">
      <c r="F2842" s="1"/>
      <c r="K2842" s="8" t="s">
        <v>2009</v>
      </c>
      <c r="L2842" s="8" t="s">
        <v>482</v>
      </c>
      <c r="M2842" s="8">
        <v>0</v>
      </c>
      <c r="N2842" s="8"/>
    </row>
    <row r="2843" spans="6:14" x14ac:dyDescent="0.35">
      <c r="F2843" s="1"/>
      <c r="K2843" s="8" t="s">
        <v>2009</v>
      </c>
      <c r="L2843" s="8" t="s">
        <v>483</v>
      </c>
      <c r="M2843" s="8">
        <v>0</v>
      </c>
      <c r="N2843" s="8"/>
    </row>
    <row r="2844" spans="6:14" x14ac:dyDescent="0.35">
      <c r="F2844" s="1"/>
      <c r="K2844" s="8" t="s">
        <v>2009</v>
      </c>
      <c r="L2844" s="8" t="s">
        <v>484</v>
      </c>
      <c r="M2844" s="8">
        <v>0</v>
      </c>
      <c r="N2844" s="8"/>
    </row>
    <row r="2845" spans="6:14" x14ac:dyDescent="0.35">
      <c r="F2845" s="1"/>
      <c r="K2845" s="8" t="s">
        <v>2009</v>
      </c>
      <c r="L2845" s="8" t="s">
        <v>355</v>
      </c>
      <c r="M2845" s="8">
        <v>1</v>
      </c>
      <c r="N2845" s="8"/>
    </row>
    <row r="2846" spans="6:14" x14ac:dyDescent="0.35">
      <c r="F2846" s="1"/>
      <c r="K2846" s="8" t="s">
        <v>2009</v>
      </c>
      <c r="L2846" s="8" t="s">
        <v>372</v>
      </c>
      <c r="M2846" s="8">
        <v>1</v>
      </c>
      <c r="N2846" s="8"/>
    </row>
    <row r="2847" spans="6:14" x14ac:dyDescent="0.35">
      <c r="F2847" s="1"/>
      <c r="K2847" s="8" t="s">
        <v>2009</v>
      </c>
      <c r="L2847" s="8" t="s">
        <v>486</v>
      </c>
      <c r="M2847" s="8">
        <v>0</v>
      </c>
      <c r="N2847" s="8"/>
    </row>
    <row r="2848" spans="6:14" x14ac:dyDescent="0.35">
      <c r="F2848" s="1"/>
      <c r="K2848" s="8" t="s">
        <v>2009</v>
      </c>
      <c r="L2848" s="8" t="s">
        <v>487</v>
      </c>
      <c r="M2848" s="8">
        <v>0</v>
      </c>
      <c r="N2848" s="8"/>
    </row>
    <row r="2849" spans="6:14" x14ac:dyDescent="0.35">
      <c r="F2849" s="1"/>
      <c r="K2849" s="8" t="s">
        <v>2009</v>
      </c>
      <c r="L2849" s="8" t="s">
        <v>488</v>
      </c>
      <c r="M2849" s="8">
        <v>0</v>
      </c>
      <c r="N2849" s="8"/>
    </row>
    <row r="2850" spans="6:14" x14ac:dyDescent="0.35">
      <c r="F2850" s="1"/>
      <c r="K2850" s="8" t="s">
        <v>2009</v>
      </c>
      <c r="L2850" s="8" t="s">
        <v>489</v>
      </c>
      <c r="M2850" s="8">
        <v>0</v>
      </c>
      <c r="N2850" s="8"/>
    </row>
    <row r="2851" spans="6:14" x14ac:dyDescent="0.35">
      <c r="F2851" s="1"/>
      <c r="K2851" s="8" t="s">
        <v>2009</v>
      </c>
      <c r="L2851" s="8" t="s">
        <v>490</v>
      </c>
      <c r="M2851" s="8">
        <v>0</v>
      </c>
      <c r="N2851" s="8"/>
    </row>
    <row r="2852" spans="6:14" x14ac:dyDescent="0.35">
      <c r="F2852" s="1"/>
      <c r="K2852" s="8" t="s">
        <v>2009</v>
      </c>
      <c r="L2852" s="8" t="s">
        <v>491</v>
      </c>
      <c r="M2852" s="8">
        <v>0</v>
      </c>
      <c r="N2852" s="8"/>
    </row>
    <row r="2853" spans="6:14" x14ac:dyDescent="0.35">
      <c r="F2853" s="1"/>
      <c r="K2853" s="8" t="s">
        <v>2009</v>
      </c>
      <c r="L2853" s="8" t="s">
        <v>492</v>
      </c>
      <c r="M2853" s="8">
        <v>0</v>
      </c>
      <c r="N2853" s="8"/>
    </row>
    <row r="2854" spans="6:14" x14ac:dyDescent="0.35">
      <c r="F2854" s="1"/>
      <c r="K2854" s="8" t="s">
        <v>2009</v>
      </c>
      <c r="L2854" s="8" t="s">
        <v>493</v>
      </c>
      <c r="M2854" s="8">
        <v>0</v>
      </c>
      <c r="N2854" s="8"/>
    </row>
    <row r="2855" spans="6:14" x14ac:dyDescent="0.35">
      <c r="F2855" s="1"/>
      <c r="K2855" s="8" t="s">
        <v>2009</v>
      </c>
      <c r="L2855" s="8" t="s">
        <v>494</v>
      </c>
      <c r="M2855" s="8">
        <v>0</v>
      </c>
      <c r="N2855" s="8"/>
    </row>
    <row r="2856" spans="6:14" x14ac:dyDescent="0.35">
      <c r="F2856" s="1"/>
      <c r="K2856" s="8" t="s">
        <v>2009</v>
      </c>
      <c r="L2856" s="8" t="s">
        <v>495</v>
      </c>
      <c r="M2856" s="8">
        <v>0</v>
      </c>
      <c r="N2856" s="8"/>
    </row>
    <row r="2857" spans="6:14" x14ac:dyDescent="0.35">
      <c r="F2857" s="1"/>
      <c r="K2857" s="8" t="s">
        <v>2009</v>
      </c>
      <c r="L2857" s="8" t="s">
        <v>704</v>
      </c>
      <c r="M2857" s="8">
        <v>1</v>
      </c>
      <c r="N2857" s="8" t="s">
        <v>476</v>
      </c>
    </row>
    <row r="2858" spans="6:14" x14ac:dyDescent="0.35">
      <c r="F2858" s="1"/>
      <c r="K2858" s="8" t="s">
        <v>2009</v>
      </c>
      <c r="L2858" s="8" t="s">
        <v>705</v>
      </c>
      <c r="M2858" s="8">
        <v>1</v>
      </c>
      <c r="N2858" s="8" t="s">
        <v>476</v>
      </c>
    </row>
    <row r="2859" spans="6:14" x14ac:dyDescent="0.35">
      <c r="F2859" s="1"/>
      <c r="K2859" s="8" t="s">
        <v>2010</v>
      </c>
      <c r="L2859" s="8" t="s">
        <v>2794</v>
      </c>
      <c r="M2859" s="8">
        <v>0</v>
      </c>
      <c r="N2859" s="8" t="s">
        <v>476</v>
      </c>
    </row>
    <row r="2860" spans="6:14" x14ac:dyDescent="0.35">
      <c r="F2860" s="1"/>
      <c r="K2860" s="8" t="s">
        <v>2010</v>
      </c>
      <c r="L2860" s="8" t="s">
        <v>2795</v>
      </c>
      <c r="M2860" s="8">
        <v>0</v>
      </c>
      <c r="N2860" s="8"/>
    </row>
    <row r="2861" spans="6:14" x14ac:dyDescent="0.35">
      <c r="F2861" s="1"/>
      <c r="K2861" s="8" t="s">
        <v>2010</v>
      </c>
      <c r="L2861" s="8" t="s">
        <v>361</v>
      </c>
      <c r="M2861" s="8">
        <v>1</v>
      </c>
      <c r="N2861" s="8"/>
    </row>
    <row r="2862" spans="6:14" x14ac:dyDescent="0.35">
      <c r="F2862" s="1"/>
      <c r="K2862" s="8" t="s">
        <v>2010</v>
      </c>
      <c r="L2862" s="8" t="s">
        <v>360</v>
      </c>
      <c r="M2862" s="8">
        <v>1</v>
      </c>
      <c r="N2862" s="8"/>
    </row>
    <row r="2863" spans="6:14" x14ac:dyDescent="0.35">
      <c r="F2863" s="1"/>
      <c r="K2863" s="8" t="s">
        <v>2010</v>
      </c>
      <c r="L2863" s="8" t="s">
        <v>2796</v>
      </c>
      <c r="M2863" s="8">
        <v>1</v>
      </c>
      <c r="N2863" s="8" t="s">
        <v>476</v>
      </c>
    </row>
    <row r="2864" spans="6:14" x14ac:dyDescent="0.35">
      <c r="F2864" s="1"/>
      <c r="K2864" s="8" t="s">
        <v>2010</v>
      </c>
      <c r="L2864" s="8" t="s">
        <v>2797</v>
      </c>
      <c r="M2864" s="8">
        <v>1</v>
      </c>
      <c r="N2864" s="8" t="s">
        <v>476</v>
      </c>
    </row>
    <row r="2865" spans="6:14" x14ac:dyDescent="0.35">
      <c r="F2865" s="1"/>
      <c r="K2865" s="8" t="s">
        <v>2010</v>
      </c>
      <c r="L2865" s="8" t="s">
        <v>359</v>
      </c>
      <c r="M2865" s="8">
        <v>1</v>
      </c>
      <c r="N2865" s="8"/>
    </row>
    <row r="2866" spans="6:14" x14ac:dyDescent="0.35">
      <c r="F2866" s="1"/>
      <c r="K2866" s="8" t="s">
        <v>2010</v>
      </c>
      <c r="L2866" s="8" t="s">
        <v>1350</v>
      </c>
      <c r="M2866" s="8">
        <v>0</v>
      </c>
      <c r="N2866" s="8"/>
    </row>
    <row r="2867" spans="6:14" x14ac:dyDescent="0.35">
      <c r="F2867" s="1"/>
      <c r="K2867" s="8" t="s">
        <v>2010</v>
      </c>
      <c r="L2867" s="8" t="s">
        <v>1351</v>
      </c>
      <c r="M2867" s="8">
        <v>0</v>
      </c>
      <c r="N2867" s="8"/>
    </row>
    <row r="2868" spans="6:14" x14ac:dyDescent="0.35">
      <c r="F2868" s="1"/>
      <c r="K2868" s="8" t="s">
        <v>2010</v>
      </c>
      <c r="L2868" s="8" t="s">
        <v>1352</v>
      </c>
      <c r="M2868" s="8">
        <v>0</v>
      </c>
      <c r="N2868" s="8"/>
    </row>
    <row r="2869" spans="6:14" x14ac:dyDescent="0.35">
      <c r="F2869" s="1"/>
      <c r="K2869" s="8" t="s">
        <v>2010</v>
      </c>
      <c r="L2869" s="8" t="s">
        <v>1353</v>
      </c>
      <c r="M2869" s="8">
        <v>0</v>
      </c>
      <c r="N2869" s="8"/>
    </row>
    <row r="2870" spans="6:14" x14ac:dyDescent="0.35">
      <c r="F2870" s="1"/>
      <c r="K2870" s="8" t="s">
        <v>2010</v>
      </c>
      <c r="L2870" s="8" t="s">
        <v>1354</v>
      </c>
      <c r="M2870" s="8">
        <v>0</v>
      </c>
      <c r="N2870" s="8"/>
    </row>
    <row r="2871" spans="6:14" x14ac:dyDescent="0.35">
      <c r="F2871" s="1"/>
      <c r="K2871" s="8" t="s">
        <v>2010</v>
      </c>
      <c r="L2871" s="8" t="s">
        <v>355</v>
      </c>
      <c r="M2871" s="8">
        <v>1</v>
      </c>
      <c r="N2871" s="8"/>
    </row>
    <row r="2872" spans="6:14" x14ac:dyDescent="0.35">
      <c r="F2872" s="1"/>
      <c r="K2872" s="8" t="s">
        <v>2010</v>
      </c>
      <c r="L2872" s="8" t="s">
        <v>372</v>
      </c>
      <c r="M2872" s="8">
        <v>1</v>
      </c>
      <c r="N2872" s="8"/>
    </row>
    <row r="2873" spans="6:14" x14ac:dyDescent="0.35">
      <c r="F2873" s="1"/>
      <c r="K2873" s="8" t="s">
        <v>2010</v>
      </c>
      <c r="L2873" s="8" t="s">
        <v>1363</v>
      </c>
      <c r="M2873" s="8">
        <v>0</v>
      </c>
      <c r="N2873" s="8"/>
    </row>
    <row r="2874" spans="6:14" x14ac:dyDescent="0.35">
      <c r="F2874" s="1"/>
      <c r="K2874" s="8" t="s">
        <v>2010</v>
      </c>
      <c r="L2874" s="8" t="s">
        <v>1364</v>
      </c>
      <c r="M2874" s="8">
        <v>0</v>
      </c>
      <c r="N2874" s="8"/>
    </row>
    <row r="2875" spans="6:14" x14ac:dyDescent="0.35">
      <c r="F2875" s="1"/>
      <c r="K2875" s="8" t="s">
        <v>2010</v>
      </c>
      <c r="L2875" s="8" t="s">
        <v>1365</v>
      </c>
      <c r="M2875" s="8">
        <v>0</v>
      </c>
      <c r="N2875" s="8"/>
    </row>
    <row r="2876" spans="6:14" x14ac:dyDescent="0.35">
      <c r="F2876" s="1"/>
      <c r="K2876" s="8" t="s">
        <v>2010</v>
      </c>
      <c r="L2876" s="8" t="s">
        <v>1366</v>
      </c>
      <c r="M2876" s="8">
        <v>0</v>
      </c>
      <c r="N2876" s="8"/>
    </row>
    <row r="2877" spans="6:14" x14ac:dyDescent="0.35">
      <c r="F2877" s="1"/>
      <c r="K2877" s="8" t="s">
        <v>2010</v>
      </c>
      <c r="L2877" s="8" t="s">
        <v>1367</v>
      </c>
      <c r="M2877" s="8">
        <v>0</v>
      </c>
      <c r="N2877" s="8"/>
    </row>
    <row r="2878" spans="6:14" x14ac:dyDescent="0.35">
      <c r="F2878" s="1"/>
      <c r="K2878" s="8" t="s">
        <v>2010</v>
      </c>
      <c r="L2878" s="8" t="s">
        <v>1370</v>
      </c>
      <c r="M2878" s="8">
        <v>0</v>
      </c>
      <c r="N2878" s="8"/>
    </row>
    <row r="2879" spans="6:14" x14ac:dyDescent="0.35">
      <c r="F2879" s="1"/>
      <c r="K2879" s="8" t="s">
        <v>2010</v>
      </c>
      <c r="L2879" s="8" t="s">
        <v>1371</v>
      </c>
      <c r="M2879" s="8">
        <v>0</v>
      </c>
      <c r="N2879" s="8"/>
    </row>
    <row r="2880" spans="6:14" x14ac:dyDescent="0.35">
      <c r="F2880" s="1"/>
      <c r="K2880" s="8" t="s">
        <v>2010</v>
      </c>
      <c r="L2880" s="8" t="s">
        <v>1379</v>
      </c>
      <c r="M2880" s="8">
        <v>0</v>
      </c>
      <c r="N2880" s="8"/>
    </row>
    <row r="2881" spans="6:14" x14ac:dyDescent="0.35">
      <c r="F2881" s="1"/>
      <c r="K2881" s="8" t="s">
        <v>2010</v>
      </c>
      <c r="L2881" s="8" t="s">
        <v>1380</v>
      </c>
      <c r="M2881" s="8">
        <v>0</v>
      </c>
      <c r="N2881" s="8"/>
    </row>
    <row r="2882" spans="6:14" x14ac:dyDescent="0.35">
      <c r="F2882" s="1"/>
      <c r="K2882" s="8" t="s">
        <v>2010</v>
      </c>
      <c r="L2882" s="8" t="s">
        <v>1381</v>
      </c>
      <c r="M2882" s="8">
        <v>0</v>
      </c>
      <c r="N2882" s="8"/>
    </row>
    <row r="2883" spans="6:14" x14ac:dyDescent="0.35">
      <c r="F2883" s="1"/>
      <c r="K2883" s="8" t="s">
        <v>2010</v>
      </c>
      <c r="L2883" s="8" t="s">
        <v>2798</v>
      </c>
      <c r="M2883" s="8">
        <v>1</v>
      </c>
      <c r="N2883" s="8" t="s">
        <v>476</v>
      </c>
    </row>
    <row r="2884" spans="6:14" x14ac:dyDescent="0.35">
      <c r="F2884" s="1"/>
      <c r="K2884" s="8" t="s">
        <v>2010</v>
      </c>
      <c r="L2884" s="8" t="s">
        <v>2799</v>
      </c>
      <c r="M2884" s="8">
        <v>1</v>
      </c>
      <c r="N2884" s="8" t="s">
        <v>476</v>
      </c>
    </row>
    <row r="2885" spans="6:14" x14ac:dyDescent="0.35">
      <c r="F2885" s="1"/>
      <c r="K2885" s="8" t="s">
        <v>2011</v>
      </c>
      <c r="L2885" s="8" t="s">
        <v>361</v>
      </c>
      <c r="M2885" s="8">
        <v>1</v>
      </c>
      <c r="N2885" s="8"/>
    </row>
    <row r="2886" spans="6:14" x14ac:dyDescent="0.35">
      <c r="F2886" s="1"/>
      <c r="K2886" s="8" t="s">
        <v>2011</v>
      </c>
      <c r="L2886" s="8" t="s">
        <v>360</v>
      </c>
      <c r="M2886" s="8">
        <v>1</v>
      </c>
      <c r="N2886" s="8"/>
    </row>
    <row r="2887" spans="6:14" x14ac:dyDescent="0.35">
      <c r="F2887" s="1"/>
      <c r="K2887" s="8" t="s">
        <v>2011</v>
      </c>
      <c r="L2887" s="8" t="s">
        <v>2770</v>
      </c>
      <c r="M2887" s="8">
        <v>0</v>
      </c>
      <c r="N2887" s="8"/>
    </row>
    <row r="2888" spans="6:14" x14ac:dyDescent="0.35">
      <c r="F2888" s="1"/>
      <c r="K2888" s="8" t="s">
        <v>2011</v>
      </c>
      <c r="L2888" s="8" t="s">
        <v>2771</v>
      </c>
      <c r="M2888" s="8">
        <v>0</v>
      </c>
      <c r="N2888" s="8"/>
    </row>
    <row r="2889" spans="6:14" x14ac:dyDescent="0.35">
      <c r="F2889" s="1"/>
      <c r="K2889" s="8" t="s">
        <v>2011</v>
      </c>
      <c r="L2889" s="8" t="s">
        <v>2772</v>
      </c>
      <c r="M2889" s="8">
        <v>0</v>
      </c>
      <c r="N2889" s="8"/>
    </row>
    <row r="2890" spans="6:14" x14ac:dyDescent="0.35">
      <c r="F2890" s="1"/>
      <c r="K2890" s="8" t="s">
        <v>2011</v>
      </c>
      <c r="L2890" s="8" t="s">
        <v>2773</v>
      </c>
      <c r="M2890" s="8">
        <v>0</v>
      </c>
      <c r="N2890" s="8"/>
    </row>
    <row r="2891" spans="6:14" x14ac:dyDescent="0.35">
      <c r="F2891" s="1"/>
      <c r="K2891" s="8" t="s">
        <v>2011</v>
      </c>
      <c r="L2891" s="8" t="s">
        <v>359</v>
      </c>
      <c r="M2891" s="8">
        <v>1</v>
      </c>
      <c r="N2891" s="8"/>
    </row>
    <row r="2892" spans="6:14" x14ac:dyDescent="0.35">
      <c r="F2892" s="1"/>
      <c r="K2892" s="8" t="s">
        <v>2011</v>
      </c>
      <c r="L2892" s="8" t="s">
        <v>1350</v>
      </c>
      <c r="M2892" s="8">
        <v>0</v>
      </c>
      <c r="N2892" s="8"/>
    </row>
    <row r="2893" spans="6:14" x14ac:dyDescent="0.35">
      <c r="F2893" s="1"/>
      <c r="K2893" s="8" t="s">
        <v>2011</v>
      </c>
      <c r="L2893" s="8" t="s">
        <v>1351</v>
      </c>
      <c r="M2893" s="8">
        <v>0</v>
      </c>
      <c r="N2893" s="8"/>
    </row>
    <row r="2894" spans="6:14" x14ac:dyDescent="0.35">
      <c r="F2894" s="1"/>
      <c r="K2894" s="8" t="s">
        <v>2011</v>
      </c>
      <c r="L2894" s="8" t="s">
        <v>1352</v>
      </c>
      <c r="M2894" s="8">
        <v>0</v>
      </c>
      <c r="N2894" s="8"/>
    </row>
    <row r="2895" spans="6:14" x14ac:dyDescent="0.35">
      <c r="F2895" s="1"/>
      <c r="K2895" s="8" t="s">
        <v>2011</v>
      </c>
      <c r="L2895" s="8" t="s">
        <v>1353</v>
      </c>
      <c r="M2895" s="8">
        <v>0</v>
      </c>
      <c r="N2895" s="8"/>
    </row>
    <row r="2896" spans="6:14" x14ac:dyDescent="0.35">
      <c r="F2896" s="1"/>
      <c r="K2896" s="8" t="s">
        <v>2011</v>
      </c>
      <c r="L2896" s="8" t="s">
        <v>1354</v>
      </c>
      <c r="M2896" s="8">
        <v>0</v>
      </c>
      <c r="N2896" s="8"/>
    </row>
    <row r="2897" spans="6:14" x14ac:dyDescent="0.35">
      <c r="F2897" s="1"/>
      <c r="K2897" s="8" t="s">
        <v>2011</v>
      </c>
      <c r="L2897" s="8" t="s">
        <v>355</v>
      </c>
      <c r="M2897" s="8">
        <v>1</v>
      </c>
      <c r="N2897" s="8"/>
    </row>
    <row r="2898" spans="6:14" x14ac:dyDescent="0.35">
      <c r="F2898" s="1"/>
      <c r="K2898" s="8" t="s">
        <v>2011</v>
      </c>
      <c r="L2898" s="8" t="s">
        <v>372</v>
      </c>
      <c r="M2898" s="8">
        <v>1</v>
      </c>
      <c r="N2898" s="8"/>
    </row>
    <row r="2899" spans="6:14" x14ac:dyDescent="0.35">
      <c r="F2899" s="1"/>
      <c r="K2899" s="8" t="s">
        <v>2011</v>
      </c>
      <c r="L2899" s="8" t="s">
        <v>1363</v>
      </c>
      <c r="M2899" s="8">
        <v>0</v>
      </c>
      <c r="N2899" s="8"/>
    </row>
    <row r="2900" spans="6:14" x14ac:dyDescent="0.35">
      <c r="F2900" s="1"/>
      <c r="K2900" s="8" t="s">
        <v>2011</v>
      </c>
      <c r="L2900" s="8" t="s">
        <v>1364</v>
      </c>
      <c r="M2900" s="8">
        <v>0</v>
      </c>
      <c r="N2900" s="8"/>
    </row>
    <row r="2901" spans="6:14" x14ac:dyDescent="0.35">
      <c r="F2901" s="1"/>
      <c r="K2901" s="8" t="s">
        <v>2011</v>
      </c>
      <c r="L2901" s="8" t="s">
        <v>1365</v>
      </c>
      <c r="M2901" s="8">
        <v>0</v>
      </c>
      <c r="N2901" s="8"/>
    </row>
    <row r="2902" spans="6:14" x14ac:dyDescent="0.35">
      <c r="F2902" s="1"/>
      <c r="K2902" s="8" t="s">
        <v>2011</v>
      </c>
      <c r="L2902" s="8" t="s">
        <v>1366</v>
      </c>
      <c r="M2902" s="8">
        <v>0</v>
      </c>
      <c r="N2902" s="8"/>
    </row>
    <row r="2903" spans="6:14" x14ac:dyDescent="0.35">
      <c r="F2903" s="1"/>
      <c r="K2903" s="8" t="s">
        <v>2011</v>
      </c>
      <c r="L2903" s="8" t="s">
        <v>1367</v>
      </c>
      <c r="M2903" s="8">
        <v>0</v>
      </c>
      <c r="N2903" s="8"/>
    </row>
    <row r="2904" spans="6:14" x14ac:dyDescent="0.35">
      <c r="F2904" s="1"/>
      <c r="K2904" s="8" t="s">
        <v>2011</v>
      </c>
      <c r="L2904" s="8" t="s">
        <v>1370</v>
      </c>
      <c r="M2904" s="8">
        <v>0</v>
      </c>
      <c r="N2904" s="8"/>
    </row>
    <row r="2905" spans="6:14" x14ac:dyDescent="0.35">
      <c r="F2905" s="1"/>
      <c r="K2905" s="8" t="s">
        <v>2011</v>
      </c>
      <c r="L2905" s="8" t="s">
        <v>1371</v>
      </c>
      <c r="M2905" s="8">
        <v>0</v>
      </c>
      <c r="N2905" s="8"/>
    </row>
    <row r="2906" spans="6:14" x14ac:dyDescent="0.35">
      <c r="F2906" s="1"/>
      <c r="K2906" s="8" t="s">
        <v>2011</v>
      </c>
      <c r="L2906" s="8" t="s">
        <v>1379</v>
      </c>
      <c r="M2906" s="8">
        <v>0</v>
      </c>
      <c r="N2906" s="8"/>
    </row>
    <row r="2907" spans="6:14" x14ac:dyDescent="0.35">
      <c r="F2907" s="1"/>
      <c r="K2907" s="8" t="s">
        <v>2011</v>
      </c>
      <c r="L2907" s="8" t="s">
        <v>1380</v>
      </c>
      <c r="M2907" s="8">
        <v>0</v>
      </c>
      <c r="N2907" s="8"/>
    </row>
    <row r="2908" spans="6:14" x14ac:dyDescent="0.35">
      <c r="F2908" s="1"/>
      <c r="K2908" s="8" t="s">
        <v>2011</v>
      </c>
      <c r="L2908" s="8" t="s">
        <v>1381</v>
      </c>
      <c r="M2908" s="8">
        <v>0</v>
      </c>
      <c r="N2908" s="8"/>
    </row>
    <row r="2909" spans="6:14" x14ac:dyDescent="0.35">
      <c r="F2909" s="1"/>
      <c r="K2909" s="8" t="s">
        <v>2012</v>
      </c>
      <c r="L2909" s="8" t="s">
        <v>358</v>
      </c>
      <c r="M2909" s="8">
        <v>1</v>
      </c>
      <c r="N2909" s="8"/>
    </row>
    <row r="2910" spans="6:14" x14ac:dyDescent="0.35">
      <c r="F2910" s="1"/>
      <c r="K2910" s="8" t="s">
        <v>2012</v>
      </c>
      <c r="L2910" s="8" t="s">
        <v>357</v>
      </c>
      <c r="M2910" s="8">
        <v>1</v>
      </c>
      <c r="N2910" s="8"/>
    </row>
    <row r="2911" spans="6:14" x14ac:dyDescent="0.35">
      <c r="F2911" s="1"/>
      <c r="K2911" s="8" t="s">
        <v>2012</v>
      </c>
      <c r="L2911" s="8" t="s">
        <v>356</v>
      </c>
      <c r="M2911" s="8">
        <v>1</v>
      </c>
      <c r="N2911" s="8"/>
    </row>
    <row r="2912" spans="6:14" x14ac:dyDescent="0.35">
      <c r="F2912" s="1"/>
      <c r="K2912" s="8" t="s">
        <v>2012</v>
      </c>
      <c r="L2912" s="8" t="s">
        <v>355</v>
      </c>
      <c r="M2912" s="8">
        <v>1</v>
      </c>
      <c r="N2912" s="8"/>
    </row>
    <row r="2913" spans="6:14" x14ac:dyDescent="0.35">
      <c r="F2913" s="1"/>
      <c r="K2913" s="8" t="s">
        <v>2012</v>
      </c>
      <c r="L2913" s="8" t="s">
        <v>373</v>
      </c>
      <c r="M2913" s="8">
        <v>1</v>
      </c>
      <c r="N2913" s="8"/>
    </row>
    <row r="2914" spans="6:14" x14ac:dyDescent="0.35">
      <c r="F2914" s="1"/>
      <c r="K2914" s="8" t="s">
        <v>2013</v>
      </c>
      <c r="L2914" s="8" t="s">
        <v>361</v>
      </c>
      <c r="M2914" s="8">
        <v>1</v>
      </c>
      <c r="N2914" s="8"/>
    </row>
    <row r="2915" spans="6:14" x14ac:dyDescent="0.35">
      <c r="F2915" s="1"/>
      <c r="K2915" s="8" t="s">
        <v>2013</v>
      </c>
      <c r="L2915" s="8" t="s">
        <v>360</v>
      </c>
      <c r="M2915" s="8">
        <v>1</v>
      </c>
      <c r="N2915" s="8"/>
    </row>
    <row r="2916" spans="6:14" x14ac:dyDescent="0.35">
      <c r="F2916" s="1"/>
      <c r="K2916" s="8" t="s">
        <v>2013</v>
      </c>
      <c r="L2916" s="8" t="s">
        <v>359</v>
      </c>
      <c r="M2916" s="8">
        <v>1</v>
      </c>
      <c r="N2916" s="8"/>
    </row>
    <row r="2917" spans="6:14" x14ac:dyDescent="0.35">
      <c r="F2917" s="1"/>
      <c r="K2917" s="8" t="s">
        <v>2013</v>
      </c>
      <c r="L2917" s="8" t="s">
        <v>355</v>
      </c>
      <c r="M2917" s="8">
        <v>1</v>
      </c>
      <c r="N2917" s="8"/>
    </row>
    <row r="2918" spans="6:14" x14ac:dyDescent="0.35">
      <c r="F2918" s="1"/>
      <c r="K2918" s="8" t="s">
        <v>2013</v>
      </c>
      <c r="L2918" s="8" t="s">
        <v>373</v>
      </c>
      <c r="M2918" s="8">
        <v>1</v>
      </c>
      <c r="N2918" s="8"/>
    </row>
    <row r="2919" spans="6:14" x14ac:dyDescent="0.35">
      <c r="F2919" s="1"/>
      <c r="K2919" s="8" t="s">
        <v>2018</v>
      </c>
      <c r="L2919" s="8" t="s">
        <v>2268</v>
      </c>
      <c r="M2919" s="8">
        <v>0</v>
      </c>
      <c r="N2919" s="8"/>
    </row>
    <row r="2920" spans="6:14" x14ac:dyDescent="0.35">
      <c r="F2920" s="1"/>
      <c r="K2920" s="8" t="s">
        <v>2018</v>
      </c>
      <c r="L2920" s="8" t="s">
        <v>2269</v>
      </c>
      <c r="M2920" s="8">
        <v>0</v>
      </c>
      <c r="N2920" s="8"/>
    </row>
    <row r="2921" spans="6:14" x14ac:dyDescent="0.35">
      <c r="F2921" s="1"/>
      <c r="K2921" s="8" t="s">
        <v>2018</v>
      </c>
      <c r="L2921" s="8" t="s">
        <v>2270</v>
      </c>
      <c r="M2921" s="8">
        <v>0</v>
      </c>
      <c r="N2921" s="8"/>
    </row>
    <row r="2922" spans="6:14" x14ac:dyDescent="0.35">
      <c r="F2922" s="1"/>
      <c r="K2922" s="8" t="s">
        <v>2018</v>
      </c>
      <c r="L2922" s="8" t="s">
        <v>2271</v>
      </c>
      <c r="M2922" s="8">
        <v>0</v>
      </c>
      <c r="N2922" s="8"/>
    </row>
    <row r="2923" spans="6:14" x14ac:dyDescent="0.35">
      <c r="F2923" s="1"/>
      <c r="K2923" s="8" t="s">
        <v>2018</v>
      </c>
      <c r="L2923" s="8" t="s">
        <v>2272</v>
      </c>
      <c r="M2923" s="8">
        <v>1</v>
      </c>
      <c r="N2923" s="8"/>
    </row>
    <row r="2924" spans="6:14" x14ac:dyDescent="0.35">
      <c r="F2924" s="1"/>
      <c r="K2924" s="8" t="s">
        <v>2018</v>
      </c>
      <c r="L2924" s="8" t="s">
        <v>369</v>
      </c>
      <c r="M2924" s="8">
        <v>1</v>
      </c>
      <c r="N2924" s="8"/>
    </row>
    <row r="2925" spans="6:14" x14ac:dyDescent="0.35">
      <c r="F2925" s="1"/>
      <c r="K2925" s="8" t="s">
        <v>2018</v>
      </c>
      <c r="L2925" s="8" t="s">
        <v>480</v>
      </c>
      <c r="M2925" s="8">
        <v>0</v>
      </c>
      <c r="N2925" s="8"/>
    </row>
    <row r="2926" spans="6:14" x14ac:dyDescent="0.35">
      <c r="F2926" s="1"/>
      <c r="K2926" s="8" t="s">
        <v>2018</v>
      </c>
      <c r="L2926" s="8" t="s">
        <v>481</v>
      </c>
      <c r="M2926" s="8">
        <v>0</v>
      </c>
      <c r="N2926" s="8"/>
    </row>
    <row r="2927" spans="6:14" x14ac:dyDescent="0.35">
      <c r="F2927" s="1"/>
      <c r="K2927" s="8" t="s">
        <v>2018</v>
      </c>
      <c r="L2927" s="8" t="s">
        <v>482</v>
      </c>
      <c r="M2927" s="8">
        <v>0</v>
      </c>
      <c r="N2927" s="8"/>
    </row>
    <row r="2928" spans="6:14" x14ac:dyDescent="0.35">
      <c r="F2928" s="1"/>
      <c r="K2928" s="8" t="s">
        <v>2018</v>
      </c>
      <c r="L2928" s="8" t="s">
        <v>483</v>
      </c>
      <c r="M2928" s="8">
        <v>0</v>
      </c>
      <c r="N2928" s="8"/>
    </row>
    <row r="2929" spans="6:14" x14ac:dyDescent="0.35">
      <c r="F2929" s="1"/>
      <c r="K2929" s="8" t="s">
        <v>2018</v>
      </c>
      <c r="L2929" s="8" t="s">
        <v>484</v>
      </c>
      <c r="M2929" s="8">
        <v>0</v>
      </c>
      <c r="N2929" s="8"/>
    </row>
    <row r="2930" spans="6:14" x14ac:dyDescent="0.35">
      <c r="F2930" s="1"/>
      <c r="K2930" s="8" t="s">
        <v>2018</v>
      </c>
      <c r="L2930" s="8" t="s">
        <v>375</v>
      </c>
      <c r="M2930" s="8">
        <v>1</v>
      </c>
      <c r="N2930" s="8"/>
    </row>
    <row r="2931" spans="6:14" x14ac:dyDescent="0.35">
      <c r="F2931" s="1"/>
      <c r="K2931" s="8" t="s">
        <v>2018</v>
      </c>
      <c r="L2931" s="8" t="s">
        <v>376</v>
      </c>
      <c r="M2931" s="8">
        <v>1</v>
      </c>
      <c r="N2931" s="8"/>
    </row>
    <row r="2932" spans="6:14" x14ac:dyDescent="0.35">
      <c r="F2932" s="1"/>
      <c r="K2932" s="8" t="s">
        <v>2018</v>
      </c>
      <c r="L2932" s="8" t="s">
        <v>374</v>
      </c>
      <c r="M2932" s="8">
        <v>1</v>
      </c>
      <c r="N2932" s="8"/>
    </row>
    <row r="2933" spans="6:14" x14ac:dyDescent="0.35">
      <c r="F2933" s="1"/>
      <c r="K2933" s="8" t="s">
        <v>2018</v>
      </c>
      <c r="L2933" s="8" t="s">
        <v>486</v>
      </c>
      <c r="M2933" s="8">
        <v>0</v>
      </c>
      <c r="N2933" s="8"/>
    </row>
    <row r="2934" spans="6:14" x14ac:dyDescent="0.35">
      <c r="F2934" s="1"/>
      <c r="K2934" s="8" t="s">
        <v>2018</v>
      </c>
      <c r="L2934" s="8" t="s">
        <v>487</v>
      </c>
      <c r="M2934" s="8">
        <v>0</v>
      </c>
      <c r="N2934" s="8"/>
    </row>
    <row r="2935" spans="6:14" x14ac:dyDescent="0.35">
      <c r="F2935" s="1"/>
      <c r="K2935" s="8" t="s">
        <v>2018</v>
      </c>
      <c r="L2935" s="8" t="s">
        <v>488</v>
      </c>
      <c r="M2935" s="8">
        <v>0</v>
      </c>
      <c r="N2935" s="8"/>
    </row>
    <row r="2936" spans="6:14" x14ac:dyDescent="0.35">
      <c r="F2936" s="1"/>
      <c r="K2936" s="8" t="s">
        <v>2018</v>
      </c>
      <c r="L2936" s="8" t="s">
        <v>489</v>
      </c>
      <c r="M2936" s="8">
        <v>0</v>
      </c>
      <c r="N2936" s="8"/>
    </row>
    <row r="2937" spans="6:14" x14ac:dyDescent="0.35">
      <c r="F2937" s="1"/>
      <c r="K2937" s="8" t="s">
        <v>2018</v>
      </c>
      <c r="L2937" s="8" t="s">
        <v>490</v>
      </c>
      <c r="M2937" s="8">
        <v>0</v>
      </c>
      <c r="N2937" s="8"/>
    </row>
    <row r="2938" spans="6:14" x14ac:dyDescent="0.35">
      <c r="F2938" s="1"/>
      <c r="K2938" s="8" t="s">
        <v>2018</v>
      </c>
      <c r="L2938" s="8" t="s">
        <v>491</v>
      </c>
      <c r="M2938" s="8">
        <v>0</v>
      </c>
      <c r="N2938" s="8"/>
    </row>
    <row r="2939" spans="6:14" x14ac:dyDescent="0.35">
      <c r="F2939" s="1"/>
      <c r="K2939" s="8" t="s">
        <v>2018</v>
      </c>
      <c r="L2939" s="8" t="s">
        <v>492</v>
      </c>
      <c r="M2939" s="8">
        <v>0</v>
      </c>
      <c r="N2939" s="8"/>
    </row>
    <row r="2940" spans="6:14" x14ac:dyDescent="0.35">
      <c r="F2940" s="1"/>
      <c r="K2940" s="8" t="s">
        <v>2018</v>
      </c>
      <c r="L2940" s="8" t="s">
        <v>493</v>
      </c>
      <c r="M2940" s="8">
        <v>0</v>
      </c>
      <c r="N2940" s="8"/>
    </row>
    <row r="2941" spans="6:14" x14ac:dyDescent="0.35">
      <c r="F2941" s="1"/>
      <c r="K2941" s="8" t="s">
        <v>2018</v>
      </c>
      <c r="L2941" s="8" t="s">
        <v>494</v>
      </c>
      <c r="M2941" s="8">
        <v>0</v>
      </c>
      <c r="N2941" s="8"/>
    </row>
    <row r="2942" spans="6:14" x14ac:dyDescent="0.35">
      <c r="F2942" s="1"/>
      <c r="K2942" s="8" t="s">
        <v>2018</v>
      </c>
      <c r="L2942" s="8" t="s">
        <v>495</v>
      </c>
      <c r="M2942" s="8">
        <v>0</v>
      </c>
      <c r="N2942" s="8"/>
    </row>
    <row r="2943" spans="6:14" x14ac:dyDescent="0.35">
      <c r="F2943" s="1"/>
      <c r="K2943" s="8" t="s">
        <v>2031</v>
      </c>
      <c r="L2943" s="8" t="s">
        <v>2249</v>
      </c>
      <c r="M2943" s="8">
        <v>0</v>
      </c>
      <c r="N2943" s="8"/>
    </row>
    <row r="2944" spans="6:14" x14ac:dyDescent="0.35">
      <c r="F2944" s="1"/>
      <c r="K2944" s="8" t="s">
        <v>2031</v>
      </c>
      <c r="L2944" s="8" t="s">
        <v>2161</v>
      </c>
      <c r="M2944" s="8">
        <v>1</v>
      </c>
      <c r="N2944" s="8" t="s">
        <v>476</v>
      </c>
    </row>
    <row r="2945" spans="6:14" x14ac:dyDescent="0.35">
      <c r="F2945" s="1"/>
      <c r="K2945" s="8" t="s">
        <v>2031</v>
      </c>
      <c r="L2945" s="8" t="s">
        <v>2159</v>
      </c>
      <c r="M2945" s="8">
        <v>1</v>
      </c>
      <c r="N2945" s="8"/>
    </row>
    <row r="2946" spans="6:14" x14ac:dyDescent="0.35">
      <c r="F2946" s="1"/>
      <c r="K2946" s="8" t="s">
        <v>2031</v>
      </c>
      <c r="L2946" s="8" t="s">
        <v>2160</v>
      </c>
      <c r="M2946" s="8">
        <v>1</v>
      </c>
      <c r="N2946" s="8"/>
    </row>
    <row r="2947" spans="6:14" x14ac:dyDescent="0.35">
      <c r="F2947" s="1"/>
      <c r="K2947" s="8" t="s">
        <v>2032</v>
      </c>
      <c r="L2947" s="8" t="s">
        <v>2327</v>
      </c>
      <c r="M2947" s="8">
        <v>1</v>
      </c>
      <c r="N2947" s="8" t="s">
        <v>476</v>
      </c>
    </row>
    <row r="2948" spans="6:14" x14ac:dyDescent="0.35">
      <c r="F2948" s="1"/>
      <c r="K2948" s="8" t="s">
        <v>2032</v>
      </c>
      <c r="L2948" s="8" t="s">
        <v>2328</v>
      </c>
      <c r="M2948" s="8">
        <v>1</v>
      </c>
      <c r="N2948" s="8" t="s">
        <v>476</v>
      </c>
    </row>
    <row r="2949" spans="6:14" x14ac:dyDescent="0.35">
      <c r="F2949" s="1"/>
      <c r="K2949" s="8" t="s">
        <v>2032</v>
      </c>
      <c r="L2949" s="8" t="s">
        <v>350</v>
      </c>
      <c r="M2949" s="8">
        <v>1</v>
      </c>
      <c r="N2949" s="8"/>
    </row>
    <row r="2950" spans="6:14" x14ac:dyDescent="0.35">
      <c r="F2950" s="1"/>
      <c r="K2950" s="8" t="s">
        <v>2032</v>
      </c>
      <c r="L2950" s="8" t="s">
        <v>2329</v>
      </c>
      <c r="M2950" s="8">
        <v>1</v>
      </c>
      <c r="N2950" s="8"/>
    </row>
    <row r="2951" spans="6:14" x14ac:dyDescent="0.35">
      <c r="F2951" s="1"/>
      <c r="K2951" s="8" t="s">
        <v>2032</v>
      </c>
      <c r="L2951" s="8" t="s">
        <v>2330</v>
      </c>
      <c r="M2951" s="8">
        <v>1</v>
      </c>
      <c r="N2951" s="8"/>
    </row>
    <row r="2952" spans="6:14" x14ac:dyDescent="0.35">
      <c r="F2952" s="1"/>
      <c r="K2952" s="8" t="s">
        <v>2032</v>
      </c>
      <c r="L2952" s="8" t="s">
        <v>2331</v>
      </c>
      <c r="M2952" s="8">
        <v>0</v>
      </c>
      <c r="N2952" s="8"/>
    </row>
    <row r="2953" spans="6:14" x14ac:dyDescent="0.35">
      <c r="F2953" s="1"/>
      <c r="K2953" s="8" t="s">
        <v>2032</v>
      </c>
      <c r="L2953" s="8" t="s">
        <v>480</v>
      </c>
      <c r="M2953" s="8">
        <v>0</v>
      </c>
      <c r="N2953" s="8"/>
    </row>
    <row r="2954" spans="6:14" x14ac:dyDescent="0.35">
      <c r="F2954" s="1"/>
      <c r="K2954" s="8" t="s">
        <v>2032</v>
      </c>
      <c r="L2954" s="8" t="s">
        <v>481</v>
      </c>
      <c r="M2954" s="8">
        <v>0</v>
      </c>
      <c r="N2954" s="8"/>
    </row>
    <row r="2955" spans="6:14" x14ac:dyDescent="0.35">
      <c r="F2955" s="1"/>
      <c r="K2955" s="8" t="s">
        <v>2032</v>
      </c>
      <c r="L2955" s="8" t="s">
        <v>482</v>
      </c>
      <c r="M2955" s="8">
        <v>0</v>
      </c>
      <c r="N2955" s="8"/>
    </row>
    <row r="2956" spans="6:14" x14ac:dyDescent="0.35">
      <c r="F2956" s="1"/>
      <c r="K2956" s="8" t="s">
        <v>2032</v>
      </c>
      <c r="L2956" s="8" t="s">
        <v>483</v>
      </c>
      <c r="M2956" s="8">
        <v>0</v>
      </c>
      <c r="N2956" s="8"/>
    </row>
    <row r="2957" spans="6:14" x14ac:dyDescent="0.35">
      <c r="F2957" s="1"/>
      <c r="K2957" s="8" t="s">
        <v>2032</v>
      </c>
      <c r="L2957" s="8" t="s">
        <v>484</v>
      </c>
      <c r="M2957" s="8">
        <v>0</v>
      </c>
      <c r="N2957" s="8"/>
    </row>
    <row r="2958" spans="6:14" x14ac:dyDescent="0.35">
      <c r="F2958" s="1"/>
      <c r="K2958" s="8" t="s">
        <v>2032</v>
      </c>
      <c r="L2958" s="8" t="s">
        <v>467</v>
      </c>
      <c r="M2958" s="8">
        <v>1</v>
      </c>
      <c r="N2958" s="8"/>
    </row>
    <row r="2959" spans="6:14" x14ac:dyDescent="0.35">
      <c r="F2959" s="1"/>
      <c r="K2959" s="8" t="s">
        <v>2032</v>
      </c>
      <c r="L2959" s="8" t="s">
        <v>2332</v>
      </c>
      <c r="M2959" s="8">
        <v>0</v>
      </c>
      <c r="N2959" s="8"/>
    </row>
    <row r="2960" spans="6:14" x14ac:dyDescent="0.35">
      <c r="F2960" s="1"/>
      <c r="K2960" s="8" t="s">
        <v>2032</v>
      </c>
      <c r="L2960" s="8" t="s">
        <v>2333</v>
      </c>
      <c r="M2960" s="8">
        <v>1</v>
      </c>
      <c r="N2960" s="8" t="s">
        <v>476</v>
      </c>
    </row>
    <row r="2961" spans="6:14" x14ac:dyDescent="0.35">
      <c r="F2961" s="1"/>
      <c r="K2961" s="8" t="s">
        <v>2032</v>
      </c>
      <c r="L2961" s="8" t="s">
        <v>2334</v>
      </c>
      <c r="M2961" s="8">
        <v>1</v>
      </c>
      <c r="N2961" s="8" t="s">
        <v>476</v>
      </c>
    </row>
    <row r="2962" spans="6:14" x14ac:dyDescent="0.35">
      <c r="F2962" s="1"/>
      <c r="K2962" s="8" t="s">
        <v>2032</v>
      </c>
      <c r="L2962" s="8" t="s">
        <v>486</v>
      </c>
      <c r="M2962" s="8">
        <v>0</v>
      </c>
      <c r="N2962" s="8"/>
    </row>
    <row r="2963" spans="6:14" x14ac:dyDescent="0.35">
      <c r="F2963" s="1"/>
      <c r="K2963" s="8" t="s">
        <v>2032</v>
      </c>
      <c r="L2963" s="8" t="s">
        <v>487</v>
      </c>
      <c r="M2963" s="8">
        <v>0</v>
      </c>
      <c r="N2963" s="8"/>
    </row>
    <row r="2964" spans="6:14" x14ac:dyDescent="0.35">
      <c r="F2964" s="1"/>
      <c r="K2964" s="8" t="s">
        <v>2032</v>
      </c>
      <c r="L2964" s="8" t="s">
        <v>488</v>
      </c>
      <c r="M2964" s="8">
        <v>0</v>
      </c>
      <c r="N2964" s="8"/>
    </row>
    <row r="2965" spans="6:14" x14ac:dyDescent="0.35">
      <c r="F2965" s="1"/>
      <c r="K2965" s="8" t="s">
        <v>2032</v>
      </c>
      <c r="L2965" s="8" t="s">
        <v>489</v>
      </c>
      <c r="M2965" s="8">
        <v>0</v>
      </c>
      <c r="N2965" s="8"/>
    </row>
    <row r="2966" spans="6:14" x14ac:dyDescent="0.35">
      <c r="F2966" s="1"/>
      <c r="K2966" s="8" t="s">
        <v>2032</v>
      </c>
      <c r="L2966" s="8" t="s">
        <v>490</v>
      </c>
      <c r="M2966" s="8">
        <v>0</v>
      </c>
      <c r="N2966" s="8"/>
    </row>
    <row r="2967" spans="6:14" x14ac:dyDescent="0.35">
      <c r="F2967" s="1"/>
      <c r="K2967" s="8" t="s">
        <v>2032</v>
      </c>
      <c r="L2967" s="8" t="s">
        <v>491</v>
      </c>
      <c r="M2967" s="8">
        <v>0</v>
      </c>
      <c r="N2967" s="8"/>
    </row>
    <row r="2968" spans="6:14" x14ac:dyDescent="0.35">
      <c r="F2968" s="1"/>
      <c r="K2968" s="8" t="s">
        <v>2032</v>
      </c>
      <c r="L2968" s="8" t="s">
        <v>492</v>
      </c>
      <c r="M2968" s="8">
        <v>0</v>
      </c>
      <c r="N2968" s="8"/>
    </row>
    <row r="2969" spans="6:14" x14ac:dyDescent="0.35">
      <c r="F2969" s="1"/>
      <c r="K2969" s="8" t="s">
        <v>2032</v>
      </c>
      <c r="L2969" s="8" t="s">
        <v>493</v>
      </c>
      <c r="M2969" s="8">
        <v>0</v>
      </c>
      <c r="N2969" s="8"/>
    </row>
    <row r="2970" spans="6:14" x14ac:dyDescent="0.35">
      <c r="F2970" s="1"/>
      <c r="K2970" s="8" t="s">
        <v>2032</v>
      </c>
      <c r="L2970" s="8" t="s">
        <v>380</v>
      </c>
      <c r="M2970" s="8">
        <v>0</v>
      </c>
      <c r="N2970" s="8"/>
    </row>
    <row r="2971" spans="6:14" x14ac:dyDescent="0.35">
      <c r="F2971" s="1"/>
      <c r="K2971" s="8" t="s">
        <v>2034</v>
      </c>
      <c r="L2971" s="8" t="s">
        <v>358</v>
      </c>
      <c r="M2971" s="8">
        <v>1</v>
      </c>
      <c r="N2971" s="8"/>
    </row>
    <row r="2972" spans="6:14" x14ac:dyDescent="0.35">
      <c r="F2972" s="1"/>
      <c r="K2972" s="8" t="s">
        <v>2034</v>
      </c>
      <c r="L2972" s="8" t="s">
        <v>357</v>
      </c>
      <c r="M2972" s="8">
        <v>1</v>
      </c>
      <c r="N2972" s="8"/>
    </row>
    <row r="2973" spans="6:14" x14ac:dyDescent="0.35">
      <c r="F2973" s="1"/>
      <c r="K2973" s="8" t="s">
        <v>2034</v>
      </c>
      <c r="L2973" s="8" t="s">
        <v>350</v>
      </c>
      <c r="M2973" s="8">
        <v>1</v>
      </c>
      <c r="N2973" s="8"/>
    </row>
    <row r="2974" spans="6:14" x14ac:dyDescent="0.35">
      <c r="F2974" s="1"/>
      <c r="K2974" s="8" t="s">
        <v>2034</v>
      </c>
      <c r="L2974" s="8" t="s">
        <v>2174</v>
      </c>
      <c r="M2974" s="8">
        <v>1</v>
      </c>
      <c r="N2974" s="8"/>
    </row>
    <row r="2975" spans="6:14" x14ac:dyDescent="0.35">
      <c r="F2975" s="1"/>
      <c r="K2975" s="8" t="s">
        <v>2034</v>
      </c>
      <c r="L2975" s="8" t="s">
        <v>2175</v>
      </c>
      <c r="M2975" s="8">
        <v>1</v>
      </c>
      <c r="N2975" s="8"/>
    </row>
    <row r="2976" spans="6:14" x14ac:dyDescent="0.35">
      <c r="F2976" s="1"/>
      <c r="K2976" s="8" t="s">
        <v>2034</v>
      </c>
      <c r="L2976" s="8" t="s">
        <v>356</v>
      </c>
      <c r="M2976" s="8">
        <v>1</v>
      </c>
      <c r="N2976" s="8"/>
    </row>
    <row r="2977" spans="6:14" x14ac:dyDescent="0.35">
      <c r="F2977" s="1"/>
      <c r="K2977" s="8" t="s">
        <v>2034</v>
      </c>
      <c r="L2977" s="8" t="s">
        <v>2687</v>
      </c>
      <c r="M2977" s="8">
        <v>0</v>
      </c>
      <c r="N2977" s="8"/>
    </row>
    <row r="2978" spans="6:14" x14ac:dyDescent="0.35">
      <c r="F2978" s="1"/>
      <c r="K2978" s="8" t="s">
        <v>2034</v>
      </c>
      <c r="L2978" s="8" t="s">
        <v>355</v>
      </c>
      <c r="M2978" s="8">
        <v>1</v>
      </c>
      <c r="N2978" s="8"/>
    </row>
    <row r="2979" spans="6:14" x14ac:dyDescent="0.35">
      <c r="F2979" s="1"/>
      <c r="K2979" s="8" t="s">
        <v>2034</v>
      </c>
      <c r="L2979" s="8" t="s">
        <v>2688</v>
      </c>
      <c r="M2979" s="8">
        <v>0</v>
      </c>
      <c r="N2979" s="8"/>
    </row>
    <row r="2980" spans="6:14" x14ac:dyDescent="0.35">
      <c r="F2980" s="1"/>
      <c r="K2980" s="8" t="s">
        <v>2034</v>
      </c>
      <c r="L2980" s="8" t="s">
        <v>2689</v>
      </c>
      <c r="M2980" s="8">
        <v>0</v>
      </c>
      <c r="N2980" s="8"/>
    </row>
    <row r="2981" spans="6:14" x14ac:dyDescent="0.35">
      <c r="F2981" s="1"/>
      <c r="K2981" s="8" t="s">
        <v>2034</v>
      </c>
      <c r="L2981" s="8" t="s">
        <v>2173</v>
      </c>
      <c r="M2981" s="8">
        <v>1</v>
      </c>
      <c r="N2981" s="8"/>
    </row>
    <row r="2982" spans="6:14" x14ac:dyDescent="0.35">
      <c r="F2982" s="1"/>
      <c r="K2982" s="8" t="s">
        <v>2035</v>
      </c>
      <c r="L2982" s="8" t="s">
        <v>361</v>
      </c>
      <c r="M2982" s="8">
        <v>1</v>
      </c>
      <c r="N2982" s="8"/>
    </row>
    <row r="2983" spans="6:14" x14ac:dyDescent="0.35">
      <c r="F2983" s="1"/>
      <c r="K2983" s="8" t="s">
        <v>2035</v>
      </c>
      <c r="L2983" s="8" t="s">
        <v>360</v>
      </c>
      <c r="M2983" s="8">
        <v>1</v>
      </c>
      <c r="N2983" s="8"/>
    </row>
    <row r="2984" spans="6:14" x14ac:dyDescent="0.35">
      <c r="F2984" s="1"/>
      <c r="K2984" s="8" t="s">
        <v>2035</v>
      </c>
      <c r="L2984" s="8" t="s">
        <v>350</v>
      </c>
      <c r="M2984" s="8">
        <v>1</v>
      </c>
      <c r="N2984" s="8"/>
    </row>
    <row r="2985" spans="6:14" x14ac:dyDescent="0.35">
      <c r="F2985" s="1"/>
      <c r="K2985" s="8" t="s">
        <v>2035</v>
      </c>
      <c r="L2985" s="8" t="s">
        <v>2177</v>
      </c>
      <c r="M2985" s="8">
        <v>1</v>
      </c>
      <c r="N2985" s="8"/>
    </row>
    <row r="2986" spans="6:14" x14ac:dyDescent="0.35">
      <c r="F2986" s="1"/>
      <c r="K2986" s="8" t="s">
        <v>2035</v>
      </c>
      <c r="L2986" s="8" t="s">
        <v>2178</v>
      </c>
      <c r="M2986" s="8">
        <v>1</v>
      </c>
      <c r="N2986" s="8"/>
    </row>
    <row r="2987" spans="6:14" x14ac:dyDescent="0.35">
      <c r="F2987" s="1"/>
      <c r="K2987" s="8" t="s">
        <v>2035</v>
      </c>
      <c r="L2987" s="8" t="s">
        <v>359</v>
      </c>
      <c r="M2987" s="8">
        <v>1</v>
      </c>
      <c r="N2987" s="8"/>
    </row>
    <row r="2988" spans="6:14" x14ac:dyDescent="0.35">
      <c r="F2988" s="1"/>
      <c r="K2988" s="8" t="s">
        <v>2035</v>
      </c>
      <c r="L2988" s="8" t="s">
        <v>2800</v>
      </c>
      <c r="M2988" s="8">
        <v>0</v>
      </c>
      <c r="N2988" s="8"/>
    </row>
    <row r="2989" spans="6:14" x14ac:dyDescent="0.35">
      <c r="F2989" s="1"/>
      <c r="K2989" s="8" t="s">
        <v>2035</v>
      </c>
      <c r="L2989" s="8" t="s">
        <v>355</v>
      </c>
      <c r="M2989" s="8">
        <v>1</v>
      </c>
      <c r="N2989" s="8"/>
    </row>
    <row r="2990" spans="6:14" x14ac:dyDescent="0.35">
      <c r="F2990" s="1"/>
      <c r="K2990" s="8" t="s">
        <v>2035</v>
      </c>
      <c r="L2990" s="8" t="s">
        <v>2801</v>
      </c>
      <c r="M2990" s="8">
        <v>0</v>
      </c>
      <c r="N2990" s="8"/>
    </row>
    <row r="2991" spans="6:14" x14ac:dyDescent="0.35">
      <c r="F2991" s="1"/>
      <c r="K2991" s="8" t="s">
        <v>2035</v>
      </c>
      <c r="L2991" s="8" t="s">
        <v>2802</v>
      </c>
      <c r="M2991" s="8">
        <v>0</v>
      </c>
      <c r="N2991" s="8"/>
    </row>
    <row r="2992" spans="6:14" x14ac:dyDescent="0.35">
      <c r="F2992" s="1"/>
      <c r="K2992" s="8" t="s">
        <v>2035</v>
      </c>
      <c r="L2992" s="8" t="s">
        <v>2176</v>
      </c>
      <c r="M2992" s="8">
        <v>1</v>
      </c>
      <c r="N2992" s="8"/>
    </row>
    <row r="2993" spans="6:14" x14ac:dyDescent="0.35">
      <c r="F2993" s="1"/>
      <c r="K2993" s="8" t="s">
        <v>289</v>
      </c>
      <c r="L2993" s="8" t="s">
        <v>416</v>
      </c>
      <c r="M2993" s="8">
        <v>1</v>
      </c>
      <c r="N2993" s="8"/>
    </row>
    <row r="2994" spans="6:14" x14ac:dyDescent="0.35">
      <c r="F2994" s="1"/>
      <c r="K2994" s="8" t="s">
        <v>2038</v>
      </c>
      <c r="L2994" s="8" t="s">
        <v>2183</v>
      </c>
      <c r="M2994" s="8">
        <v>1</v>
      </c>
      <c r="N2994" s="8"/>
    </row>
    <row r="2995" spans="6:14" x14ac:dyDescent="0.35">
      <c r="F2995" s="1"/>
      <c r="K2995" s="8" t="s">
        <v>2038</v>
      </c>
      <c r="L2995" s="8" t="s">
        <v>2267</v>
      </c>
      <c r="M2995" s="8">
        <v>0</v>
      </c>
      <c r="N2995" s="8"/>
    </row>
    <row r="2996" spans="6:14" x14ac:dyDescent="0.35">
      <c r="F2996" s="1"/>
      <c r="K2996" s="8" t="s">
        <v>2038</v>
      </c>
      <c r="L2996" s="8" t="s">
        <v>416</v>
      </c>
      <c r="M2996" s="8">
        <v>1</v>
      </c>
      <c r="N2996" s="8"/>
    </row>
    <row r="2997" spans="6:14" x14ac:dyDescent="0.35">
      <c r="F2997" s="1"/>
      <c r="K2997" s="8" t="s">
        <v>2039</v>
      </c>
      <c r="L2997" s="8" t="s">
        <v>358</v>
      </c>
      <c r="M2997" s="8">
        <v>1</v>
      </c>
      <c r="N2997" s="8"/>
    </row>
    <row r="2998" spans="6:14" x14ac:dyDescent="0.35">
      <c r="F2998" s="1"/>
      <c r="K2998" s="8" t="s">
        <v>2039</v>
      </c>
      <c r="L2998" s="8" t="s">
        <v>357</v>
      </c>
      <c r="M2998" s="8">
        <v>1</v>
      </c>
      <c r="N2998" s="8"/>
    </row>
    <row r="2999" spans="6:14" x14ac:dyDescent="0.35">
      <c r="F2999" s="1"/>
      <c r="K2999" s="8" t="s">
        <v>2039</v>
      </c>
      <c r="L2999" s="8" t="s">
        <v>2184</v>
      </c>
      <c r="M2999" s="8">
        <v>1</v>
      </c>
      <c r="N2999" s="8"/>
    </row>
    <row r="3000" spans="6:14" x14ac:dyDescent="0.35">
      <c r="F3000" s="1"/>
      <c r="K3000" s="8" t="s">
        <v>2039</v>
      </c>
      <c r="L3000" s="8" t="s">
        <v>2679</v>
      </c>
      <c r="M3000" s="8">
        <v>0</v>
      </c>
      <c r="N3000" s="8"/>
    </row>
    <row r="3001" spans="6:14" x14ac:dyDescent="0.35">
      <c r="F3001" s="1"/>
      <c r="K3001" s="8" t="s">
        <v>2039</v>
      </c>
      <c r="L3001" s="8" t="s">
        <v>2680</v>
      </c>
      <c r="M3001" s="8">
        <v>0</v>
      </c>
      <c r="N3001" s="8"/>
    </row>
    <row r="3002" spans="6:14" x14ac:dyDescent="0.35">
      <c r="F3002" s="1"/>
      <c r="K3002" s="8" t="s">
        <v>2039</v>
      </c>
      <c r="L3002" s="8" t="s">
        <v>2681</v>
      </c>
      <c r="M3002" s="8">
        <v>0</v>
      </c>
      <c r="N3002" s="8"/>
    </row>
    <row r="3003" spans="6:14" x14ac:dyDescent="0.35">
      <c r="F3003" s="1"/>
      <c r="K3003" s="8" t="s">
        <v>2039</v>
      </c>
      <c r="L3003" s="8" t="s">
        <v>356</v>
      </c>
      <c r="M3003" s="8">
        <v>1</v>
      </c>
      <c r="N3003" s="8"/>
    </row>
    <row r="3004" spans="6:14" x14ac:dyDescent="0.35">
      <c r="F3004" s="1"/>
      <c r="K3004" s="8" t="s">
        <v>2039</v>
      </c>
      <c r="L3004" s="8" t="s">
        <v>355</v>
      </c>
      <c r="M3004" s="8">
        <v>1</v>
      </c>
      <c r="N3004" s="8"/>
    </row>
    <row r="3005" spans="6:14" x14ac:dyDescent="0.35">
      <c r="F3005" s="1"/>
      <c r="K3005" s="8" t="s">
        <v>2050</v>
      </c>
      <c r="L3005" s="8" t="s">
        <v>350</v>
      </c>
      <c r="M3005" s="8">
        <v>1</v>
      </c>
      <c r="N3005" s="8"/>
    </row>
    <row r="3006" spans="6:14" x14ac:dyDescent="0.35">
      <c r="F3006" s="1"/>
      <c r="K3006" s="8" t="s">
        <v>2050</v>
      </c>
      <c r="L3006" s="8" t="s">
        <v>2336</v>
      </c>
      <c r="M3006" s="8">
        <v>1</v>
      </c>
      <c r="N3006" s="8" t="s">
        <v>476</v>
      </c>
    </row>
    <row r="3007" spans="6:14" x14ac:dyDescent="0.35">
      <c r="F3007" s="1"/>
      <c r="K3007" s="8" t="s">
        <v>2050</v>
      </c>
      <c r="L3007" s="8" t="s">
        <v>2337</v>
      </c>
      <c r="M3007" s="8">
        <v>1</v>
      </c>
      <c r="N3007" s="8" t="s">
        <v>476</v>
      </c>
    </row>
    <row r="3008" spans="6:14" x14ac:dyDescent="0.35">
      <c r="F3008" s="1"/>
      <c r="K3008" s="8" t="s">
        <v>2050</v>
      </c>
      <c r="L3008" s="8" t="s">
        <v>2338</v>
      </c>
      <c r="M3008" s="8">
        <v>1</v>
      </c>
      <c r="N3008" s="8"/>
    </row>
    <row r="3009" spans="6:14" x14ac:dyDescent="0.35">
      <c r="F3009" s="1"/>
      <c r="K3009" s="8" t="s">
        <v>2050</v>
      </c>
      <c r="L3009" s="8" t="s">
        <v>2339</v>
      </c>
      <c r="M3009" s="8">
        <v>1</v>
      </c>
      <c r="N3009" s="8"/>
    </row>
    <row r="3010" spans="6:14" x14ac:dyDescent="0.35">
      <c r="F3010" s="1"/>
      <c r="K3010" s="8" t="s">
        <v>2050</v>
      </c>
      <c r="L3010" s="8" t="s">
        <v>2340</v>
      </c>
      <c r="M3010" s="8">
        <v>0</v>
      </c>
      <c r="N3010" s="8"/>
    </row>
    <row r="3011" spans="6:14" x14ac:dyDescent="0.35">
      <c r="F3011" s="1"/>
      <c r="K3011" s="8" t="s">
        <v>2050</v>
      </c>
      <c r="L3011" s="8" t="s">
        <v>2202</v>
      </c>
      <c r="M3011" s="8">
        <v>1</v>
      </c>
      <c r="N3011" s="8"/>
    </row>
    <row r="3012" spans="6:14" x14ac:dyDescent="0.35">
      <c r="F3012" s="1"/>
      <c r="K3012" s="8" t="s">
        <v>2050</v>
      </c>
      <c r="L3012" s="8" t="s">
        <v>2341</v>
      </c>
      <c r="M3012" s="8">
        <v>0</v>
      </c>
      <c r="N3012" s="8"/>
    </row>
    <row r="3013" spans="6:14" x14ac:dyDescent="0.35">
      <c r="F3013" s="1"/>
      <c r="K3013" s="8" t="s">
        <v>2050</v>
      </c>
      <c r="L3013" s="8" t="s">
        <v>2342</v>
      </c>
      <c r="M3013" s="8">
        <v>1</v>
      </c>
      <c r="N3013" s="8" t="s">
        <v>476</v>
      </c>
    </row>
    <row r="3014" spans="6:14" x14ac:dyDescent="0.35">
      <c r="F3014" s="1"/>
      <c r="K3014" s="8" t="s">
        <v>2050</v>
      </c>
      <c r="L3014" s="8" t="s">
        <v>2343</v>
      </c>
      <c r="M3014" s="8">
        <v>1</v>
      </c>
      <c r="N3014" s="8" t="s">
        <v>476</v>
      </c>
    </row>
    <row r="3015" spans="6:14" x14ac:dyDescent="0.35">
      <c r="F3015" s="1"/>
      <c r="K3015" s="8" t="s">
        <v>2050</v>
      </c>
      <c r="L3015" s="8" t="s">
        <v>380</v>
      </c>
      <c r="M3015" s="8">
        <v>0</v>
      </c>
      <c r="N3015" s="8"/>
    </row>
    <row r="3016" spans="6:14" x14ac:dyDescent="0.35">
      <c r="F3016" s="1"/>
      <c r="K3016" s="8" t="s">
        <v>2053</v>
      </c>
      <c r="L3016" s="8" t="s">
        <v>365</v>
      </c>
      <c r="M3016" s="8">
        <v>1</v>
      </c>
      <c r="N3016" s="8"/>
    </row>
    <row r="3017" spans="6:14" x14ac:dyDescent="0.35">
      <c r="F3017" s="1"/>
      <c r="K3017" s="8" t="s">
        <v>2053</v>
      </c>
      <c r="L3017" s="8" t="s">
        <v>364</v>
      </c>
      <c r="M3017" s="8">
        <v>1</v>
      </c>
      <c r="N3017" s="8"/>
    </row>
    <row r="3018" spans="6:14" x14ac:dyDescent="0.35">
      <c r="F3018" s="1"/>
      <c r="K3018" s="8" t="s">
        <v>2053</v>
      </c>
      <c r="L3018" s="8" t="s">
        <v>363</v>
      </c>
      <c r="M3018" s="8">
        <v>1</v>
      </c>
      <c r="N3018" s="8"/>
    </row>
    <row r="3019" spans="6:14" x14ac:dyDescent="0.35">
      <c r="F3019" s="1"/>
      <c r="K3019" s="8" t="s">
        <v>2053</v>
      </c>
      <c r="L3019" s="8" t="s">
        <v>362</v>
      </c>
      <c r="M3019" s="8">
        <v>1</v>
      </c>
      <c r="N3019" s="8"/>
    </row>
    <row r="3020" spans="6:14" x14ac:dyDescent="0.35">
      <c r="F3020" s="1"/>
      <c r="K3020" s="8" t="s">
        <v>2053</v>
      </c>
      <c r="L3020" s="8" t="s">
        <v>358</v>
      </c>
      <c r="M3020" s="8">
        <v>1</v>
      </c>
      <c r="N3020" s="8"/>
    </row>
    <row r="3021" spans="6:14" x14ac:dyDescent="0.35">
      <c r="F3021" s="1"/>
      <c r="K3021" s="8" t="s">
        <v>2053</v>
      </c>
      <c r="L3021" s="8" t="s">
        <v>357</v>
      </c>
      <c r="M3021" s="8">
        <v>1</v>
      </c>
      <c r="N3021" s="8"/>
    </row>
    <row r="3022" spans="6:14" x14ac:dyDescent="0.35">
      <c r="F3022" s="1"/>
      <c r="K3022" s="8" t="s">
        <v>2053</v>
      </c>
      <c r="L3022" s="8" t="s">
        <v>356</v>
      </c>
      <c r="M3022" s="8">
        <v>1</v>
      </c>
      <c r="N3022" s="8"/>
    </row>
    <row r="3023" spans="6:14" x14ac:dyDescent="0.35">
      <c r="F3023" s="1"/>
      <c r="K3023" s="8" t="s">
        <v>2053</v>
      </c>
      <c r="L3023" s="8" t="s">
        <v>480</v>
      </c>
      <c r="M3023" s="8">
        <v>0</v>
      </c>
      <c r="N3023" s="8"/>
    </row>
    <row r="3024" spans="6:14" x14ac:dyDescent="0.35">
      <c r="F3024" s="1"/>
      <c r="K3024" s="8" t="s">
        <v>2053</v>
      </c>
      <c r="L3024" s="8" t="s">
        <v>481</v>
      </c>
      <c r="M3024" s="8">
        <v>0</v>
      </c>
      <c r="N3024" s="8"/>
    </row>
    <row r="3025" spans="6:14" x14ac:dyDescent="0.35">
      <c r="F3025" s="1"/>
      <c r="K3025" s="8" t="s">
        <v>2053</v>
      </c>
      <c r="L3025" s="8" t="s">
        <v>482</v>
      </c>
      <c r="M3025" s="8">
        <v>0</v>
      </c>
      <c r="N3025" s="8"/>
    </row>
    <row r="3026" spans="6:14" x14ac:dyDescent="0.35">
      <c r="F3026" s="1"/>
      <c r="K3026" s="8" t="s">
        <v>2053</v>
      </c>
      <c r="L3026" s="8" t="s">
        <v>483</v>
      </c>
      <c r="M3026" s="8">
        <v>0</v>
      </c>
      <c r="N3026" s="8"/>
    </row>
    <row r="3027" spans="6:14" x14ac:dyDescent="0.35">
      <c r="F3027" s="1"/>
      <c r="K3027" s="8" t="s">
        <v>2053</v>
      </c>
      <c r="L3027" s="8" t="s">
        <v>484</v>
      </c>
      <c r="M3027" s="8">
        <v>0</v>
      </c>
      <c r="N3027" s="8"/>
    </row>
    <row r="3028" spans="6:14" x14ac:dyDescent="0.35">
      <c r="F3028" s="1"/>
      <c r="K3028" s="8" t="s">
        <v>2053</v>
      </c>
      <c r="L3028" s="8" t="s">
        <v>355</v>
      </c>
      <c r="M3028" s="8">
        <v>1</v>
      </c>
      <c r="N3028" s="8"/>
    </row>
    <row r="3029" spans="6:14" x14ac:dyDescent="0.35">
      <c r="F3029" s="1"/>
      <c r="K3029" s="8" t="s">
        <v>2053</v>
      </c>
      <c r="L3029" s="8" t="s">
        <v>486</v>
      </c>
      <c r="M3029" s="8">
        <v>0</v>
      </c>
      <c r="N3029" s="8"/>
    </row>
    <row r="3030" spans="6:14" x14ac:dyDescent="0.35">
      <c r="F3030" s="1"/>
      <c r="K3030" s="8" t="s">
        <v>2053</v>
      </c>
      <c r="L3030" s="8" t="s">
        <v>487</v>
      </c>
      <c r="M3030" s="8">
        <v>0</v>
      </c>
      <c r="N3030" s="8"/>
    </row>
    <row r="3031" spans="6:14" x14ac:dyDescent="0.35">
      <c r="F3031" s="1"/>
      <c r="K3031" s="8" t="s">
        <v>2053</v>
      </c>
      <c r="L3031" s="8" t="s">
        <v>488</v>
      </c>
      <c r="M3031" s="8">
        <v>0</v>
      </c>
      <c r="N3031" s="8"/>
    </row>
    <row r="3032" spans="6:14" x14ac:dyDescent="0.35">
      <c r="F3032" s="1"/>
      <c r="K3032" s="8" t="s">
        <v>2053</v>
      </c>
      <c r="L3032" s="8" t="s">
        <v>489</v>
      </c>
      <c r="M3032" s="8">
        <v>0</v>
      </c>
      <c r="N3032" s="8"/>
    </row>
    <row r="3033" spans="6:14" x14ac:dyDescent="0.35">
      <c r="F3033" s="1"/>
      <c r="K3033" s="8" t="s">
        <v>2053</v>
      </c>
      <c r="L3033" s="8" t="s">
        <v>490</v>
      </c>
      <c r="M3033" s="8">
        <v>0</v>
      </c>
      <c r="N3033" s="8"/>
    </row>
    <row r="3034" spans="6:14" x14ac:dyDescent="0.35">
      <c r="F3034" s="1"/>
      <c r="K3034" s="8" t="s">
        <v>2053</v>
      </c>
      <c r="L3034" s="8" t="s">
        <v>491</v>
      </c>
      <c r="M3034" s="8">
        <v>0</v>
      </c>
      <c r="N3034" s="8"/>
    </row>
    <row r="3035" spans="6:14" x14ac:dyDescent="0.35">
      <c r="F3035" s="1"/>
      <c r="K3035" s="8" t="s">
        <v>2053</v>
      </c>
      <c r="L3035" s="8" t="s">
        <v>492</v>
      </c>
      <c r="M3035" s="8">
        <v>0</v>
      </c>
      <c r="N3035" s="8"/>
    </row>
    <row r="3036" spans="6:14" x14ac:dyDescent="0.35">
      <c r="F3036" s="1"/>
      <c r="K3036" s="8" t="s">
        <v>2053</v>
      </c>
      <c r="L3036" s="8" t="s">
        <v>493</v>
      </c>
      <c r="M3036" s="8">
        <v>0</v>
      </c>
      <c r="N3036" s="8"/>
    </row>
    <row r="3037" spans="6:14" x14ac:dyDescent="0.35">
      <c r="F3037" s="1"/>
      <c r="K3037" s="8" t="s">
        <v>2054</v>
      </c>
      <c r="L3037" s="8" t="s">
        <v>368</v>
      </c>
      <c r="M3037" s="8">
        <v>1</v>
      </c>
      <c r="N3037" s="8"/>
    </row>
    <row r="3038" spans="6:14" x14ac:dyDescent="0.35">
      <c r="F3038" s="1"/>
      <c r="K3038" s="8" t="s">
        <v>2054</v>
      </c>
      <c r="L3038" s="8" t="s">
        <v>367</v>
      </c>
      <c r="M3038" s="8">
        <v>1</v>
      </c>
      <c r="N3038" s="8"/>
    </row>
    <row r="3039" spans="6:14" x14ac:dyDescent="0.35">
      <c r="F3039" s="1"/>
      <c r="K3039" s="8" t="s">
        <v>2054</v>
      </c>
      <c r="L3039" s="8" t="s">
        <v>366</v>
      </c>
      <c r="M3039" s="8">
        <v>1</v>
      </c>
      <c r="N3039" s="8"/>
    </row>
    <row r="3040" spans="6:14" x14ac:dyDescent="0.35">
      <c r="F3040" s="1"/>
      <c r="K3040" s="8" t="s">
        <v>2054</v>
      </c>
      <c r="L3040" s="8" t="s">
        <v>362</v>
      </c>
      <c r="M3040" s="8">
        <v>1</v>
      </c>
      <c r="N3040" s="8"/>
    </row>
    <row r="3041" spans="6:14" x14ac:dyDescent="0.35">
      <c r="F3041" s="1"/>
      <c r="K3041" s="8" t="s">
        <v>2054</v>
      </c>
      <c r="L3041" s="8" t="s">
        <v>361</v>
      </c>
      <c r="M3041" s="8">
        <v>1</v>
      </c>
      <c r="N3041" s="8"/>
    </row>
    <row r="3042" spans="6:14" x14ac:dyDescent="0.35">
      <c r="F3042" s="1"/>
      <c r="K3042" s="8" t="s">
        <v>2054</v>
      </c>
      <c r="L3042" s="8" t="s">
        <v>360</v>
      </c>
      <c r="M3042" s="8">
        <v>1</v>
      </c>
      <c r="N3042" s="8"/>
    </row>
    <row r="3043" spans="6:14" x14ac:dyDescent="0.35">
      <c r="F3043" s="1"/>
      <c r="K3043" s="8" t="s">
        <v>2054</v>
      </c>
      <c r="L3043" s="8" t="s">
        <v>359</v>
      </c>
      <c r="M3043" s="8">
        <v>1</v>
      </c>
      <c r="N3043" s="8"/>
    </row>
    <row r="3044" spans="6:14" x14ac:dyDescent="0.35">
      <c r="F3044" s="1"/>
      <c r="K3044" s="8" t="s">
        <v>2054</v>
      </c>
      <c r="L3044" s="8" t="s">
        <v>1350</v>
      </c>
      <c r="M3044" s="8">
        <v>0</v>
      </c>
      <c r="N3044" s="8"/>
    </row>
    <row r="3045" spans="6:14" x14ac:dyDescent="0.35">
      <c r="F3045" s="1"/>
      <c r="K3045" s="8" t="s">
        <v>2054</v>
      </c>
      <c r="L3045" s="8" t="s">
        <v>1351</v>
      </c>
      <c r="M3045" s="8">
        <v>0</v>
      </c>
      <c r="N3045" s="8"/>
    </row>
    <row r="3046" spans="6:14" x14ac:dyDescent="0.35">
      <c r="F3046" s="1"/>
      <c r="K3046" s="8" t="s">
        <v>2054</v>
      </c>
      <c r="L3046" s="8" t="s">
        <v>1352</v>
      </c>
      <c r="M3046" s="8">
        <v>0</v>
      </c>
      <c r="N3046" s="8"/>
    </row>
    <row r="3047" spans="6:14" x14ac:dyDescent="0.35">
      <c r="F3047" s="1"/>
      <c r="K3047" s="8" t="s">
        <v>2054</v>
      </c>
      <c r="L3047" s="8" t="s">
        <v>1353</v>
      </c>
      <c r="M3047" s="8">
        <v>0</v>
      </c>
      <c r="N3047" s="8"/>
    </row>
    <row r="3048" spans="6:14" x14ac:dyDescent="0.35">
      <c r="F3048" s="1"/>
      <c r="K3048" s="8" t="s">
        <v>2054</v>
      </c>
      <c r="L3048" s="8" t="s">
        <v>1354</v>
      </c>
      <c r="M3048" s="8">
        <v>0</v>
      </c>
      <c r="N3048" s="8"/>
    </row>
    <row r="3049" spans="6:14" x14ac:dyDescent="0.35">
      <c r="F3049" s="1"/>
      <c r="K3049" s="8" t="s">
        <v>2054</v>
      </c>
      <c r="L3049" s="8" t="s">
        <v>355</v>
      </c>
      <c r="M3049" s="8">
        <v>1</v>
      </c>
      <c r="N3049" s="8"/>
    </row>
    <row r="3050" spans="6:14" x14ac:dyDescent="0.35">
      <c r="F3050" s="1"/>
      <c r="K3050" s="8" t="s">
        <v>2054</v>
      </c>
      <c r="L3050" s="8" t="s">
        <v>1363</v>
      </c>
      <c r="M3050" s="8">
        <v>0</v>
      </c>
      <c r="N3050" s="8"/>
    </row>
    <row r="3051" spans="6:14" x14ac:dyDescent="0.35">
      <c r="F3051" s="1"/>
      <c r="K3051" s="8" t="s">
        <v>2054</v>
      </c>
      <c r="L3051" s="8" t="s">
        <v>1364</v>
      </c>
      <c r="M3051" s="8">
        <v>0</v>
      </c>
      <c r="N3051" s="8"/>
    </row>
    <row r="3052" spans="6:14" x14ac:dyDescent="0.35">
      <c r="F3052" s="1"/>
      <c r="K3052" s="8" t="s">
        <v>2054</v>
      </c>
      <c r="L3052" s="8" t="s">
        <v>1365</v>
      </c>
      <c r="M3052" s="8">
        <v>0</v>
      </c>
      <c r="N3052" s="8"/>
    </row>
    <row r="3053" spans="6:14" x14ac:dyDescent="0.35">
      <c r="F3053" s="1"/>
      <c r="K3053" s="8" t="s">
        <v>2054</v>
      </c>
      <c r="L3053" s="8" t="s">
        <v>1366</v>
      </c>
      <c r="M3053" s="8">
        <v>0</v>
      </c>
      <c r="N3053" s="8"/>
    </row>
    <row r="3054" spans="6:14" x14ac:dyDescent="0.35">
      <c r="F3054" s="1"/>
      <c r="K3054" s="8" t="s">
        <v>2054</v>
      </c>
      <c r="L3054" s="8" t="s">
        <v>1367</v>
      </c>
      <c r="M3054" s="8">
        <v>0</v>
      </c>
      <c r="N3054" s="8"/>
    </row>
    <row r="3055" spans="6:14" x14ac:dyDescent="0.35">
      <c r="F3055" s="1"/>
      <c r="K3055" s="8" t="s">
        <v>2054</v>
      </c>
      <c r="L3055" s="8" t="s">
        <v>1370</v>
      </c>
      <c r="M3055" s="8">
        <v>0</v>
      </c>
      <c r="N3055" s="8"/>
    </row>
    <row r="3056" spans="6:14" x14ac:dyDescent="0.35">
      <c r="F3056" s="1"/>
      <c r="K3056" s="8" t="s">
        <v>2054</v>
      </c>
      <c r="L3056" s="8" t="s">
        <v>1371</v>
      </c>
      <c r="M3056" s="8">
        <v>0</v>
      </c>
      <c r="N3056" s="8"/>
    </row>
    <row r="3057" spans="6:14" x14ac:dyDescent="0.35">
      <c r="F3057" s="1"/>
      <c r="K3057" s="8" t="s">
        <v>2054</v>
      </c>
      <c r="L3057" s="8" t="s">
        <v>1379</v>
      </c>
      <c r="M3057" s="8">
        <v>0</v>
      </c>
      <c r="N3057" s="8"/>
    </row>
    <row r="3058" spans="6:14" x14ac:dyDescent="0.35">
      <c r="F3058" s="1"/>
      <c r="K3058" s="8" t="s">
        <v>290</v>
      </c>
      <c r="L3058" s="8" t="s">
        <v>1193</v>
      </c>
      <c r="M3058" s="8">
        <v>0</v>
      </c>
      <c r="N3058" s="8"/>
    </row>
    <row r="3059" spans="6:14" x14ac:dyDescent="0.35">
      <c r="F3059" s="1"/>
      <c r="K3059" s="8" t="s">
        <v>290</v>
      </c>
      <c r="L3059" s="8" t="s">
        <v>2591</v>
      </c>
      <c r="M3059" s="8">
        <v>0</v>
      </c>
      <c r="N3059" s="8"/>
    </row>
    <row r="3060" spans="6:14" x14ac:dyDescent="0.35">
      <c r="F3060" s="1"/>
      <c r="K3060" s="8" t="s">
        <v>290</v>
      </c>
      <c r="L3060" s="8" t="s">
        <v>350</v>
      </c>
      <c r="M3060" s="8">
        <v>0</v>
      </c>
      <c r="N3060" s="8"/>
    </row>
    <row r="3061" spans="6:14" x14ac:dyDescent="0.35">
      <c r="F3061" s="1"/>
      <c r="K3061" s="8" t="s">
        <v>290</v>
      </c>
      <c r="L3061" s="8" t="s">
        <v>850</v>
      </c>
      <c r="M3061" s="8">
        <v>1</v>
      </c>
      <c r="N3061" s="8" t="s">
        <v>517</v>
      </c>
    </row>
    <row r="3062" spans="6:14" x14ac:dyDescent="0.35">
      <c r="F3062" s="1"/>
      <c r="K3062" s="8" t="s">
        <v>290</v>
      </c>
      <c r="L3062" s="8" t="s">
        <v>1099</v>
      </c>
      <c r="M3062" s="8">
        <v>0</v>
      </c>
      <c r="N3062" s="8"/>
    </row>
    <row r="3063" spans="6:14" x14ac:dyDescent="0.35">
      <c r="F3063" s="1"/>
      <c r="K3063" s="8" t="s">
        <v>290</v>
      </c>
      <c r="L3063" s="8" t="s">
        <v>851</v>
      </c>
      <c r="M3063" s="8">
        <v>1</v>
      </c>
      <c r="N3063" s="8" t="s">
        <v>476</v>
      </c>
    </row>
    <row r="3064" spans="6:14" x14ac:dyDescent="0.35">
      <c r="F3064" s="1"/>
      <c r="K3064" s="8" t="s">
        <v>290</v>
      </c>
      <c r="L3064" s="8" t="s">
        <v>2592</v>
      </c>
      <c r="M3064" s="8">
        <v>1</v>
      </c>
      <c r="N3064" s="8" t="s">
        <v>476</v>
      </c>
    </row>
    <row r="3065" spans="6:14" x14ac:dyDescent="0.35">
      <c r="F3065" s="1"/>
      <c r="K3065" s="8" t="s">
        <v>290</v>
      </c>
      <c r="L3065" s="8" t="s">
        <v>2593</v>
      </c>
      <c r="M3065" s="8">
        <v>1</v>
      </c>
      <c r="N3065" s="8" t="s">
        <v>2594</v>
      </c>
    </row>
    <row r="3066" spans="6:14" x14ac:dyDescent="0.35">
      <c r="F3066" s="1"/>
      <c r="K3066" s="8" t="s">
        <v>290</v>
      </c>
      <c r="L3066" s="8" t="s">
        <v>2595</v>
      </c>
      <c r="M3066" s="8">
        <v>1</v>
      </c>
      <c r="N3066" s="8" t="s">
        <v>553</v>
      </c>
    </row>
    <row r="3067" spans="6:14" x14ac:dyDescent="0.35">
      <c r="F3067" s="1"/>
      <c r="K3067" s="8" t="s">
        <v>290</v>
      </c>
      <c r="L3067" s="8" t="s">
        <v>2600</v>
      </c>
      <c r="M3067" s="8">
        <v>0</v>
      </c>
      <c r="N3067" s="8"/>
    </row>
    <row r="3068" spans="6:14" x14ac:dyDescent="0.35">
      <c r="F3068" s="1"/>
      <c r="K3068" s="8" t="s">
        <v>290</v>
      </c>
      <c r="L3068" s="8" t="s">
        <v>2596</v>
      </c>
      <c r="M3068" s="8">
        <v>0</v>
      </c>
      <c r="N3068" s="8"/>
    </row>
    <row r="3069" spans="6:14" x14ac:dyDescent="0.35">
      <c r="F3069" s="1"/>
      <c r="K3069" s="8" t="s">
        <v>290</v>
      </c>
      <c r="L3069" s="8" t="s">
        <v>2597</v>
      </c>
      <c r="M3069" s="8">
        <v>0</v>
      </c>
      <c r="N3069" s="8"/>
    </row>
    <row r="3070" spans="6:14" x14ac:dyDescent="0.35">
      <c r="F3070" s="1"/>
      <c r="K3070" s="8" t="s">
        <v>290</v>
      </c>
      <c r="L3070" s="8" t="s">
        <v>2598</v>
      </c>
      <c r="M3070" s="8">
        <v>0</v>
      </c>
      <c r="N3070" s="8"/>
    </row>
    <row r="3071" spans="6:14" x14ac:dyDescent="0.35">
      <c r="F3071" s="1"/>
      <c r="K3071" s="8" t="s">
        <v>290</v>
      </c>
      <c r="L3071" s="8" t="s">
        <v>2599</v>
      </c>
      <c r="M3071" s="8">
        <v>0</v>
      </c>
      <c r="N3071" s="8"/>
    </row>
    <row r="3072" spans="6:14" x14ac:dyDescent="0.35">
      <c r="F3072" s="1"/>
      <c r="K3072" s="8" t="s">
        <v>290</v>
      </c>
      <c r="L3072" s="8" t="s">
        <v>2601</v>
      </c>
      <c r="M3072" s="8">
        <v>1</v>
      </c>
      <c r="N3072" s="8" t="s">
        <v>517</v>
      </c>
    </row>
    <row r="3073" spans="6:14" x14ac:dyDescent="0.35">
      <c r="F3073" s="1"/>
      <c r="K3073" s="8" t="s">
        <v>290</v>
      </c>
      <c r="L3073" s="8" t="s">
        <v>2602</v>
      </c>
      <c r="M3073" s="8">
        <v>0</v>
      </c>
      <c r="N3073" s="8"/>
    </row>
    <row r="3074" spans="6:14" x14ac:dyDescent="0.35">
      <c r="F3074" s="1"/>
      <c r="K3074" s="8" t="s">
        <v>290</v>
      </c>
      <c r="L3074" s="8" t="s">
        <v>2603</v>
      </c>
      <c r="M3074" s="8">
        <v>0</v>
      </c>
      <c r="N3074" s="8"/>
    </row>
    <row r="3075" spans="6:14" x14ac:dyDescent="0.35">
      <c r="F3075" s="1"/>
      <c r="K3075" s="8" t="s">
        <v>290</v>
      </c>
      <c r="L3075" s="8" t="s">
        <v>2604</v>
      </c>
      <c r="M3075" s="8">
        <v>0</v>
      </c>
      <c r="N3075" s="8"/>
    </row>
    <row r="3076" spans="6:14" x14ac:dyDescent="0.35">
      <c r="F3076" s="1"/>
      <c r="K3076" s="8" t="s">
        <v>290</v>
      </c>
      <c r="L3076" s="8" t="s">
        <v>2605</v>
      </c>
      <c r="M3076" s="8">
        <v>0</v>
      </c>
      <c r="N3076" s="8"/>
    </row>
    <row r="3077" spans="6:14" x14ac:dyDescent="0.35">
      <c r="F3077" s="1"/>
      <c r="K3077" s="8" t="s">
        <v>290</v>
      </c>
      <c r="L3077" s="8" t="s">
        <v>2606</v>
      </c>
      <c r="M3077" s="8">
        <v>1</v>
      </c>
      <c r="N3077" s="8" t="s">
        <v>476</v>
      </c>
    </row>
    <row r="3078" spans="6:14" x14ac:dyDescent="0.35">
      <c r="F3078" s="1"/>
      <c r="K3078" s="8" t="s">
        <v>290</v>
      </c>
      <c r="L3078" s="8" t="s">
        <v>2607</v>
      </c>
      <c r="M3078" s="8">
        <v>1</v>
      </c>
      <c r="N3078" s="8" t="s">
        <v>476</v>
      </c>
    </row>
    <row r="3079" spans="6:14" x14ac:dyDescent="0.35">
      <c r="F3079" s="1"/>
      <c r="K3079" s="8" t="s">
        <v>290</v>
      </c>
      <c r="L3079" s="8" t="s">
        <v>2608</v>
      </c>
      <c r="M3079" s="8">
        <v>1</v>
      </c>
      <c r="N3079" s="8" t="s">
        <v>476</v>
      </c>
    </row>
    <row r="3080" spans="6:14" x14ac:dyDescent="0.35">
      <c r="F3080" s="1"/>
      <c r="K3080" s="8" t="s">
        <v>290</v>
      </c>
      <c r="L3080" s="8" t="s">
        <v>2609</v>
      </c>
      <c r="M3080" s="8">
        <v>0</v>
      </c>
      <c r="N3080" s="8"/>
    </row>
    <row r="3081" spans="6:14" x14ac:dyDescent="0.35">
      <c r="F3081" s="1"/>
      <c r="K3081" s="8" t="s">
        <v>290</v>
      </c>
      <c r="L3081" s="8" t="s">
        <v>2610</v>
      </c>
      <c r="M3081" s="8">
        <v>0</v>
      </c>
      <c r="N3081" s="8"/>
    </row>
    <row r="3082" spans="6:14" x14ac:dyDescent="0.35">
      <c r="F3082" s="1"/>
      <c r="K3082" s="8" t="s">
        <v>290</v>
      </c>
      <c r="L3082" s="8" t="s">
        <v>2611</v>
      </c>
      <c r="M3082" s="8">
        <v>0</v>
      </c>
      <c r="N3082" s="8"/>
    </row>
    <row r="3083" spans="6:14" x14ac:dyDescent="0.35">
      <c r="F3083" s="1"/>
      <c r="K3083" s="8" t="s">
        <v>290</v>
      </c>
      <c r="L3083" s="8" t="s">
        <v>2612</v>
      </c>
      <c r="M3083" s="8">
        <v>0</v>
      </c>
      <c r="N3083" s="8"/>
    </row>
    <row r="3084" spans="6:14" x14ac:dyDescent="0.35">
      <c r="F3084" s="1"/>
      <c r="K3084" s="8" t="s">
        <v>290</v>
      </c>
      <c r="L3084" s="8" t="s">
        <v>356</v>
      </c>
      <c r="M3084" s="8">
        <v>1</v>
      </c>
      <c r="N3084" s="8"/>
    </row>
    <row r="3085" spans="6:14" x14ac:dyDescent="0.35">
      <c r="F3085" s="1"/>
      <c r="K3085" s="8" t="s">
        <v>290</v>
      </c>
      <c r="L3085" s="8" t="s">
        <v>356</v>
      </c>
      <c r="M3085" s="8">
        <v>1</v>
      </c>
      <c r="N3085" s="8"/>
    </row>
    <row r="3086" spans="6:14" x14ac:dyDescent="0.35">
      <c r="F3086" s="1"/>
      <c r="K3086" s="8" t="s">
        <v>290</v>
      </c>
      <c r="L3086" s="8" t="s">
        <v>356</v>
      </c>
      <c r="M3086" s="8">
        <v>1</v>
      </c>
      <c r="N3086" s="8"/>
    </row>
    <row r="3087" spans="6:14" x14ac:dyDescent="0.35">
      <c r="F3087" s="1"/>
      <c r="K3087" s="8" t="s">
        <v>290</v>
      </c>
      <c r="L3087" s="8" t="s">
        <v>356</v>
      </c>
      <c r="M3087" s="8">
        <v>1</v>
      </c>
      <c r="N3087" s="8"/>
    </row>
    <row r="3088" spans="6:14" x14ac:dyDescent="0.35">
      <c r="F3088" s="1"/>
      <c r="K3088" s="8" t="s">
        <v>290</v>
      </c>
      <c r="L3088" s="8" t="s">
        <v>356</v>
      </c>
      <c r="M3088" s="8">
        <v>1</v>
      </c>
      <c r="N3088" s="8"/>
    </row>
    <row r="3089" spans="6:14" x14ac:dyDescent="0.35">
      <c r="F3089" s="1"/>
      <c r="K3089" s="8" t="s">
        <v>290</v>
      </c>
      <c r="L3089" s="8" t="s">
        <v>356</v>
      </c>
      <c r="M3089" s="8">
        <v>1</v>
      </c>
      <c r="N3089" s="8"/>
    </row>
    <row r="3090" spans="6:14" x14ac:dyDescent="0.35">
      <c r="F3090" s="1"/>
      <c r="K3090" s="8" t="s">
        <v>290</v>
      </c>
      <c r="L3090" s="8" t="s">
        <v>356</v>
      </c>
      <c r="M3090" s="8">
        <v>1</v>
      </c>
      <c r="N3090" s="8"/>
    </row>
    <row r="3091" spans="6:14" x14ac:dyDescent="0.35">
      <c r="F3091" s="1"/>
      <c r="K3091" s="8" t="s">
        <v>290</v>
      </c>
      <c r="L3091" s="8" t="s">
        <v>2613</v>
      </c>
      <c r="M3091" s="8">
        <v>0</v>
      </c>
      <c r="N3091" s="8"/>
    </row>
    <row r="3092" spans="6:14" x14ac:dyDescent="0.35">
      <c r="F3092" s="1"/>
      <c r="K3092" s="8" t="s">
        <v>290</v>
      </c>
      <c r="L3092" s="8" t="s">
        <v>2616</v>
      </c>
      <c r="M3092" s="8">
        <v>0</v>
      </c>
      <c r="N3092" s="8"/>
    </row>
    <row r="3093" spans="6:14" x14ac:dyDescent="0.35">
      <c r="F3093" s="1"/>
      <c r="K3093" s="8" t="s">
        <v>290</v>
      </c>
      <c r="L3093" s="8" t="s">
        <v>2614</v>
      </c>
      <c r="M3093" s="8">
        <v>0</v>
      </c>
      <c r="N3093" s="8"/>
    </row>
    <row r="3094" spans="6:14" x14ac:dyDescent="0.35">
      <c r="F3094" s="1"/>
      <c r="K3094" s="8" t="s">
        <v>290</v>
      </c>
      <c r="L3094" s="8" t="s">
        <v>2615</v>
      </c>
      <c r="M3094" s="8">
        <v>0</v>
      </c>
      <c r="N3094" s="8"/>
    </row>
    <row r="3095" spans="6:14" x14ac:dyDescent="0.35">
      <c r="F3095" s="1"/>
      <c r="K3095" s="8" t="s">
        <v>290</v>
      </c>
      <c r="L3095" s="8" t="s">
        <v>2617</v>
      </c>
      <c r="M3095" s="8">
        <v>0</v>
      </c>
      <c r="N3095" s="8"/>
    </row>
    <row r="3096" spans="6:14" x14ac:dyDescent="0.35">
      <c r="F3096" s="1"/>
      <c r="K3096" s="8" t="s">
        <v>290</v>
      </c>
      <c r="L3096" s="8" t="s">
        <v>2618</v>
      </c>
      <c r="M3096" s="8">
        <v>0</v>
      </c>
      <c r="N3096" s="8"/>
    </row>
    <row r="3097" spans="6:14" x14ac:dyDescent="0.35">
      <c r="F3097" s="1"/>
      <c r="K3097" s="8" t="s">
        <v>290</v>
      </c>
      <c r="L3097" s="8" t="s">
        <v>2619</v>
      </c>
      <c r="M3097" s="8">
        <v>0</v>
      </c>
      <c r="N3097" s="8"/>
    </row>
    <row r="3098" spans="6:14" x14ac:dyDescent="0.35">
      <c r="F3098" s="1"/>
      <c r="K3098" s="8" t="s">
        <v>290</v>
      </c>
      <c r="L3098" s="8" t="s">
        <v>2620</v>
      </c>
      <c r="M3098" s="8">
        <v>0</v>
      </c>
      <c r="N3098" s="8"/>
    </row>
    <row r="3099" spans="6:14" x14ac:dyDescent="0.35">
      <c r="F3099" s="1"/>
      <c r="K3099" s="8" t="s">
        <v>290</v>
      </c>
      <c r="L3099" s="8" t="s">
        <v>2621</v>
      </c>
      <c r="M3099" s="8">
        <v>0</v>
      </c>
      <c r="N3099" s="8"/>
    </row>
    <row r="3100" spans="6:14" x14ac:dyDescent="0.35">
      <c r="F3100" s="1"/>
      <c r="K3100" s="8" t="s">
        <v>290</v>
      </c>
      <c r="L3100" s="8" t="s">
        <v>2622</v>
      </c>
      <c r="M3100" s="8">
        <v>0</v>
      </c>
      <c r="N3100" s="8"/>
    </row>
    <row r="3101" spans="6:14" x14ac:dyDescent="0.35">
      <c r="F3101" s="1"/>
      <c r="K3101" s="8" t="s">
        <v>290</v>
      </c>
      <c r="L3101" s="8" t="s">
        <v>2623</v>
      </c>
      <c r="M3101" s="8">
        <v>0</v>
      </c>
      <c r="N3101" s="8"/>
    </row>
    <row r="3102" spans="6:14" x14ac:dyDescent="0.35">
      <c r="F3102" s="1"/>
      <c r="K3102" s="8" t="s">
        <v>290</v>
      </c>
      <c r="L3102" s="8" t="s">
        <v>2624</v>
      </c>
      <c r="M3102" s="8">
        <v>0</v>
      </c>
      <c r="N3102" s="8"/>
    </row>
    <row r="3103" spans="6:14" x14ac:dyDescent="0.35">
      <c r="F3103" s="1"/>
      <c r="K3103" s="8" t="s">
        <v>290</v>
      </c>
      <c r="L3103" s="8" t="s">
        <v>2625</v>
      </c>
      <c r="M3103" s="8">
        <v>0</v>
      </c>
      <c r="N3103" s="8"/>
    </row>
    <row r="3104" spans="6:14" x14ac:dyDescent="0.35">
      <c r="F3104" s="1"/>
      <c r="K3104" s="8" t="s">
        <v>290</v>
      </c>
      <c r="L3104" s="8" t="s">
        <v>2626</v>
      </c>
      <c r="M3104" s="8">
        <v>0</v>
      </c>
      <c r="N3104" s="8"/>
    </row>
    <row r="3105" spans="6:14" x14ac:dyDescent="0.35">
      <c r="F3105" s="1"/>
      <c r="K3105" s="8" t="s">
        <v>290</v>
      </c>
      <c r="L3105" s="8" t="s">
        <v>2627</v>
      </c>
      <c r="M3105" s="8">
        <v>1</v>
      </c>
      <c r="N3105" s="8" t="s">
        <v>476</v>
      </c>
    </row>
    <row r="3106" spans="6:14" x14ac:dyDescent="0.35">
      <c r="F3106" s="1"/>
      <c r="K3106" s="8" t="s">
        <v>290</v>
      </c>
      <c r="L3106" s="8" t="s">
        <v>2628</v>
      </c>
      <c r="M3106" s="8">
        <v>0</v>
      </c>
      <c r="N3106" s="8"/>
    </row>
    <row r="3107" spans="6:14" x14ac:dyDescent="0.35">
      <c r="F3107" s="1"/>
      <c r="K3107" s="8" t="s">
        <v>290</v>
      </c>
      <c r="L3107" s="8" t="s">
        <v>2629</v>
      </c>
      <c r="M3107" s="8">
        <v>1</v>
      </c>
      <c r="N3107" s="8" t="s">
        <v>476</v>
      </c>
    </row>
    <row r="3108" spans="6:14" x14ac:dyDescent="0.35">
      <c r="F3108" s="1"/>
      <c r="K3108" s="8" t="s">
        <v>290</v>
      </c>
      <c r="L3108" s="8" t="s">
        <v>2630</v>
      </c>
      <c r="M3108" s="8">
        <v>0</v>
      </c>
      <c r="N3108" s="8"/>
    </row>
    <row r="3109" spans="6:14" x14ac:dyDescent="0.35">
      <c r="F3109" s="1"/>
      <c r="K3109" s="8" t="s">
        <v>290</v>
      </c>
      <c r="L3109" s="8" t="s">
        <v>2631</v>
      </c>
      <c r="M3109" s="8">
        <v>0</v>
      </c>
      <c r="N3109" s="8"/>
    </row>
    <row r="3110" spans="6:14" x14ac:dyDescent="0.35">
      <c r="F3110" s="1"/>
      <c r="K3110" s="8" t="s">
        <v>290</v>
      </c>
      <c r="L3110" s="8" t="s">
        <v>480</v>
      </c>
      <c r="M3110" s="8">
        <v>0</v>
      </c>
      <c r="N3110" s="8"/>
    </row>
    <row r="3111" spans="6:14" x14ac:dyDescent="0.35">
      <c r="F3111" s="1"/>
      <c r="K3111" s="8" t="s">
        <v>290</v>
      </c>
      <c r="L3111" s="8" t="s">
        <v>481</v>
      </c>
      <c r="M3111" s="8">
        <v>0</v>
      </c>
      <c r="N3111" s="8"/>
    </row>
    <row r="3112" spans="6:14" x14ac:dyDescent="0.35">
      <c r="F3112" s="1"/>
      <c r="K3112" s="8" t="s">
        <v>290</v>
      </c>
      <c r="L3112" s="8" t="s">
        <v>482</v>
      </c>
      <c r="M3112" s="8">
        <v>0</v>
      </c>
      <c r="N3112" s="8"/>
    </row>
    <row r="3113" spans="6:14" x14ac:dyDescent="0.35">
      <c r="F3113" s="1"/>
      <c r="K3113" s="8" t="s">
        <v>290</v>
      </c>
      <c r="L3113" s="8" t="s">
        <v>483</v>
      </c>
      <c r="M3113" s="8">
        <v>0</v>
      </c>
      <c r="N3113" s="8"/>
    </row>
    <row r="3114" spans="6:14" x14ac:dyDescent="0.35">
      <c r="F3114" s="1"/>
      <c r="K3114" s="8" t="s">
        <v>290</v>
      </c>
      <c r="L3114" s="8" t="s">
        <v>484</v>
      </c>
      <c r="M3114" s="8">
        <v>0</v>
      </c>
      <c r="N3114" s="8"/>
    </row>
    <row r="3115" spans="6:14" x14ac:dyDescent="0.35">
      <c r="F3115" s="1"/>
      <c r="K3115" s="8" t="s">
        <v>290</v>
      </c>
      <c r="L3115" s="8" t="s">
        <v>2632</v>
      </c>
      <c r="M3115" s="8">
        <v>0</v>
      </c>
      <c r="N3115" s="8"/>
    </row>
    <row r="3116" spans="6:14" x14ac:dyDescent="0.35">
      <c r="F3116" s="1"/>
      <c r="K3116" s="8" t="s">
        <v>290</v>
      </c>
      <c r="L3116" s="8" t="s">
        <v>861</v>
      </c>
      <c r="M3116" s="8">
        <v>0</v>
      </c>
      <c r="N3116" s="8" t="s">
        <v>476</v>
      </c>
    </row>
    <row r="3117" spans="6:14" x14ac:dyDescent="0.35">
      <c r="F3117" s="1"/>
      <c r="K3117" s="8" t="s">
        <v>290</v>
      </c>
      <c r="L3117" s="8" t="s">
        <v>863</v>
      </c>
      <c r="M3117" s="8">
        <v>0</v>
      </c>
      <c r="N3117" s="8" t="s">
        <v>476</v>
      </c>
    </row>
    <row r="3118" spans="6:14" x14ac:dyDescent="0.35">
      <c r="F3118" s="1"/>
      <c r="K3118" s="8" t="s">
        <v>290</v>
      </c>
      <c r="L3118" s="8" t="s">
        <v>860</v>
      </c>
      <c r="M3118" s="8">
        <v>0</v>
      </c>
      <c r="N3118" s="8"/>
    </row>
    <row r="3119" spans="6:14" x14ac:dyDescent="0.35">
      <c r="F3119" s="1"/>
      <c r="K3119" s="8" t="s">
        <v>290</v>
      </c>
      <c r="L3119" s="8" t="s">
        <v>862</v>
      </c>
      <c r="M3119" s="8">
        <v>0</v>
      </c>
      <c r="N3119" s="8"/>
    </row>
    <row r="3120" spans="6:14" x14ac:dyDescent="0.35">
      <c r="F3120" s="1"/>
      <c r="K3120" s="8" t="s">
        <v>290</v>
      </c>
      <c r="L3120" s="8" t="s">
        <v>858</v>
      </c>
      <c r="M3120" s="8">
        <v>0</v>
      </c>
      <c r="N3120" s="8" t="s">
        <v>476</v>
      </c>
    </row>
    <row r="3121" spans="6:14" x14ac:dyDescent="0.35">
      <c r="F3121" s="1"/>
      <c r="K3121" s="8" t="s">
        <v>290</v>
      </c>
      <c r="L3121" s="8" t="s">
        <v>914</v>
      </c>
      <c r="M3121" s="8">
        <v>0</v>
      </c>
      <c r="N3121" s="8" t="s">
        <v>476</v>
      </c>
    </row>
    <row r="3122" spans="6:14" x14ac:dyDescent="0.35">
      <c r="F3122" s="1"/>
      <c r="K3122" s="8" t="s">
        <v>290</v>
      </c>
      <c r="L3122" s="8" t="s">
        <v>915</v>
      </c>
      <c r="M3122" s="8">
        <v>0</v>
      </c>
      <c r="N3122" s="8" t="s">
        <v>476</v>
      </c>
    </row>
    <row r="3123" spans="6:14" x14ac:dyDescent="0.35">
      <c r="F3123" s="1"/>
      <c r="K3123" s="8" t="s">
        <v>290</v>
      </c>
      <c r="L3123" s="8" t="s">
        <v>410</v>
      </c>
      <c r="M3123" s="8">
        <v>0</v>
      </c>
      <c r="N3123" s="8"/>
    </row>
    <row r="3124" spans="6:14" x14ac:dyDescent="0.35">
      <c r="F3124" s="1"/>
      <c r="K3124" s="8" t="s">
        <v>290</v>
      </c>
      <c r="L3124" s="8" t="s">
        <v>2633</v>
      </c>
      <c r="M3124" s="8">
        <v>0</v>
      </c>
      <c r="N3124" s="8"/>
    </row>
    <row r="3125" spans="6:14" x14ac:dyDescent="0.35">
      <c r="F3125" s="1"/>
      <c r="K3125" s="8" t="s">
        <v>290</v>
      </c>
      <c r="L3125" s="8" t="s">
        <v>2634</v>
      </c>
      <c r="M3125" s="8">
        <v>0</v>
      </c>
      <c r="N3125" s="8"/>
    </row>
    <row r="3126" spans="6:14" x14ac:dyDescent="0.35">
      <c r="F3126" s="1"/>
      <c r="K3126" s="8" t="s">
        <v>290</v>
      </c>
      <c r="L3126" s="8" t="s">
        <v>411</v>
      </c>
      <c r="M3126" s="8">
        <v>0</v>
      </c>
      <c r="N3126" s="8"/>
    </row>
    <row r="3127" spans="6:14" x14ac:dyDescent="0.35">
      <c r="F3127" s="1"/>
      <c r="K3127" s="8" t="s">
        <v>290</v>
      </c>
      <c r="L3127" s="8" t="s">
        <v>355</v>
      </c>
      <c r="M3127" s="8">
        <v>1</v>
      </c>
      <c r="N3127" s="8"/>
    </row>
    <row r="3128" spans="6:14" x14ac:dyDescent="0.35">
      <c r="F3128" s="1"/>
      <c r="K3128" s="8" t="s">
        <v>290</v>
      </c>
      <c r="L3128" s="8" t="s">
        <v>355</v>
      </c>
      <c r="M3128" s="8">
        <v>1</v>
      </c>
      <c r="N3128" s="8"/>
    </row>
    <row r="3129" spans="6:14" x14ac:dyDescent="0.35">
      <c r="F3129" s="1"/>
      <c r="K3129" s="8" t="s">
        <v>290</v>
      </c>
      <c r="L3129" s="8" t="s">
        <v>355</v>
      </c>
      <c r="M3129" s="8">
        <v>1</v>
      </c>
      <c r="N3129" s="8"/>
    </row>
    <row r="3130" spans="6:14" x14ac:dyDescent="0.35">
      <c r="F3130" s="1"/>
      <c r="K3130" s="8" t="s">
        <v>290</v>
      </c>
      <c r="L3130" s="8" t="s">
        <v>355</v>
      </c>
      <c r="M3130" s="8">
        <v>1</v>
      </c>
      <c r="N3130" s="8"/>
    </row>
    <row r="3131" spans="6:14" x14ac:dyDescent="0.35">
      <c r="F3131" s="1"/>
      <c r="K3131" s="8" t="s">
        <v>290</v>
      </c>
      <c r="L3131" s="8" t="s">
        <v>355</v>
      </c>
      <c r="M3131" s="8">
        <v>1</v>
      </c>
      <c r="N3131" s="8"/>
    </row>
    <row r="3132" spans="6:14" x14ac:dyDescent="0.35">
      <c r="F3132" s="1"/>
      <c r="K3132" s="8" t="s">
        <v>290</v>
      </c>
      <c r="L3132" s="8" t="s">
        <v>355</v>
      </c>
      <c r="M3132" s="8">
        <v>1</v>
      </c>
      <c r="N3132" s="8"/>
    </row>
    <row r="3133" spans="6:14" x14ac:dyDescent="0.35">
      <c r="F3133" s="1"/>
      <c r="K3133" s="8" t="s">
        <v>290</v>
      </c>
      <c r="L3133" s="8" t="s">
        <v>355</v>
      </c>
      <c r="M3133" s="8">
        <v>1</v>
      </c>
      <c r="N3133" s="8"/>
    </row>
    <row r="3134" spans="6:14" x14ac:dyDescent="0.35">
      <c r="F3134" s="1"/>
      <c r="K3134" s="8" t="s">
        <v>290</v>
      </c>
      <c r="L3134" s="8" t="s">
        <v>2635</v>
      </c>
      <c r="M3134" s="8">
        <v>0</v>
      </c>
      <c r="N3134" s="8"/>
    </row>
    <row r="3135" spans="6:14" x14ac:dyDescent="0.35">
      <c r="F3135" s="1"/>
      <c r="K3135" s="8" t="s">
        <v>290</v>
      </c>
      <c r="L3135" s="8" t="s">
        <v>2636</v>
      </c>
      <c r="M3135" s="8">
        <v>0</v>
      </c>
      <c r="N3135" s="8"/>
    </row>
    <row r="3136" spans="6:14" x14ac:dyDescent="0.35">
      <c r="F3136" s="1"/>
      <c r="K3136" s="8" t="s">
        <v>290</v>
      </c>
      <c r="L3136" s="8" t="s">
        <v>2637</v>
      </c>
      <c r="M3136" s="8">
        <v>0</v>
      </c>
      <c r="N3136" s="8"/>
    </row>
    <row r="3137" spans="6:14" x14ac:dyDescent="0.35">
      <c r="F3137" s="1"/>
      <c r="K3137" s="8" t="s">
        <v>290</v>
      </c>
      <c r="L3137" s="8" t="s">
        <v>2638</v>
      </c>
      <c r="M3137" s="8">
        <v>0</v>
      </c>
      <c r="N3137" s="8"/>
    </row>
    <row r="3138" spans="6:14" x14ac:dyDescent="0.35">
      <c r="F3138" s="1"/>
      <c r="K3138" s="8" t="s">
        <v>290</v>
      </c>
      <c r="L3138" s="8" t="s">
        <v>486</v>
      </c>
      <c r="M3138" s="8">
        <v>0</v>
      </c>
      <c r="N3138" s="8"/>
    </row>
    <row r="3139" spans="6:14" x14ac:dyDescent="0.35">
      <c r="F3139" s="1"/>
      <c r="K3139" s="8" t="s">
        <v>290</v>
      </c>
      <c r="L3139" s="8" t="s">
        <v>487</v>
      </c>
      <c r="M3139" s="8">
        <v>0</v>
      </c>
      <c r="N3139" s="8"/>
    </row>
    <row r="3140" spans="6:14" x14ac:dyDescent="0.35">
      <c r="F3140" s="1"/>
      <c r="K3140" s="8" t="s">
        <v>290</v>
      </c>
      <c r="L3140" s="8" t="s">
        <v>488</v>
      </c>
      <c r="M3140" s="8">
        <v>0</v>
      </c>
      <c r="N3140" s="8"/>
    </row>
    <row r="3141" spans="6:14" x14ac:dyDescent="0.35">
      <c r="F3141" s="1"/>
      <c r="K3141" s="8" t="s">
        <v>290</v>
      </c>
      <c r="L3141" s="8" t="s">
        <v>489</v>
      </c>
      <c r="M3141" s="8">
        <v>0</v>
      </c>
      <c r="N3141" s="8"/>
    </row>
    <row r="3142" spans="6:14" x14ac:dyDescent="0.35">
      <c r="F3142" s="1"/>
      <c r="K3142" s="8" t="s">
        <v>290</v>
      </c>
      <c r="L3142" s="8" t="s">
        <v>490</v>
      </c>
      <c r="M3142" s="8">
        <v>0</v>
      </c>
      <c r="N3142" s="8"/>
    </row>
    <row r="3143" spans="6:14" x14ac:dyDescent="0.35">
      <c r="F3143" s="1"/>
      <c r="K3143" s="8" t="s">
        <v>290</v>
      </c>
      <c r="L3143" s="8" t="s">
        <v>2639</v>
      </c>
      <c r="M3143" s="8">
        <v>0</v>
      </c>
      <c r="N3143" s="8"/>
    </row>
    <row r="3144" spans="6:14" x14ac:dyDescent="0.35">
      <c r="F3144" s="1"/>
      <c r="K3144" s="8" t="s">
        <v>290</v>
      </c>
      <c r="L3144" s="8" t="s">
        <v>373</v>
      </c>
      <c r="M3144" s="8">
        <v>1</v>
      </c>
      <c r="N3144" s="8"/>
    </row>
    <row r="3145" spans="6:14" x14ac:dyDescent="0.35">
      <c r="F3145" s="1"/>
      <c r="K3145" s="8" t="s">
        <v>290</v>
      </c>
      <c r="L3145" s="8" t="s">
        <v>2640</v>
      </c>
      <c r="M3145" s="8">
        <v>0</v>
      </c>
      <c r="N3145" s="8"/>
    </row>
    <row r="3146" spans="6:14" x14ac:dyDescent="0.35">
      <c r="F3146" s="1"/>
      <c r="K3146" s="8" t="s">
        <v>290</v>
      </c>
      <c r="L3146" s="8" t="s">
        <v>2641</v>
      </c>
      <c r="M3146" s="8">
        <v>0</v>
      </c>
      <c r="N3146" s="8"/>
    </row>
    <row r="3147" spans="6:14" x14ac:dyDescent="0.35">
      <c r="F3147" s="1"/>
      <c r="K3147" s="8" t="s">
        <v>290</v>
      </c>
      <c r="L3147" s="8" t="s">
        <v>2642</v>
      </c>
      <c r="M3147" s="8">
        <v>0</v>
      </c>
      <c r="N3147" s="8"/>
    </row>
    <row r="3148" spans="6:14" x14ac:dyDescent="0.35">
      <c r="F3148" s="1"/>
      <c r="K3148" s="8" t="s">
        <v>290</v>
      </c>
      <c r="L3148" s="8" t="s">
        <v>2588</v>
      </c>
      <c r="M3148" s="8">
        <v>0</v>
      </c>
      <c r="N3148" s="8"/>
    </row>
    <row r="3149" spans="6:14" x14ac:dyDescent="0.35">
      <c r="F3149" s="1"/>
      <c r="K3149" s="8" t="s">
        <v>290</v>
      </c>
      <c r="L3149" s="8" t="s">
        <v>491</v>
      </c>
      <c r="M3149" s="8">
        <v>0</v>
      </c>
      <c r="N3149" s="8"/>
    </row>
    <row r="3150" spans="6:14" x14ac:dyDescent="0.35">
      <c r="F3150" s="1"/>
      <c r="K3150" s="8" t="s">
        <v>290</v>
      </c>
      <c r="L3150" s="8" t="s">
        <v>492</v>
      </c>
      <c r="M3150" s="8">
        <v>0</v>
      </c>
      <c r="N3150" s="8"/>
    </row>
    <row r="3151" spans="6:14" x14ac:dyDescent="0.35">
      <c r="F3151" s="1"/>
      <c r="K3151" s="8" t="s">
        <v>290</v>
      </c>
      <c r="L3151" s="8" t="s">
        <v>493</v>
      </c>
      <c r="M3151" s="8">
        <v>0</v>
      </c>
      <c r="N3151" s="8"/>
    </row>
    <row r="3152" spans="6:14" x14ac:dyDescent="0.35">
      <c r="F3152" s="1"/>
      <c r="K3152" s="8" t="s">
        <v>290</v>
      </c>
      <c r="L3152" s="8" t="s">
        <v>494</v>
      </c>
      <c r="M3152" s="8">
        <v>0</v>
      </c>
      <c r="N3152" s="8"/>
    </row>
    <row r="3153" spans="6:14" x14ac:dyDescent="0.35">
      <c r="F3153" s="1"/>
      <c r="K3153" s="8" t="s">
        <v>290</v>
      </c>
      <c r="L3153" s="8" t="s">
        <v>495</v>
      </c>
      <c r="M3153" s="8">
        <v>0</v>
      </c>
      <c r="N3153" s="8"/>
    </row>
    <row r="3154" spans="6:14" x14ac:dyDescent="0.35">
      <c r="F3154" s="1"/>
      <c r="K3154" s="8" t="s">
        <v>290</v>
      </c>
      <c r="L3154" s="8" t="s">
        <v>604</v>
      </c>
      <c r="M3154" s="8">
        <v>0</v>
      </c>
      <c r="N3154" s="8"/>
    </row>
    <row r="3155" spans="6:14" x14ac:dyDescent="0.35">
      <c r="F3155" s="1"/>
      <c r="K3155" s="8" t="s">
        <v>290</v>
      </c>
      <c r="L3155" s="8" t="s">
        <v>380</v>
      </c>
      <c r="M3155" s="8">
        <v>0</v>
      </c>
      <c r="N3155" s="8"/>
    </row>
    <row r="3156" spans="6:14" x14ac:dyDescent="0.35">
      <c r="F3156" s="1"/>
      <c r="K3156" s="8" t="s">
        <v>290</v>
      </c>
      <c r="L3156" s="8" t="s">
        <v>1119</v>
      </c>
      <c r="M3156" s="8">
        <v>1</v>
      </c>
      <c r="N3156" s="8" t="s">
        <v>476</v>
      </c>
    </row>
    <row r="3157" spans="6:14" x14ac:dyDescent="0.35">
      <c r="F3157" s="1"/>
      <c r="K3157" s="8" t="s">
        <v>2055</v>
      </c>
      <c r="L3157" s="8" t="s">
        <v>356</v>
      </c>
      <c r="M3157" s="8">
        <v>1</v>
      </c>
      <c r="N3157" s="8"/>
    </row>
    <row r="3158" spans="6:14" x14ac:dyDescent="0.35">
      <c r="F3158" s="1"/>
      <c r="K3158" s="8" t="s">
        <v>2055</v>
      </c>
      <c r="L3158" s="8" t="s">
        <v>2208</v>
      </c>
      <c r="M3158" s="8">
        <v>1</v>
      </c>
      <c r="N3158" s="8"/>
    </row>
    <row r="3159" spans="6:14" x14ac:dyDescent="0.35">
      <c r="F3159" s="1"/>
      <c r="K3159" s="8" t="s">
        <v>2055</v>
      </c>
      <c r="L3159" s="8" t="s">
        <v>2207</v>
      </c>
      <c r="M3159" s="8">
        <v>1</v>
      </c>
      <c r="N3159" s="8"/>
    </row>
    <row r="3160" spans="6:14" x14ac:dyDescent="0.35">
      <c r="F3160" s="1"/>
      <c r="K3160" s="8" t="s">
        <v>2055</v>
      </c>
      <c r="L3160" s="8" t="s">
        <v>355</v>
      </c>
      <c r="M3160" s="8">
        <v>1</v>
      </c>
      <c r="N3160" s="8"/>
    </row>
    <row r="3161" spans="6:14" x14ac:dyDescent="0.35">
      <c r="F3161" s="1"/>
      <c r="K3161" s="8" t="s">
        <v>2056</v>
      </c>
      <c r="L3161" s="8" t="s">
        <v>359</v>
      </c>
      <c r="M3161" s="8">
        <v>1</v>
      </c>
      <c r="N3161" s="8"/>
    </row>
    <row r="3162" spans="6:14" x14ac:dyDescent="0.35">
      <c r="F3162" s="1"/>
      <c r="K3162" s="8" t="s">
        <v>2056</v>
      </c>
      <c r="L3162" s="8" t="s">
        <v>2209</v>
      </c>
      <c r="M3162" s="8">
        <v>1</v>
      </c>
      <c r="N3162" s="8"/>
    </row>
    <row r="3163" spans="6:14" x14ac:dyDescent="0.35">
      <c r="F3163" s="1"/>
      <c r="K3163" s="8" t="s">
        <v>2056</v>
      </c>
      <c r="L3163" s="8" t="s">
        <v>2207</v>
      </c>
      <c r="M3163" s="8">
        <v>1</v>
      </c>
      <c r="N3163" s="8"/>
    </row>
    <row r="3164" spans="6:14" x14ac:dyDescent="0.35">
      <c r="F3164" s="1"/>
      <c r="K3164" s="8" t="s">
        <v>2056</v>
      </c>
      <c r="L3164" s="8" t="s">
        <v>355</v>
      </c>
      <c r="M3164" s="8">
        <v>1</v>
      </c>
      <c r="N3164" s="8"/>
    </row>
    <row r="3165" spans="6:14" x14ac:dyDescent="0.35">
      <c r="F3165" s="1"/>
      <c r="K3165" s="8" t="s">
        <v>2057</v>
      </c>
      <c r="L3165" s="8" t="s">
        <v>354</v>
      </c>
      <c r="M3165" s="8">
        <v>0</v>
      </c>
      <c r="N3165" s="8"/>
    </row>
    <row r="3166" spans="6:14" x14ac:dyDescent="0.35">
      <c r="F3166" s="1"/>
      <c r="K3166" s="8" t="s">
        <v>2057</v>
      </c>
      <c r="L3166" s="8" t="s">
        <v>351</v>
      </c>
      <c r="M3166" s="8">
        <v>0</v>
      </c>
      <c r="N3166" s="8"/>
    </row>
    <row r="3167" spans="6:14" x14ac:dyDescent="0.35">
      <c r="F3167" s="1"/>
      <c r="K3167" s="8" t="s">
        <v>2057</v>
      </c>
      <c r="L3167" s="8" t="s">
        <v>353</v>
      </c>
      <c r="M3167" s="8">
        <v>0</v>
      </c>
      <c r="N3167" s="8"/>
    </row>
    <row r="3168" spans="6:14" x14ac:dyDescent="0.35">
      <c r="F3168" s="1"/>
      <c r="K3168" s="8" t="s">
        <v>2057</v>
      </c>
      <c r="L3168" s="8" t="s">
        <v>352</v>
      </c>
      <c r="M3168" s="8">
        <v>0</v>
      </c>
      <c r="N3168" s="8"/>
    </row>
    <row r="3169" spans="6:14" x14ac:dyDescent="0.35">
      <c r="F3169" s="1"/>
      <c r="K3169" s="8" t="s">
        <v>2057</v>
      </c>
      <c r="L3169" s="8" t="s">
        <v>1224</v>
      </c>
      <c r="M3169" s="8">
        <v>0</v>
      </c>
      <c r="N3169" s="8"/>
    </row>
    <row r="3170" spans="6:14" x14ac:dyDescent="0.35">
      <c r="F3170" s="1"/>
      <c r="K3170" s="8" t="s">
        <v>2057</v>
      </c>
      <c r="L3170" s="8" t="s">
        <v>349</v>
      </c>
      <c r="M3170" s="8">
        <v>1</v>
      </c>
      <c r="N3170" s="8"/>
    </row>
    <row r="3171" spans="6:14" x14ac:dyDescent="0.35">
      <c r="F3171" s="1"/>
      <c r="K3171" s="8" t="s">
        <v>2057</v>
      </c>
      <c r="L3171" s="8" t="s">
        <v>356</v>
      </c>
      <c r="M3171" s="8">
        <v>1</v>
      </c>
      <c r="N3171" s="8"/>
    </row>
    <row r="3172" spans="6:14" x14ac:dyDescent="0.35">
      <c r="F3172" s="1"/>
      <c r="K3172" s="8" t="s">
        <v>2057</v>
      </c>
      <c r="L3172" s="8" t="s">
        <v>715</v>
      </c>
      <c r="M3172" s="8">
        <v>0</v>
      </c>
      <c r="N3172" s="8"/>
    </row>
    <row r="3173" spans="6:14" x14ac:dyDescent="0.35">
      <c r="F3173" s="1"/>
      <c r="K3173" s="8" t="s">
        <v>2057</v>
      </c>
      <c r="L3173" s="8" t="s">
        <v>636</v>
      </c>
      <c r="M3173" s="8">
        <v>0</v>
      </c>
      <c r="N3173" s="8"/>
    </row>
    <row r="3174" spans="6:14" x14ac:dyDescent="0.35">
      <c r="F3174" s="1"/>
      <c r="K3174" s="8" t="s">
        <v>2057</v>
      </c>
      <c r="L3174" s="8" t="s">
        <v>355</v>
      </c>
      <c r="M3174" s="8">
        <v>1</v>
      </c>
      <c r="N3174" s="8"/>
    </row>
    <row r="3175" spans="6:14" x14ac:dyDescent="0.35">
      <c r="F3175" s="1"/>
      <c r="K3175" s="8" t="s">
        <v>2057</v>
      </c>
      <c r="L3175" s="8" t="s">
        <v>2643</v>
      </c>
      <c r="M3175" s="8">
        <v>0</v>
      </c>
      <c r="N3175" s="8"/>
    </row>
    <row r="3176" spans="6:14" x14ac:dyDescent="0.35">
      <c r="F3176" s="1"/>
      <c r="K3176" s="8" t="s">
        <v>2057</v>
      </c>
      <c r="L3176" s="8" t="s">
        <v>742</v>
      </c>
      <c r="M3176" s="8">
        <v>0</v>
      </c>
      <c r="N3176" s="8"/>
    </row>
    <row r="3177" spans="6:14" x14ac:dyDescent="0.35">
      <c r="F3177" s="1"/>
      <c r="K3177" s="8" t="s">
        <v>2057</v>
      </c>
      <c r="L3177" s="8" t="s">
        <v>1225</v>
      </c>
      <c r="M3177" s="8">
        <v>1</v>
      </c>
      <c r="N3177" s="8" t="s">
        <v>476</v>
      </c>
    </row>
    <row r="3178" spans="6:14" x14ac:dyDescent="0.35">
      <c r="F3178" s="1"/>
      <c r="K3178" s="8" t="s">
        <v>2057</v>
      </c>
      <c r="L3178" s="8" t="s">
        <v>604</v>
      </c>
      <c r="M3178" s="8">
        <v>0</v>
      </c>
      <c r="N3178" s="8"/>
    </row>
    <row r="3179" spans="6:14" x14ac:dyDescent="0.35">
      <c r="F3179" s="1"/>
      <c r="K3179" s="8" t="s">
        <v>2058</v>
      </c>
      <c r="L3179" s="8" t="s">
        <v>354</v>
      </c>
      <c r="M3179" s="8">
        <v>0</v>
      </c>
      <c r="N3179" s="8"/>
    </row>
    <row r="3180" spans="6:14" x14ac:dyDescent="0.35">
      <c r="F3180" s="1"/>
      <c r="K3180" s="8" t="s">
        <v>2058</v>
      </c>
      <c r="L3180" s="8" t="s">
        <v>351</v>
      </c>
      <c r="M3180" s="8">
        <v>1</v>
      </c>
      <c r="N3180" s="8"/>
    </row>
    <row r="3181" spans="6:14" x14ac:dyDescent="0.35">
      <c r="F3181" s="1"/>
      <c r="K3181" s="8" t="s">
        <v>2058</v>
      </c>
      <c r="L3181" s="8" t="s">
        <v>353</v>
      </c>
      <c r="M3181" s="8">
        <v>0</v>
      </c>
      <c r="N3181" s="8"/>
    </row>
    <row r="3182" spans="6:14" x14ac:dyDescent="0.35">
      <c r="F3182" s="1"/>
      <c r="K3182" s="8" t="s">
        <v>2058</v>
      </c>
      <c r="L3182" s="8" t="s">
        <v>352</v>
      </c>
      <c r="M3182" s="8">
        <v>1</v>
      </c>
      <c r="N3182" s="8"/>
    </row>
    <row r="3183" spans="6:14" x14ac:dyDescent="0.35">
      <c r="F3183" s="1"/>
      <c r="K3183" s="8" t="s">
        <v>2058</v>
      </c>
      <c r="L3183" s="8" t="s">
        <v>1383</v>
      </c>
      <c r="M3183" s="8">
        <v>0</v>
      </c>
      <c r="N3183" s="8"/>
    </row>
    <row r="3184" spans="6:14" x14ac:dyDescent="0.35">
      <c r="F3184" s="1"/>
      <c r="K3184" s="8" t="s">
        <v>2058</v>
      </c>
      <c r="L3184" s="8" t="s">
        <v>349</v>
      </c>
      <c r="M3184" s="8">
        <v>1</v>
      </c>
      <c r="N3184" s="8"/>
    </row>
    <row r="3185" spans="6:14" x14ac:dyDescent="0.35">
      <c r="F3185" s="1"/>
      <c r="K3185" s="8" t="s">
        <v>2058</v>
      </c>
      <c r="L3185" s="8" t="s">
        <v>359</v>
      </c>
      <c r="M3185" s="8">
        <v>1</v>
      </c>
      <c r="N3185" s="8"/>
    </row>
    <row r="3186" spans="6:14" x14ac:dyDescent="0.35">
      <c r="F3186" s="1"/>
      <c r="K3186" s="8" t="s">
        <v>2058</v>
      </c>
      <c r="L3186" s="8" t="s">
        <v>355</v>
      </c>
      <c r="M3186" s="8">
        <v>1</v>
      </c>
      <c r="N3186" s="8"/>
    </row>
    <row r="3187" spans="6:14" x14ac:dyDescent="0.35">
      <c r="F3187" s="1"/>
      <c r="K3187" s="8" t="s">
        <v>2058</v>
      </c>
      <c r="L3187" s="8" t="s">
        <v>2759</v>
      </c>
      <c r="M3187" s="8">
        <v>0</v>
      </c>
      <c r="N3187" s="8"/>
    </row>
    <row r="3188" spans="6:14" x14ac:dyDescent="0.35">
      <c r="F3188" s="1"/>
      <c r="K3188" s="8" t="s">
        <v>2058</v>
      </c>
      <c r="L3188" s="8" t="s">
        <v>1382</v>
      </c>
      <c r="M3188" s="8">
        <v>0</v>
      </c>
      <c r="N3188" s="8"/>
    </row>
    <row r="3189" spans="6:14" x14ac:dyDescent="0.35">
      <c r="F3189" s="1"/>
      <c r="K3189" s="8" t="s">
        <v>2059</v>
      </c>
      <c r="L3189" s="8" t="s">
        <v>350</v>
      </c>
      <c r="M3189" s="8">
        <v>1</v>
      </c>
      <c r="N3189" s="8"/>
    </row>
    <row r="3190" spans="6:14" x14ac:dyDescent="0.35">
      <c r="F3190" s="1"/>
      <c r="K3190" s="8" t="s">
        <v>2059</v>
      </c>
      <c r="L3190" s="8" t="s">
        <v>356</v>
      </c>
      <c r="M3190" s="8">
        <v>1</v>
      </c>
      <c r="N3190" s="8"/>
    </row>
    <row r="3191" spans="6:14" x14ac:dyDescent="0.35">
      <c r="F3191" s="1"/>
      <c r="K3191" s="8" t="s">
        <v>2059</v>
      </c>
      <c r="L3191" s="8" t="s">
        <v>480</v>
      </c>
      <c r="M3191" s="8">
        <v>0</v>
      </c>
      <c r="N3191" s="8"/>
    </row>
    <row r="3192" spans="6:14" x14ac:dyDescent="0.35">
      <c r="F3192" s="1"/>
      <c r="K3192" s="8" t="s">
        <v>2059</v>
      </c>
      <c r="L3192" s="8" t="s">
        <v>481</v>
      </c>
      <c r="M3192" s="8">
        <v>0</v>
      </c>
      <c r="N3192" s="8"/>
    </row>
    <row r="3193" spans="6:14" x14ac:dyDescent="0.35">
      <c r="F3193" s="1"/>
      <c r="K3193" s="8" t="s">
        <v>2059</v>
      </c>
      <c r="L3193" s="8" t="s">
        <v>482</v>
      </c>
      <c r="M3193" s="8">
        <v>0</v>
      </c>
      <c r="N3193" s="8"/>
    </row>
    <row r="3194" spans="6:14" x14ac:dyDescent="0.35">
      <c r="F3194" s="1"/>
      <c r="K3194" s="8" t="s">
        <v>2059</v>
      </c>
      <c r="L3194" s="8" t="s">
        <v>483</v>
      </c>
      <c r="M3194" s="8">
        <v>0</v>
      </c>
      <c r="N3194" s="8"/>
    </row>
    <row r="3195" spans="6:14" x14ac:dyDescent="0.35">
      <c r="F3195" s="1"/>
      <c r="K3195" s="8" t="s">
        <v>2059</v>
      </c>
      <c r="L3195" s="8" t="s">
        <v>484</v>
      </c>
      <c r="M3195" s="8">
        <v>0</v>
      </c>
      <c r="N3195" s="8"/>
    </row>
    <row r="3196" spans="6:14" x14ac:dyDescent="0.35">
      <c r="F3196" s="1"/>
      <c r="K3196" s="8" t="s">
        <v>2059</v>
      </c>
      <c r="L3196" s="8" t="s">
        <v>355</v>
      </c>
      <c r="M3196" s="8">
        <v>1</v>
      </c>
      <c r="N3196" s="8"/>
    </row>
    <row r="3197" spans="6:14" x14ac:dyDescent="0.35">
      <c r="F3197" s="1"/>
      <c r="K3197" s="8" t="s">
        <v>2059</v>
      </c>
      <c r="L3197" s="8" t="s">
        <v>2644</v>
      </c>
      <c r="M3197" s="8">
        <v>0</v>
      </c>
      <c r="N3197" s="8"/>
    </row>
    <row r="3198" spans="6:14" x14ac:dyDescent="0.35">
      <c r="F3198" s="1"/>
      <c r="K3198" s="8" t="s">
        <v>2059</v>
      </c>
      <c r="L3198" s="8" t="s">
        <v>486</v>
      </c>
      <c r="M3198" s="8">
        <v>0</v>
      </c>
      <c r="N3198" s="8"/>
    </row>
    <row r="3199" spans="6:14" x14ac:dyDescent="0.35">
      <c r="F3199" s="1"/>
      <c r="K3199" s="8" t="s">
        <v>2059</v>
      </c>
      <c r="L3199" s="8" t="s">
        <v>487</v>
      </c>
      <c r="M3199" s="8">
        <v>0</v>
      </c>
      <c r="N3199" s="8"/>
    </row>
    <row r="3200" spans="6:14" x14ac:dyDescent="0.35">
      <c r="F3200" s="1"/>
      <c r="K3200" s="8" t="s">
        <v>2059</v>
      </c>
      <c r="L3200" s="8" t="s">
        <v>488</v>
      </c>
      <c r="M3200" s="8">
        <v>0</v>
      </c>
      <c r="N3200" s="8"/>
    </row>
    <row r="3201" spans="6:14" x14ac:dyDescent="0.35">
      <c r="F3201" s="1"/>
      <c r="K3201" s="8" t="s">
        <v>2059</v>
      </c>
      <c r="L3201" s="8" t="s">
        <v>489</v>
      </c>
      <c r="M3201" s="8">
        <v>0</v>
      </c>
      <c r="N3201" s="8"/>
    </row>
    <row r="3202" spans="6:14" x14ac:dyDescent="0.35">
      <c r="F3202" s="1"/>
      <c r="K3202" s="8" t="s">
        <v>2059</v>
      </c>
      <c r="L3202" s="8" t="s">
        <v>490</v>
      </c>
      <c r="M3202" s="8">
        <v>0</v>
      </c>
      <c r="N3202" s="8"/>
    </row>
    <row r="3203" spans="6:14" x14ac:dyDescent="0.35">
      <c r="F3203" s="1"/>
      <c r="K3203" s="8" t="s">
        <v>2059</v>
      </c>
      <c r="L3203" s="8" t="s">
        <v>2645</v>
      </c>
      <c r="M3203" s="8">
        <v>1</v>
      </c>
      <c r="N3203" s="8" t="s">
        <v>476</v>
      </c>
    </row>
    <row r="3204" spans="6:14" x14ac:dyDescent="0.35">
      <c r="F3204" s="1"/>
      <c r="K3204" s="8" t="s">
        <v>2059</v>
      </c>
      <c r="L3204" s="8" t="s">
        <v>491</v>
      </c>
      <c r="M3204" s="8">
        <v>0</v>
      </c>
      <c r="N3204" s="8"/>
    </row>
    <row r="3205" spans="6:14" x14ac:dyDescent="0.35">
      <c r="F3205" s="1"/>
      <c r="K3205" s="8" t="s">
        <v>2059</v>
      </c>
      <c r="L3205" s="8" t="s">
        <v>492</v>
      </c>
      <c r="M3205" s="8">
        <v>0</v>
      </c>
      <c r="N3205" s="8"/>
    </row>
    <row r="3206" spans="6:14" x14ac:dyDescent="0.35">
      <c r="F3206" s="1"/>
      <c r="K3206" s="8" t="s">
        <v>2059</v>
      </c>
      <c r="L3206" s="8" t="s">
        <v>493</v>
      </c>
      <c r="M3206" s="8">
        <v>0</v>
      </c>
      <c r="N3206" s="8"/>
    </row>
    <row r="3207" spans="6:14" x14ac:dyDescent="0.35">
      <c r="F3207" s="1"/>
      <c r="K3207" s="8" t="s">
        <v>2059</v>
      </c>
      <c r="L3207" s="8" t="s">
        <v>2646</v>
      </c>
      <c r="M3207" s="8">
        <v>1</v>
      </c>
      <c r="N3207" s="8" t="s">
        <v>476</v>
      </c>
    </row>
    <row r="3208" spans="6:14" x14ac:dyDescent="0.35">
      <c r="F3208" s="1"/>
      <c r="K3208" s="8" t="s">
        <v>2059</v>
      </c>
      <c r="L3208" s="8" t="s">
        <v>432</v>
      </c>
      <c r="M3208" s="8">
        <v>1</v>
      </c>
      <c r="N3208" s="8" t="s">
        <v>1004</v>
      </c>
    </row>
    <row r="3209" spans="6:14" x14ac:dyDescent="0.35">
      <c r="F3209" s="1"/>
      <c r="K3209" s="8" t="s">
        <v>2059</v>
      </c>
      <c r="L3209" s="8" t="s">
        <v>433</v>
      </c>
      <c r="M3209" s="8">
        <v>1</v>
      </c>
      <c r="N3209" s="8" t="s">
        <v>1010</v>
      </c>
    </row>
    <row r="3210" spans="6:14" x14ac:dyDescent="0.35">
      <c r="F3210" s="1"/>
      <c r="K3210" s="8" t="s">
        <v>2059</v>
      </c>
      <c r="L3210" s="8" t="s">
        <v>434</v>
      </c>
      <c r="M3210" s="8">
        <v>1</v>
      </c>
      <c r="N3210" s="8" t="s">
        <v>1011</v>
      </c>
    </row>
    <row r="3211" spans="6:14" x14ac:dyDescent="0.35">
      <c r="F3211" s="1"/>
      <c r="K3211" s="8" t="s">
        <v>2059</v>
      </c>
      <c r="L3211" s="8" t="s">
        <v>1118</v>
      </c>
      <c r="M3211" s="8">
        <v>1</v>
      </c>
      <c r="N3211" s="8" t="s">
        <v>476</v>
      </c>
    </row>
    <row r="3212" spans="6:14" x14ac:dyDescent="0.35">
      <c r="F3212" s="1"/>
      <c r="K3212" s="8" t="s">
        <v>2059</v>
      </c>
      <c r="L3212" s="8" t="s">
        <v>2647</v>
      </c>
      <c r="M3212" s="8">
        <v>0</v>
      </c>
      <c r="N3212" s="8" t="s">
        <v>1004</v>
      </c>
    </row>
    <row r="3213" spans="6:14" x14ac:dyDescent="0.35">
      <c r="F3213" s="1"/>
      <c r="K3213" s="8" t="s">
        <v>2060</v>
      </c>
      <c r="L3213" s="8" t="s">
        <v>350</v>
      </c>
      <c r="M3213" s="8">
        <v>1</v>
      </c>
      <c r="N3213" s="8"/>
    </row>
    <row r="3214" spans="6:14" x14ac:dyDescent="0.35">
      <c r="F3214" s="1"/>
      <c r="K3214" s="8" t="s">
        <v>2060</v>
      </c>
      <c r="L3214" s="8" t="s">
        <v>359</v>
      </c>
      <c r="M3214" s="8">
        <v>1</v>
      </c>
      <c r="N3214" s="8"/>
    </row>
    <row r="3215" spans="6:14" x14ac:dyDescent="0.35">
      <c r="F3215" s="1"/>
      <c r="K3215" s="8" t="s">
        <v>2060</v>
      </c>
      <c r="L3215" s="8" t="s">
        <v>1350</v>
      </c>
      <c r="M3215" s="8">
        <v>0</v>
      </c>
      <c r="N3215" s="8"/>
    </row>
    <row r="3216" spans="6:14" x14ac:dyDescent="0.35">
      <c r="F3216" s="1"/>
      <c r="K3216" s="8" t="s">
        <v>2060</v>
      </c>
      <c r="L3216" s="8" t="s">
        <v>1351</v>
      </c>
      <c r="M3216" s="8">
        <v>0</v>
      </c>
      <c r="N3216" s="8"/>
    </row>
    <row r="3217" spans="6:14" x14ac:dyDescent="0.35">
      <c r="F3217" s="1"/>
      <c r="K3217" s="8" t="s">
        <v>2060</v>
      </c>
      <c r="L3217" s="8" t="s">
        <v>1352</v>
      </c>
      <c r="M3217" s="8">
        <v>0</v>
      </c>
      <c r="N3217" s="8"/>
    </row>
    <row r="3218" spans="6:14" x14ac:dyDescent="0.35">
      <c r="F3218" s="1"/>
      <c r="K3218" s="8" t="s">
        <v>2060</v>
      </c>
      <c r="L3218" s="8" t="s">
        <v>1353</v>
      </c>
      <c r="M3218" s="8">
        <v>0</v>
      </c>
      <c r="N3218" s="8"/>
    </row>
    <row r="3219" spans="6:14" x14ac:dyDescent="0.35">
      <c r="F3219" s="1"/>
      <c r="K3219" s="8" t="s">
        <v>2060</v>
      </c>
      <c r="L3219" s="8" t="s">
        <v>1354</v>
      </c>
      <c r="M3219" s="8">
        <v>0</v>
      </c>
      <c r="N3219" s="8"/>
    </row>
    <row r="3220" spans="6:14" x14ac:dyDescent="0.35">
      <c r="F3220" s="1"/>
      <c r="K3220" s="8" t="s">
        <v>2060</v>
      </c>
      <c r="L3220" s="8" t="s">
        <v>355</v>
      </c>
      <c r="M3220" s="8">
        <v>1</v>
      </c>
      <c r="N3220" s="8"/>
    </row>
    <row r="3221" spans="6:14" x14ac:dyDescent="0.35">
      <c r="F3221" s="1"/>
      <c r="K3221" s="8" t="s">
        <v>2060</v>
      </c>
      <c r="L3221" s="8" t="s">
        <v>2760</v>
      </c>
      <c r="M3221" s="8">
        <v>0</v>
      </c>
      <c r="N3221" s="8"/>
    </row>
    <row r="3222" spans="6:14" x14ac:dyDescent="0.35">
      <c r="F3222" s="1"/>
      <c r="K3222" s="8" t="s">
        <v>2060</v>
      </c>
      <c r="L3222" s="8" t="s">
        <v>1363</v>
      </c>
      <c r="M3222" s="8">
        <v>0</v>
      </c>
      <c r="N3222" s="8"/>
    </row>
    <row r="3223" spans="6:14" x14ac:dyDescent="0.35">
      <c r="F3223" s="1"/>
      <c r="K3223" s="8" t="s">
        <v>2060</v>
      </c>
      <c r="L3223" s="8" t="s">
        <v>1364</v>
      </c>
      <c r="M3223" s="8">
        <v>0</v>
      </c>
      <c r="N3223" s="8"/>
    </row>
    <row r="3224" spans="6:14" x14ac:dyDescent="0.35">
      <c r="F3224" s="1"/>
      <c r="K3224" s="8" t="s">
        <v>2060</v>
      </c>
      <c r="L3224" s="8" t="s">
        <v>1365</v>
      </c>
      <c r="M3224" s="8">
        <v>0</v>
      </c>
      <c r="N3224" s="8"/>
    </row>
    <row r="3225" spans="6:14" x14ac:dyDescent="0.35">
      <c r="F3225" s="1"/>
      <c r="K3225" s="8" t="s">
        <v>2060</v>
      </c>
      <c r="L3225" s="8" t="s">
        <v>1366</v>
      </c>
      <c r="M3225" s="8">
        <v>0</v>
      </c>
      <c r="N3225" s="8"/>
    </row>
    <row r="3226" spans="6:14" x14ac:dyDescent="0.35">
      <c r="F3226" s="1"/>
      <c r="K3226" s="8" t="s">
        <v>2060</v>
      </c>
      <c r="L3226" s="8" t="s">
        <v>1367</v>
      </c>
      <c r="M3226" s="8">
        <v>0</v>
      </c>
      <c r="N3226" s="8"/>
    </row>
    <row r="3227" spans="6:14" x14ac:dyDescent="0.35">
      <c r="F3227" s="1"/>
      <c r="K3227" s="8" t="s">
        <v>2060</v>
      </c>
      <c r="L3227" s="8" t="s">
        <v>2761</v>
      </c>
      <c r="M3227" s="8">
        <v>1</v>
      </c>
      <c r="N3227" s="8" t="s">
        <v>476</v>
      </c>
    </row>
    <row r="3228" spans="6:14" x14ac:dyDescent="0.35">
      <c r="F3228" s="1"/>
      <c r="K3228" s="8" t="s">
        <v>2060</v>
      </c>
      <c r="L3228" s="8" t="s">
        <v>1370</v>
      </c>
      <c r="M3228" s="8">
        <v>0</v>
      </c>
      <c r="N3228" s="8"/>
    </row>
    <row r="3229" spans="6:14" x14ac:dyDescent="0.35">
      <c r="F3229" s="1"/>
      <c r="K3229" s="8" t="s">
        <v>2060</v>
      </c>
      <c r="L3229" s="8" t="s">
        <v>1371</v>
      </c>
      <c r="M3229" s="8">
        <v>0</v>
      </c>
      <c r="N3229" s="8"/>
    </row>
    <row r="3230" spans="6:14" x14ac:dyDescent="0.35">
      <c r="F3230" s="1"/>
      <c r="K3230" s="8" t="s">
        <v>2060</v>
      </c>
      <c r="L3230" s="8" t="s">
        <v>1379</v>
      </c>
      <c r="M3230" s="8">
        <v>0</v>
      </c>
      <c r="N3230" s="8"/>
    </row>
    <row r="3231" spans="6:14" x14ac:dyDescent="0.35">
      <c r="F3231" s="1"/>
      <c r="K3231" s="8" t="s">
        <v>2060</v>
      </c>
      <c r="L3231" s="8" t="s">
        <v>2762</v>
      </c>
      <c r="M3231" s="8">
        <v>1</v>
      </c>
      <c r="N3231" s="8" t="s">
        <v>476</v>
      </c>
    </row>
    <row r="3232" spans="6:14" x14ac:dyDescent="0.35">
      <c r="F3232" s="1"/>
      <c r="K3232" s="8" t="s">
        <v>2060</v>
      </c>
      <c r="L3232" s="8" t="s">
        <v>432</v>
      </c>
      <c r="M3232" s="8">
        <v>1</v>
      </c>
      <c r="N3232" s="8" t="s">
        <v>1004</v>
      </c>
    </row>
    <row r="3233" spans="6:14" x14ac:dyDescent="0.35">
      <c r="F3233" s="1"/>
      <c r="K3233" s="8" t="s">
        <v>2060</v>
      </c>
      <c r="L3233" s="8" t="s">
        <v>433</v>
      </c>
      <c r="M3233" s="8">
        <v>1</v>
      </c>
      <c r="N3233" s="8" t="s">
        <v>1010</v>
      </c>
    </row>
    <row r="3234" spans="6:14" x14ac:dyDescent="0.35">
      <c r="F3234" s="1"/>
      <c r="K3234" s="8" t="s">
        <v>2060</v>
      </c>
      <c r="L3234" s="8" t="s">
        <v>434</v>
      </c>
      <c r="M3234" s="8">
        <v>1</v>
      </c>
      <c r="N3234" s="8" t="s">
        <v>1011</v>
      </c>
    </row>
    <row r="3235" spans="6:14" x14ac:dyDescent="0.35">
      <c r="F3235" s="1"/>
      <c r="K3235" s="8" t="s">
        <v>2060</v>
      </c>
      <c r="L3235" s="8" t="s">
        <v>2763</v>
      </c>
      <c r="M3235" s="8">
        <v>1</v>
      </c>
      <c r="N3235" s="8" t="s">
        <v>476</v>
      </c>
    </row>
    <row r="3236" spans="6:14" x14ac:dyDescent="0.35">
      <c r="F3236" s="1"/>
      <c r="K3236" s="8" t="s">
        <v>2060</v>
      </c>
      <c r="L3236" s="8" t="s">
        <v>2764</v>
      </c>
      <c r="M3236" s="8">
        <v>0</v>
      </c>
      <c r="N3236" s="8" t="s">
        <v>1004</v>
      </c>
    </row>
    <row r="3237" spans="6:14" x14ac:dyDescent="0.35">
      <c r="F3237" s="1"/>
      <c r="K3237" s="8" t="s">
        <v>291</v>
      </c>
      <c r="L3237" s="8" t="s">
        <v>1193</v>
      </c>
      <c r="M3237" s="8">
        <v>0</v>
      </c>
      <c r="N3237" s="8"/>
    </row>
    <row r="3238" spans="6:14" x14ac:dyDescent="0.35">
      <c r="F3238" s="1"/>
      <c r="K3238" s="8" t="s">
        <v>291</v>
      </c>
      <c r="L3238" s="8" t="s">
        <v>2704</v>
      </c>
      <c r="M3238" s="8">
        <v>0</v>
      </c>
      <c r="N3238" s="8"/>
    </row>
    <row r="3239" spans="6:14" x14ac:dyDescent="0.35">
      <c r="F3239" s="1"/>
      <c r="K3239" s="8" t="s">
        <v>291</v>
      </c>
      <c r="L3239" s="8" t="s">
        <v>350</v>
      </c>
      <c r="M3239" s="8">
        <v>0</v>
      </c>
      <c r="N3239" s="8"/>
    </row>
    <row r="3240" spans="6:14" x14ac:dyDescent="0.35">
      <c r="F3240" s="1"/>
      <c r="K3240" s="8" t="s">
        <v>291</v>
      </c>
      <c r="L3240" s="8" t="s">
        <v>2705</v>
      </c>
      <c r="M3240" s="8">
        <v>1</v>
      </c>
      <c r="N3240" s="8" t="s">
        <v>517</v>
      </c>
    </row>
    <row r="3241" spans="6:14" x14ac:dyDescent="0.35">
      <c r="F3241" s="1"/>
      <c r="K3241" s="8" t="s">
        <v>291</v>
      </c>
      <c r="L3241" s="8" t="s">
        <v>1347</v>
      </c>
      <c r="M3241" s="8">
        <v>0</v>
      </c>
      <c r="N3241" s="8"/>
    </row>
    <row r="3242" spans="6:14" x14ac:dyDescent="0.35">
      <c r="F3242" s="1"/>
      <c r="K3242" s="8" t="s">
        <v>291</v>
      </c>
      <c r="L3242" s="8" t="s">
        <v>2706</v>
      </c>
      <c r="M3242" s="8">
        <v>1</v>
      </c>
      <c r="N3242" s="8" t="s">
        <v>476</v>
      </c>
    </row>
    <row r="3243" spans="6:14" x14ac:dyDescent="0.35">
      <c r="F3243" s="1"/>
      <c r="K3243" s="8" t="s">
        <v>291</v>
      </c>
      <c r="L3243" s="8" t="s">
        <v>2708</v>
      </c>
      <c r="M3243" s="8">
        <v>1</v>
      </c>
      <c r="N3243" s="8" t="s">
        <v>2594</v>
      </c>
    </row>
    <row r="3244" spans="6:14" x14ac:dyDescent="0.35">
      <c r="F3244" s="1"/>
      <c r="K3244" s="8" t="s">
        <v>291</v>
      </c>
      <c r="L3244" s="8" t="s">
        <v>2707</v>
      </c>
      <c r="M3244" s="8">
        <v>1</v>
      </c>
      <c r="N3244" s="8" t="s">
        <v>476</v>
      </c>
    </row>
    <row r="3245" spans="6:14" x14ac:dyDescent="0.35">
      <c r="F3245" s="1"/>
      <c r="K3245" s="8" t="s">
        <v>291</v>
      </c>
      <c r="L3245" s="8" t="s">
        <v>2709</v>
      </c>
      <c r="M3245" s="8">
        <v>1</v>
      </c>
      <c r="N3245" s="8" t="s">
        <v>553</v>
      </c>
    </row>
    <row r="3246" spans="6:14" x14ac:dyDescent="0.35">
      <c r="F3246" s="1"/>
      <c r="K3246" s="8" t="s">
        <v>291</v>
      </c>
      <c r="L3246" s="8" t="s">
        <v>2714</v>
      </c>
      <c r="M3246" s="8">
        <v>0</v>
      </c>
      <c r="N3246" s="8"/>
    </row>
    <row r="3247" spans="6:14" x14ac:dyDescent="0.35">
      <c r="F3247" s="1"/>
      <c r="K3247" s="8" t="s">
        <v>291</v>
      </c>
      <c r="L3247" s="8" t="s">
        <v>2710</v>
      </c>
      <c r="M3247" s="8">
        <v>0</v>
      </c>
      <c r="N3247" s="8"/>
    </row>
    <row r="3248" spans="6:14" x14ac:dyDescent="0.35">
      <c r="F3248" s="1"/>
      <c r="K3248" s="8" t="s">
        <v>291</v>
      </c>
      <c r="L3248" s="8" t="s">
        <v>2711</v>
      </c>
      <c r="M3248" s="8">
        <v>0</v>
      </c>
      <c r="N3248" s="8"/>
    </row>
    <row r="3249" spans="6:14" x14ac:dyDescent="0.35">
      <c r="F3249" s="1"/>
      <c r="K3249" s="8" t="s">
        <v>291</v>
      </c>
      <c r="L3249" s="8" t="s">
        <v>2712</v>
      </c>
      <c r="M3249" s="8">
        <v>0</v>
      </c>
      <c r="N3249" s="8"/>
    </row>
    <row r="3250" spans="6:14" x14ac:dyDescent="0.35">
      <c r="F3250" s="1"/>
      <c r="K3250" s="8" t="s">
        <v>291</v>
      </c>
      <c r="L3250" s="8" t="s">
        <v>2713</v>
      </c>
      <c r="M3250" s="8">
        <v>0</v>
      </c>
      <c r="N3250" s="8"/>
    </row>
    <row r="3251" spans="6:14" x14ac:dyDescent="0.35">
      <c r="F3251" s="1"/>
      <c r="K3251" s="8" t="s">
        <v>291</v>
      </c>
      <c r="L3251" s="8" t="s">
        <v>2715</v>
      </c>
      <c r="M3251" s="8">
        <v>1</v>
      </c>
      <c r="N3251" s="8" t="s">
        <v>517</v>
      </c>
    </row>
    <row r="3252" spans="6:14" x14ac:dyDescent="0.35">
      <c r="F3252" s="1"/>
      <c r="K3252" s="8" t="s">
        <v>291</v>
      </c>
      <c r="L3252" s="8" t="s">
        <v>2716</v>
      </c>
      <c r="M3252" s="8">
        <v>0</v>
      </c>
      <c r="N3252" s="8"/>
    </row>
    <row r="3253" spans="6:14" x14ac:dyDescent="0.35">
      <c r="F3253" s="1"/>
      <c r="K3253" s="8" t="s">
        <v>291</v>
      </c>
      <c r="L3253" s="8" t="s">
        <v>2717</v>
      </c>
      <c r="M3253" s="8">
        <v>0</v>
      </c>
      <c r="N3253" s="8"/>
    </row>
    <row r="3254" spans="6:14" x14ac:dyDescent="0.35">
      <c r="F3254" s="1"/>
      <c r="K3254" s="8" t="s">
        <v>291</v>
      </c>
      <c r="L3254" s="8" t="s">
        <v>2718</v>
      </c>
      <c r="M3254" s="8">
        <v>0</v>
      </c>
      <c r="N3254" s="8"/>
    </row>
    <row r="3255" spans="6:14" x14ac:dyDescent="0.35">
      <c r="F3255" s="1"/>
      <c r="K3255" s="8" t="s">
        <v>291</v>
      </c>
      <c r="L3255" s="8" t="s">
        <v>2719</v>
      </c>
      <c r="M3255" s="8">
        <v>0</v>
      </c>
      <c r="N3255" s="8"/>
    </row>
    <row r="3256" spans="6:14" x14ac:dyDescent="0.35">
      <c r="F3256" s="1"/>
      <c r="K3256" s="8" t="s">
        <v>291</v>
      </c>
      <c r="L3256" s="8" t="s">
        <v>2720</v>
      </c>
      <c r="M3256" s="8">
        <v>0</v>
      </c>
      <c r="N3256" s="8" t="s">
        <v>476</v>
      </c>
    </row>
    <row r="3257" spans="6:14" x14ac:dyDescent="0.35">
      <c r="F3257" s="1"/>
      <c r="K3257" s="8" t="s">
        <v>291</v>
      </c>
      <c r="L3257" s="8" t="s">
        <v>2721</v>
      </c>
      <c r="M3257" s="8">
        <v>1</v>
      </c>
      <c r="N3257" s="8" t="s">
        <v>476</v>
      </c>
    </row>
    <row r="3258" spans="6:14" x14ac:dyDescent="0.35">
      <c r="F3258" s="1"/>
      <c r="K3258" s="8" t="s">
        <v>291</v>
      </c>
      <c r="L3258" s="8" t="s">
        <v>2722</v>
      </c>
      <c r="M3258" s="8">
        <v>1</v>
      </c>
      <c r="N3258" s="8" t="s">
        <v>476</v>
      </c>
    </row>
    <row r="3259" spans="6:14" x14ac:dyDescent="0.35">
      <c r="F3259" s="1"/>
      <c r="K3259" s="8" t="s">
        <v>291</v>
      </c>
      <c r="L3259" s="8" t="s">
        <v>2723</v>
      </c>
      <c r="M3259" s="8">
        <v>0</v>
      </c>
      <c r="N3259" s="8"/>
    </row>
    <row r="3260" spans="6:14" x14ac:dyDescent="0.35">
      <c r="F3260" s="1"/>
      <c r="K3260" s="8" t="s">
        <v>291</v>
      </c>
      <c r="L3260" s="8" t="s">
        <v>2724</v>
      </c>
      <c r="M3260" s="8">
        <v>0</v>
      </c>
      <c r="N3260" s="8"/>
    </row>
    <row r="3261" spans="6:14" x14ac:dyDescent="0.35">
      <c r="F3261" s="1"/>
      <c r="K3261" s="8" t="s">
        <v>291</v>
      </c>
      <c r="L3261" s="8" t="s">
        <v>2725</v>
      </c>
      <c r="M3261" s="8">
        <v>0</v>
      </c>
      <c r="N3261" s="8"/>
    </row>
    <row r="3262" spans="6:14" x14ac:dyDescent="0.35">
      <c r="F3262" s="1"/>
      <c r="K3262" s="8" t="s">
        <v>291</v>
      </c>
      <c r="L3262" s="8" t="s">
        <v>2726</v>
      </c>
      <c r="M3262" s="8">
        <v>0</v>
      </c>
      <c r="N3262" s="8"/>
    </row>
    <row r="3263" spans="6:14" x14ac:dyDescent="0.35">
      <c r="F3263" s="1"/>
      <c r="K3263" s="8" t="s">
        <v>291</v>
      </c>
      <c r="L3263" s="8" t="s">
        <v>359</v>
      </c>
      <c r="M3263" s="8">
        <v>1</v>
      </c>
      <c r="N3263" s="8"/>
    </row>
    <row r="3264" spans="6:14" x14ac:dyDescent="0.35">
      <c r="F3264" s="1"/>
      <c r="K3264" s="8" t="s">
        <v>291</v>
      </c>
      <c r="L3264" s="8" t="s">
        <v>2727</v>
      </c>
      <c r="M3264" s="8">
        <v>0</v>
      </c>
      <c r="N3264" s="8"/>
    </row>
    <row r="3265" spans="6:14" x14ac:dyDescent="0.35">
      <c r="F3265" s="1"/>
      <c r="K3265" s="8" t="s">
        <v>291</v>
      </c>
      <c r="L3265" s="8" t="s">
        <v>2730</v>
      </c>
      <c r="M3265" s="8">
        <v>0</v>
      </c>
      <c r="N3265" s="8"/>
    </row>
    <row r="3266" spans="6:14" x14ac:dyDescent="0.35">
      <c r="F3266" s="1"/>
      <c r="K3266" s="8" t="s">
        <v>291</v>
      </c>
      <c r="L3266" s="8" t="s">
        <v>2728</v>
      </c>
      <c r="M3266" s="8">
        <v>0</v>
      </c>
      <c r="N3266" s="8"/>
    </row>
    <row r="3267" spans="6:14" x14ac:dyDescent="0.35">
      <c r="F3267" s="1"/>
      <c r="K3267" s="8" t="s">
        <v>291</v>
      </c>
      <c r="L3267" s="8" t="s">
        <v>2729</v>
      </c>
      <c r="M3267" s="8">
        <v>0</v>
      </c>
      <c r="N3267" s="8"/>
    </row>
    <row r="3268" spans="6:14" x14ac:dyDescent="0.35">
      <c r="F3268" s="1"/>
      <c r="K3268" s="8" t="s">
        <v>291</v>
      </c>
      <c r="L3268" s="8" t="s">
        <v>2731</v>
      </c>
      <c r="M3268" s="8">
        <v>0</v>
      </c>
      <c r="N3268" s="8"/>
    </row>
    <row r="3269" spans="6:14" x14ac:dyDescent="0.35">
      <c r="F3269" s="1"/>
      <c r="K3269" s="8" t="s">
        <v>291</v>
      </c>
      <c r="L3269" s="8" t="s">
        <v>2732</v>
      </c>
      <c r="M3269" s="8">
        <v>0</v>
      </c>
      <c r="N3269" s="8"/>
    </row>
    <row r="3270" spans="6:14" x14ac:dyDescent="0.35">
      <c r="F3270" s="1"/>
      <c r="K3270" s="8" t="s">
        <v>291</v>
      </c>
      <c r="L3270" s="8" t="s">
        <v>2733</v>
      </c>
      <c r="M3270" s="8">
        <v>0</v>
      </c>
      <c r="N3270" s="8"/>
    </row>
    <row r="3271" spans="6:14" x14ac:dyDescent="0.35">
      <c r="F3271" s="1"/>
      <c r="K3271" s="8" t="s">
        <v>291</v>
      </c>
      <c r="L3271" s="8" t="s">
        <v>2734</v>
      </c>
      <c r="M3271" s="8">
        <v>0</v>
      </c>
      <c r="N3271" s="8"/>
    </row>
    <row r="3272" spans="6:14" x14ac:dyDescent="0.35">
      <c r="F3272" s="1"/>
      <c r="K3272" s="8" t="s">
        <v>291</v>
      </c>
      <c r="L3272" s="8" t="s">
        <v>2735</v>
      </c>
      <c r="M3272" s="8">
        <v>0</v>
      </c>
      <c r="N3272" s="8"/>
    </row>
    <row r="3273" spans="6:14" x14ac:dyDescent="0.35">
      <c r="F3273" s="1"/>
      <c r="K3273" s="8" t="s">
        <v>291</v>
      </c>
      <c r="L3273" s="8" t="s">
        <v>2736</v>
      </c>
      <c r="M3273" s="8">
        <v>0</v>
      </c>
      <c r="N3273" s="8"/>
    </row>
    <row r="3274" spans="6:14" x14ac:dyDescent="0.35">
      <c r="F3274" s="1"/>
      <c r="K3274" s="8" t="s">
        <v>291</v>
      </c>
      <c r="L3274" s="8" t="s">
        <v>2737</v>
      </c>
      <c r="M3274" s="8">
        <v>0</v>
      </c>
      <c r="N3274" s="8"/>
    </row>
    <row r="3275" spans="6:14" x14ac:dyDescent="0.35">
      <c r="F3275" s="1"/>
      <c r="K3275" s="8" t="s">
        <v>291</v>
      </c>
      <c r="L3275" s="8" t="s">
        <v>2738</v>
      </c>
      <c r="M3275" s="8">
        <v>0</v>
      </c>
      <c r="N3275" s="8"/>
    </row>
    <row r="3276" spans="6:14" x14ac:dyDescent="0.35">
      <c r="F3276" s="1"/>
      <c r="K3276" s="8" t="s">
        <v>291</v>
      </c>
      <c r="L3276" s="8" t="s">
        <v>2739</v>
      </c>
      <c r="M3276" s="8">
        <v>0</v>
      </c>
      <c r="N3276" s="8"/>
    </row>
    <row r="3277" spans="6:14" x14ac:dyDescent="0.35">
      <c r="F3277" s="1"/>
      <c r="K3277" s="8" t="s">
        <v>291</v>
      </c>
      <c r="L3277" s="8" t="s">
        <v>2740</v>
      </c>
      <c r="M3277" s="8">
        <v>0</v>
      </c>
      <c r="N3277" s="8"/>
    </row>
    <row r="3278" spans="6:14" x14ac:dyDescent="0.35">
      <c r="F3278" s="1"/>
      <c r="K3278" s="8" t="s">
        <v>291</v>
      </c>
      <c r="L3278" s="8" t="s">
        <v>2741</v>
      </c>
      <c r="M3278" s="8">
        <v>1</v>
      </c>
      <c r="N3278" s="8" t="s">
        <v>476</v>
      </c>
    </row>
    <row r="3279" spans="6:14" x14ac:dyDescent="0.35">
      <c r="F3279" s="1"/>
      <c r="K3279" s="8" t="s">
        <v>291</v>
      </c>
      <c r="L3279" s="8" t="s">
        <v>2742</v>
      </c>
      <c r="M3279" s="8">
        <v>0</v>
      </c>
      <c r="N3279" s="8"/>
    </row>
    <row r="3280" spans="6:14" x14ac:dyDescent="0.35">
      <c r="F3280" s="1"/>
      <c r="K3280" s="8" t="s">
        <v>291</v>
      </c>
      <c r="L3280" s="8" t="s">
        <v>2743</v>
      </c>
      <c r="M3280" s="8">
        <v>1</v>
      </c>
      <c r="N3280" s="8" t="s">
        <v>476</v>
      </c>
    </row>
    <row r="3281" spans="6:14" x14ac:dyDescent="0.35">
      <c r="F3281" s="1"/>
      <c r="K3281" s="8" t="s">
        <v>291</v>
      </c>
      <c r="L3281" s="8" t="s">
        <v>2744</v>
      </c>
      <c r="M3281" s="8">
        <v>0</v>
      </c>
      <c r="N3281" s="8"/>
    </row>
    <row r="3282" spans="6:14" x14ac:dyDescent="0.35">
      <c r="F3282" s="1"/>
      <c r="K3282" s="8" t="s">
        <v>291</v>
      </c>
      <c r="L3282" s="8" t="s">
        <v>2745</v>
      </c>
      <c r="M3282" s="8">
        <v>0</v>
      </c>
      <c r="N3282" s="8"/>
    </row>
    <row r="3283" spans="6:14" x14ac:dyDescent="0.35">
      <c r="F3283" s="1"/>
      <c r="K3283" s="8" t="s">
        <v>291</v>
      </c>
      <c r="L3283" s="8" t="s">
        <v>1350</v>
      </c>
      <c r="M3283" s="8">
        <v>0</v>
      </c>
      <c r="N3283" s="8"/>
    </row>
    <row r="3284" spans="6:14" x14ac:dyDescent="0.35">
      <c r="F3284" s="1"/>
      <c r="K3284" s="8" t="s">
        <v>291</v>
      </c>
      <c r="L3284" s="8" t="s">
        <v>1351</v>
      </c>
      <c r="M3284" s="8">
        <v>0</v>
      </c>
      <c r="N3284" s="8"/>
    </row>
    <row r="3285" spans="6:14" x14ac:dyDescent="0.35">
      <c r="F3285" s="1"/>
      <c r="K3285" s="8" t="s">
        <v>291</v>
      </c>
      <c r="L3285" s="8" t="s">
        <v>1352</v>
      </c>
      <c r="M3285" s="8">
        <v>0</v>
      </c>
      <c r="N3285" s="8"/>
    </row>
    <row r="3286" spans="6:14" x14ac:dyDescent="0.35">
      <c r="F3286" s="1"/>
      <c r="K3286" s="8" t="s">
        <v>291</v>
      </c>
      <c r="L3286" s="8" t="s">
        <v>1353</v>
      </c>
      <c r="M3286" s="8">
        <v>0</v>
      </c>
      <c r="N3286" s="8"/>
    </row>
    <row r="3287" spans="6:14" x14ac:dyDescent="0.35">
      <c r="F3287" s="1"/>
      <c r="K3287" s="8" t="s">
        <v>291</v>
      </c>
      <c r="L3287" s="8" t="s">
        <v>1354</v>
      </c>
      <c r="M3287" s="8">
        <v>0</v>
      </c>
      <c r="N3287" s="8"/>
    </row>
    <row r="3288" spans="6:14" x14ac:dyDescent="0.35">
      <c r="F3288" s="1"/>
      <c r="K3288" s="8" t="s">
        <v>291</v>
      </c>
      <c r="L3288" s="8" t="s">
        <v>2746</v>
      </c>
      <c r="M3288" s="8">
        <v>0</v>
      </c>
      <c r="N3288" s="8"/>
    </row>
    <row r="3289" spans="6:14" x14ac:dyDescent="0.35">
      <c r="F3289" s="1"/>
      <c r="K3289" s="8" t="s">
        <v>291</v>
      </c>
      <c r="L3289" s="8" t="s">
        <v>1372</v>
      </c>
      <c r="M3289" s="8">
        <v>1</v>
      </c>
      <c r="N3289" s="8" t="s">
        <v>476</v>
      </c>
    </row>
    <row r="3290" spans="6:14" x14ac:dyDescent="0.35">
      <c r="F3290" s="1"/>
      <c r="K3290" s="8" t="s">
        <v>291</v>
      </c>
      <c r="L3290" s="8" t="s">
        <v>1373</v>
      </c>
      <c r="M3290" s="8">
        <v>1</v>
      </c>
      <c r="N3290" s="8" t="s">
        <v>476</v>
      </c>
    </row>
    <row r="3291" spans="6:14" x14ac:dyDescent="0.35">
      <c r="F3291" s="1"/>
      <c r="K3291" s="8" t="s">
        <v>291</v>
      </c>
      <c r="L3291" s="8" t="s">
        <v>1374</v>
      </c>
      <c r="M3291" s="8">
        <v>0</v>
      </c>
      <c r="N3291" s="8"/>
    </row>
    <row r="3292" spans="6:14" x14ac:dyDescent="0.35">
      <c r="F3292" s="1"/>
      <c r="K3292" s="8" t="s">
        <v>291</v>
      </c>
      <c r="L3292" s="8" t="s">
        <v>1375</v>
      </c>
      <c r="M3292" s="8">
        <v>0</v>
      </c>
      <c r="N3292" s="8"/>
    </row>
    <row r="3293" spans="6:14" x14ac:dyDescent="0.35">
      <c r="F3293" s="1"/>
      <c r="K3293" s="8" t="s">
        <v>291</v>
      </c>
      <c r="L3293" s="8" t="s">
        <v>1376</v>
      </c>
      <c r="M3293" s="8">
        <v>1</v>
      </c>
      <c r="N3293" s="8" t="s">
        <v>476</v>
      </c>
    </row>
    <row r="3294" spans="6:14" x14ac:dyDescent="0.35">
      <c r="F3294" s="1"/>
      <c r="K3294" s="8" t="s">
        <v>291</v>
      </c>
      <c r="L3294" s="8" t="s">
        <v>1377</v>
      </c>
      <c r="M3294" s="8">
        <v>1</v>
      </c>
      <c r="N3294" s="8" t="s">
        <v>476</v>
      </c>
    </row>
    <row r="3295" spans="6:14" x14ac:dyDescent="0.35">
      <c r="F3295" s="1"/>
      <c r="K3295" s="8" t="s">
        <v>291</v>
      </c>
      <c r="L3295" s="8" t="s">
        <v>1378</v>
      </c>
      <c r="M3295" s="8">
        <v>1</v>
      </c>
      <c r="N3295" s="8" t="s">
        <v>476</v>
      </c>
    </row>
    <row r="3296" spans="6:14" x14ac:dyDescent="0.35">
      <c r="F3296" s="1"/>
      <c r="K3296" s="8" t="s">
        <v>291</v>
      </c>
      <c r="L3296" s="8" t="s">
        <v>2747</v>
      </c>
      <c r="M3296" s="8">
        <v>0</v>
      </c>
      <c r="N3296" s="8"/>
    </row>
    <row r="3297" spans="6:14" x14ac:dyDescent="0.35">
      <c r="F3297" s="1"/>
      <c r="K3297" s="8" t="s">
        <v>291</v>
      </c>
      <c r="L3297" s="8" t="s">
        <v>2748</v>
      </c>
      <c r="M3297" s="8">
        <v>0</v>
      </c>
      <c r="N3297" s="8"/>
    </row>
    <row r="3298" spans="6:14" x14ac:dyDescent="0.35">
      <c r="F3298" s="1"/>
      <c r="K3298" s="8" t="s">
        <v>291</v>
      </c>
      <c r="L3298" s="8" t="s">
        <v>355</v>
      </c>
      <c r="M3298" s="8">
        <v>1</v>
      </c>
      <c r="N3298" s="8"/>
    </row>
    <row r="3299" spans="6:14" x14ac:dyDescent="0.35">
      <c r="F3299" s="1"/>
      <c r="K3299" s="8" t="s">
        <v>291</v>
      </c>
      <c r="L3299" s="8" t="s">
        <v>2749</v>
      </c>
      <c r="M3299" s="8">
        <v>0</v>
      </c>
      <c r="N3299" s="8"/>
    </row>
    <row r="3300" spans="6:14" x14ac:dyDescent="0.35">
      <c r="F3300" s="1"/>
      <c r="K3300" s="8" t="s">
        <v>291</v>
      </c>
      <c r="L3300" s="8" t="s">
        <v>2750</v>
      </c>
      <c r="M3300" s="8">
        <v>0</v>
      </c>
      <c r="N3300" s="8"/>
    </row>
    <row r="3301" spans="6:14" x14ac:dyDescent="0.35">
      <c r="F3301" s="1"/>
      <c r="K3301" s="8" t="s">
        <v>291</v>
      </c>
      <c r="L3301" s="8" t="s">
        <v>2751</v>
      </c>
      <c r="M3301" s="8">
        <v>0</v>
      </c>
      <c r="N3301" s="8"/>
    </row>
    <row r="3302" spans="6:14" x14ac:dyDescent="0.35">
      <c r="F3302" s="1"/>
      <c r="K3302" s="8" t="s">
        <v>291</v>
      </c>
      <c r="L3302" s="8" t="s">
        <v>2752</v>
      </c>
      <c r="M3302" s="8">
        <v>0</v>
      </c>
      <c r="N3302" s="8"/>
    </row>
    <row r="3303" spans="6:14" x14ac:dyDescent="0.35">
      <c r="F3303" s="1"/>
      <c r="K3303" s="8" t="s">
        <v>291</v>
      </c>
      <c r="L3303" s="8" t="s">
        <v>1363</v>
      </c>
      <c r="M3303" s="8">
        <v>0</v>
      </c>
      <c r="N3303" s="8"/>
    </row>
    <row r="3304" spans="6:14" x14ac:dyDescent="0.35">
      <c r="F3304" s="1"/>
      <c r="K3304" s="8" t="s">
        <v>291</v>
      </c>
      <c r="L3304" s="8" t="s">
        <v>1364</v>
      </c>
      <c r="M3304" s="8">
        <v>0</v>
      </c>
      <c r="N3304" s="8"/>
    </row>
    <row r="3305" spans="6:14" x14ac:dyDescent="0.35">
      <c r="F3305" s="1"/>
      <c r="K3305" s="8" t="s">
        <v>291</v>
      </c>
      <c r="L3305" s="8" t="s">
        <v>1365</v>
      </c>
      <c r="M3305" s="8">
        <v>0</v>
      </c>
      <c r="N3305" s="8"/>
    </row>
    <row r="3306" spans="6:14" x14ac:dyDescent="0.35">
      <c r="F3306" s="1"/>
      <c r="K3306" s="8" t="s">
        <v>291</v>
      </c>
      <c r="L3306" s="8" t="s">
        <v>1366</v>
      </c>
      <c r="M3306" s="8">
        <v>0</v>
      </c>
      <c r="N3306" s="8"/>
    </row>
    <row r="3307" spans="6:14" x14ac:dyDescent="0.35">
      <c r="F3307" s="1"/>
      <c r="K3307" s="8" t="s">
        <v>291</v>
      </c>
      <c r="L3307" s="8" t="s">
        <v>1367</v>
      </c>
      <c r="M3307" s="8">
        <v>0</v>
      </c>
      <c r="N3307" s="8"/>
    </row>
    <row r="3308" spans="6:14" x14ac:dyDescent="0.35">
      <c r="F3308" s="1"/>
      <c r="K3308" s="8" t="s">
        <v>291</v>
      </c>
      <c r="L3308" s="8" t="s">
        <v>2753</v>
      </c>
      <c r="M3308" s="8">
        <v>0</v>
      </c>
      <c r="N3308" s="8"/>
    </row>
    <row r="3309" spans="6:14" x14ac:dyDescent="0.35">
      <c r="F3309" s="1"/>
      <c r="K3309" s="8" t="s">
        <v>291</v>
      </c>
      <c r="L3309" s="8" t="s">
        <v>373</v>
      </c>
      <c r="M3309" s="8">
        <v>1</v>
      </c>
      <c r="N3309" s="8"/>
    </row>
    <row r="3310" spans="6:14" x14ac:dyDescent="0.35">
      <c r="F3310" s="1"/>
      <c r="K3310" s="8" t="s">
        <v>291</v>
      </c>
      <c r="L3310" s="8" t="s">
        <v>2754</v>
      </c>
      <c r="M3310" s="8">
        <v>0</v>
      </c>
      <c r="N3310" s="8"/>
    </row>
    <row r="3311" spans="6:14" x14ac:dyDescent="0.35">
      <c r="F3311" s="1"/>
      <c r="K3311" s="8" t="s">
        <v>291</v>
      </c>
      <c r="L3311" s="8" t="s">
        <v>2755</v>
      </c>
      <c r="M3311" s="8">
        <v>0</v>
      </c>
      <c r="N3311" s="8"/>
    </row>
    <row r="3312" spans="6:14" x14ac:dyDescent="0.35">
      <c r="F3312" s="1"/>
      <c r="K3312" s="8" t="s">
        <v>291</v>
      </c>
      <c r="L3312" s="8" t="s">
        <v>2756</v>
      </c>
      <c r="M3312" s="8">
        <v>0</v>
      </c>
      <c r="N3312" s="8"/>
    </row>
    <row r="3313" spans="6:14" x14ac:dyDescent="0.35">
      <c r="F3313" s="1"/>
      <c r="K3313" s="8" t="s">
        <v>291</v>
      </c>
      <c r="L3313" s="8" t="s">
        <v>2757</v>
      </c>
      <c r="M3313" s="8">
        <v>0</v>
      </c>
      <c r="N3313" s="8"/>
    </row>
    <row r="3314" spans="6:14" x14ac:dyDescent="0.35">
      <c r="F3314" s="1"/>
      <c r="K3314" s="8" t="s">
        <v>291</v>
      </c>
      <c r="L3314" s="8" t="s">
        <v>1370</v>
      </c>
      <c r="M3314" s="8">
        <v>0</v>
      </c>
      <c r="N3314" s="8"/>
    </row>
    <row r="3315" spans="6:14" x14ac:dyDescent="0.35">
      <c r="F3315" s="1"/>
      <c r="K3315" s="8" t="s">
        <v>291</v>
      </c>
      <c r="L3315" s="8" t="s">
        <v>1371</v>
      </c>
      <c r="M3315" s="8">
        <v>0</v>
      </c>
      <c r="N3315" s="8"/>
    </row>
    <row r="3316" spans="6:14" x14ac:dyDescent="0.35">
      <c r="F3316" s="1"/>
      <c r="K3316" s="8" t="s">
        <v>291</v>
      </c>
      <c r="L3316" s="8" t="s">
        <v>1379</v>
      </c>
      <c r="M3316" s="8">
        <v>0</v>
      </c>
      <c r="N3316" s="8"/>
    </row>
    <row r="3317" spans="6:14" x14ac:dyDescent="0.35">
      <c r="F3317" s="1"/>
      <c r="K3317" s="8" t="s">
        <v>291</v>
      </c>
      <c r="L3317" s="8" t="s">
        <v>1380</v>
      </c>
      <c r="M3317" s="8">
        <v>0</v>
      </c>
      <c r="N3317" s="8"/>
    </row>
    <row r="3318" spans="6:14" x14ac:dyDescent="0.35">
      <c r="F3318" s="1"/>
      <c r="K3318" s="8" t="s">
        <v>291</v>
      </c>
      <c r="L3318" s="8" t="s">
        <v>1381</v>
      </c>
      <c r="M3318" s="8">
        <v>0</v>
      </c>
      <c r="N3318" s="8"/>
    </row>
    <row r="3319" spans="6:14" x14ac:dyDescent="0.35">
      <c r="F3319" s="1"/>
      <c r="K3319" s="8" t="s">
        <v>291</v>
      </c>
      <c r="L3319" s="8" t="s">
        <v>1382</v>
      </c>
      <c r="M3319" s="8">
        <v>0</v>
      </c>
      <c r="N3319" s="8"/>
    </row>
    <row r="3320" spans="6:14" x14ac:dyDescent="0.35">
      <c r="F3320" s="1"/>
      <c r="K3320" s="8" t="s">
        <v>291</v>
      </c>
      <c r="L3320" s="8" t="s">
        <v>380</v>
      </c>
      <c r="M3320" s="8">
        <v>0</v>
      </c>
      <c r="N3320" s="8"/>
    </row>
    <row r="3321" spans="6:14" x14ac:dyDescent="0.35">
      <c r="F3321" s="1"/>
      <c r="K3321" s="8" t="s">
        <v>291</v>
      </c>
      <c r="L3321" s="8" t="s">
        <v>2758</v>
      </c>
      <c r="M3321" s="8">
        <v>1</v>
      </c>
      <c r="N3321" s="8" t="s">
        <v>476</v>
      </c>
    </row>
    <row r="3322" spans="6:14" x14ac:dyDescent="0.35">
      <c r="F3322" s="1"/>
      <c r="K3322" s="8" t="s">
        <v>2063</v>
      </c>
      <c r="L3322" s="8" t="s">
        <v>365</v>
      </c>
      <c r="M3322" s="8">
        <v>1</v>
      </c>
      <c r="N3322" s="8"/>
    </row>
    <row r="3323" spans="6:14" x14ac:dyDescent="0.35">
      <c r="F3323" s="1"/>
      <c r="K3323" s="8" t="s">
        <v>2063</v>
      </c>
      <c r="L3323" s="8" t="s">
        <v>364</v>
      </c>
      <c r="M3323" s="8">
        <v>1</v>
      </c>
      <c r="N3323" s="8"/>
    </row>
    <row r="3324" spans="6:14" x14ac:dyDescent="0.35">
      <c r="F3324" s="1"/>
      <c r="K3324" s="8" t="s">
        <v>2063</v>
      </c>
      <c r="L3324" s="8" t="s">
        <v>363</v>
      </c>
      <c r="M3324" s="8">
        <v>1</v>
      </c>
      <c r="N3324" s="8"/>
    </row>
    <row r="3325" spans="6:14" x14ac:dyDescent="0.35">
      <c r="F3325" s="1"/>
      <c r="K3325" s="8" t="s">
        <v>2063</v>
      </c>
      <c r="L3325" s="8" t="s">
        <v>362</v>
      </c>
      <c r="M3325" s="8">
        <v>1</v>
      </c>
      <c r="N3325" s="8"/>
    </row>
    <row r="3326" spans="6:14" x14ac:dyDescent="0.35">
      <c r="F3326" s="1"/>
      <c r="K3326" s="8" t="s">
        <v>2063</v>
      </c>
      <c r="L3326" s="8" t="s">
        <v>358</v>
      </c>
      <c r="M3326" s="8">
        <v>1</v>
      </c>
      <c r="N3326" s="8"/>
    </row>
    <row r="3327" spans="6:14" x14ac:dyDescent="0.35">
      <c r="F3327" s="1"/>
      <c r="K3327" s="8" t="s">
        <v>2063</v>
      </c>
      <c r="L3327" s="8" t="s">
        <v>357</v>
      </c>
      <c r="M3327" s="8">
        <v>1</v>
      </c>
      <c r="N3327" s="8"/>
    </row>
    <row r="3328" spans="6:14" x14ac:dyDescent="0.35">
      <c r="F3328" s="1"/>
      <c r="K3328" s="8" t="s">
        <v>2063</v>
      </c>
      <c r="L3328" s="8" t="s">
        <v>2683</v>
      </c>
      <c r="M3328" s="8">
        <v>0</v>
      </c>
      <c r="N3328" s="8"/>
    </row>
    <row r="3329" spans="6:14" x14ac:dyDescent="0.35">
      <c r="F3329" s="1"/>
      <c r="K3329" s="8" t="s">
        <v>2063</v>
      </c>
      <c r="L3329" s="8" t="s">
        <v>2684</v>
      </c>
      <c r="M3329" s="8">
        <v>0</v>
      </c>
      <c r="N3329" s="8"/>
    </row>
    <row r="3330" spans="6:14" x14ac:dyDescent="0.35">
      <c r="F3330" s="1"/>
      <c r="K3330" s="8" t="s">
        <v>2063</v>
      </c>
      <c r="L3330" s="8" t="s">
        <v>2682</v>
      </c>
      <c r="M3330" s="8">
        <v>0</v>
      </c>
      <c r="N3330" s="8"/>
    </row>
    <row r="3331" spans="6:14" x14ac:dyDescent="0.35">
      <c r="F3331" s="1"/>
      <c r="K3331" s="8" t="s">
        <v>2063</v>
      </c>
      <c r="L3331" s="8" t="s">
        <v>356</v>
      </c>
      <c r="M3331" s="8">
        <v>1</v>
      </c>
      <c r="N3331" s="8"/>
    </row>
    <row r="3332" spans="6:14" x14ac:dyDescent="0.35">
      <c r="F3332" s="1"/>
      <c r="K3332" s="8" t="s">
        <v>2063</v>
      </c>
      <c r="L3332" s="8" t="s">
        <v>355</v>
      </c>
      <c r="M3332" s="8">
        <v>1</v>
      </c>
      <c r="N3332" s="8"/>
    </row>
    <row r="3333" spans="6:14" x14ac:dyDescent="0.35">
      <c r="F3333" s="1"/>
      <c r="K3333" s="8" t="s">
        <v>2063</v>
      </c>
      <c r="L3333" s="8" t="s">
        <v>2685</v>
      </c>
      <c r="M3333" s="8">
        <v>0</v>
      </c>
      <c r="N3333" s="8"/>
    </row>
    <row r="3334" spans="6:14" x14ac:dyDescent="0.35">
      <c r="F3334" s="1"/>
      <c r="K3334" s="8" t="s">
        <v>2063</v>
      </c>
      <c r="L3334" s="8" t="s">
        <v>2686</v>
      </c>
      <c r="M3334" s="8">
        <v>0</v>
      </c>
      <c r="N3334" s="8"/>
    </row>
    <row r="3335" spans="6:14" x14ac:dyDescent="0.35">
      <c r="F3335" s="1"/>
      <c r="K3335" s="8" t="s">
        <v>2065</v>
      </c>
      <c r="L3335" s="8" t="s">
        <v>365</v>
      </c>
      <c r="M3335" s="8">
        <v>1</v>
      </c>
      <c r="N3335" s="8"/>
    </row>
    <row r="3336" spans="6:14" x14ac:dyDescent="0.35">
      <c r="F3336" s="1"/>
      <c r="K3336" s="8" t="s">
        <v>2065</v>
      </c>
      <c r="L3336" s="8" t="s">
        <v>364</v>
      </c>
      <c r="M3336" s="8">
        <v>1</v>
      </c>
      <c r="N3336" s="8"/>
    </row>
    <row r="3337" spans="6:14" x14ac:dyDescent="0.35">
      <c r="F3337" s="1"/>
      <c r="K3337" s="8" t="s">
        <v>2065</v>
      </c>
      <c r="L3337" s="8" t="s">
        <v>363</v>
      </c>
      <c r="M3337" s="8">
        <v>1</v>
      </c>
      <c r="N3337" s="8"/>
    </row>
    <row r="3338" spans="6:14" x14ac:dyDescent="0.35">
      <c r="F3338" s="1"/>
      <c r="K3338" s="8" t="s">
        <v>2065</v>
      </c>
      <c r="L3338" s="8" t="s">
        <v>362</v>
      </c>
      <c r="M3338" s="8">
        <v>1</v>
      </c>
      <c r="N3338" s="8"/>
    </row>
    <row r="3339" spans="6:14" x14ac:dyDescent="0.35">
      <c r="F3339" s="1"/>
      <c r="K3339" s="8" t="s">
        <v>2065</v>
      </c>
      <c r="L3339" s="8" t="s">
        <v>358</v>
      </c>
      <c r="M3339" s="8">
        <v>1</v>
      </c>
      <c r="N3339" s="8"/>
    </row>
    <row r="3340" spans="6:14" x14ac:dyDescent="0.35">
      <c r="F3340" s="1"/>
      <c r="K3340" s="8" t="s">
        <v>2065</v>
      </c>
      <c r="L3340" s="8" t="s">
        <v>357</v>
      </c>
      <c r="M3340" s="8">
        <v>1</v>
      </c>
      <c r="N3340" s="8"/>
    </row>
    <row r="3341" spans="6:14" x14ac:dyDescent="0.35">
      <c r="F3341" s="1"/>
      <c r="K3341" s="8" t="s">
        <v>2065</v>
      </c>
      <c r="L3341" s="8" t="s">
        <v>369</v>
      </c>
      <c r="M3341" s="8">
        <v>1</v>
      </c>
      <c r="N3341" s="8"/>
    </row>
    <row r="3342" spans="6:14" x14ac:dyDescent="0.35">
      <c r="F3342" s="1"/>
      <c r="K3342" s="8" t="s">
        <v>2065</v>
      </c>
      <c r="L3342" s="8" t="s">
        <v>356</v>
      </c>
      <c r="M3342" s="8">
        <v>1</v>
      </c>
      <c r="N3342" s="8"/>
    </row>
    <row r="3343" spans="6:14" x14ac:dyDescent="0.35">
      <c r="F3343" s="1"/>
      <c r="K3343" s="8" t="s">
        <v>2065</v>
      </c>
      <c r="L3343" s="8" t="s">
        <v>2649</v>
      </c>
      <c r="M3343" s="8">
        <v>1</v>
      </c>
      <c r="N3343" s="8"/>
    </row>
    <row r="3344" spans="6:14" x14ac:dyDescent="0.35">
      <c r="F3344" s="1"/>
      <c r="K3344" s="8" t="s">
        <v>2065</v>
      </c>
      <c r="L3344" s="8" t="s">
        <v>355</v>
      </c>
      <c r="M3344" s="8">
        <v>1</v>
      </c>
      <c r="N3344" s="8"/>
    </row>
    <row r="3345" spans="6:14" x14ac:dyDescent="0.35">
      <c r="F3345" s="1"/>
      <c r="K3345" s="8" t="s">
        <v>2066</v>
      </c>
      <c r="L3345" s="8" t="s">
        <v>368</v>
      </c>
      <c r="M3345" s="8">
        <v>1</v>
      </c>
      <c r="N3345" s="8"/>
    </row>
    <row r="3346" spans="6:14" x14ac:dyDescent="0.35">
      <c r="F3346" s="1"/>
      <c r="K3346" s="8" t="s">
        <v>2066</v>
      </c>
      <c r="L3346" s="8" t="s">
        <v>367</v>
      </c>
      <c r="M3346" s="8">
        <v>1</v>
      </c>
      <c r="N3346" s="8"/>
    </row>
    <row r="3347" spans="6:14" x14ac:dyDescent="0.35">
      <c r="F3347" s="1"/>
      <c r="K3347" s="8" t="s">
        <v>2066</v>
      </c>
      <c r="L3347" s="8" t="s">
        <v>366</v>
      </c>
      <c r="M3347" s="8">
        <v>1</v>
      </c>
      <c r="N3347" s="8"/>
    </row>
    <row r="3348" spans="6:14" x14ac:dyDescent="0.35">
      <c r="F3348" s="1"/>
      <c r="K3348" s="8" t="s">
        <v>2066</v>
      </c>
      <c r="L3348" s="8" t="s">
        <v>362</v>
      </c>
      <c r="M3348" s="8">
        <v>1</v>
      </c>
      <c r="N3348" s="8"/>
    </row>
    <row r="3349" spans="6:14" x14ac:dyDescent="0.35">
      <c r="F3349" s="1"/>
      <c r="K3349" s="8" t="s">
        <v>2066</v>
      </c>
      <c r="L3349" s="8" t="s">
        <v>361</v>
      </c>
      <c r="M3349" s="8">
        <v>1</v>
      </c>
      <c r="N3349" s="8"/>
    </row>
    <row r="3350" spans="6:14" x14ac:dyDescent="0.35">
      <c r="F3350" s="1"/>
      <c r="K3350" s="8" t="s">
        <v>2066</v>
      </c>
      <c r="L3350" s="8" t="s">
        <v>360</v>
      </c>
      <c r="M3350" s="8">
        <v>1</v>
      </c>
      <c r="N3350" s="8"/>
    </row>
    <row r="3351" spans="6:14" x14ac:dyDescent="0.35">
      <c r="F3351" s="1"/>
      <c r="K3351" s="8" t="s">
        <v>2066</v>
      </c>
      <c r="L3351" s="8" t="s">
        <v>369</v>
      </c>
      <c r="M3351" s="8">
        <v>1</v>
      </c>
      <c r="N3351" s="8"/>
    </row>
    <row r="3352" spans="6:14" x14ac:dyDescent="0.35">
      <c r="F3352" s="1"/>
      <c r="K3352" s="8" t="s">
        <v>2066</v>
      </c>
      <c r="L3352" s="8" t="s">
        <v>359</v>
      </c>
      <c r="M3352" s="8">
        <v>1</v>
      </c>
      <c r="N3352" s="8"/>
    </row>
    <row r="3353" spans="6:14" x14ac:dyDescent="0.35">
      <c r="F3353" s="1"/>
      <c r="K3353" s="8" t="s">
        <v>2066</v>
      </c>
      <c r="L3353" s="8" t="s">
        <v>2765</v>
      </c>
      <c r="M3353" s="8">
        <v>1</v>
      </c>
      <c r="N3353" s="8"/>
    </row>
    <row r="3354" spans="6:14" x14ac:dyDescent="0.35">
      <c r="F3354" s="1"/>
      <c r="K3354" s="8" t="s">
        <v>2066</v>
      </c>
      <c r="L3354" s="8" t="s">
        <v>355</v>
      </c>
      <c r="M3354" s="8">
        <v>1</v>
      </c>
      <c r="N3354" s="8"/>
    </row>
    <row r="3355" spans="6:14" x14ac:dyDescent="0.35">
      <c r="F3355" s="1"/>
      <c r="K3355" s="8" t="s">
        <v>2067</v>
      </c>
      <c r="L3355" s="8" t="s">
        <v>356</v>
      </c>
      <c r="M3355" s="8">
        <v>1</v>
      </c>
      <c r="N3355" s="8"/>
    </row>
    <row r="3356" spans="6:14" x14ac:dyDescent="0.35">
      <c r="F3356" s="1"/>
      <c r="K3356" s="8" t="s">
        <v>2067</v>
      </c>
      <c r="L3356" s="8" t="s">
        <v>355</v>
      </c>
      <c r="M3356" s="8">
        <v>1</v>
      </c>
      <c r="N3356" s="8"/>
    </row>
    <row r="3357" spans="6:14" x14ac:dyDescent="0.35">
      <c r="F3357" s="1"/>
      <c r="K3357" s="8" t="s">
        <v>2067</v>
      </c>
      <c r="L3357" s="8" t="s">
        <v>373</v>
      </c>
      <c r="M3357" s="8">
        <v>1</v>
      </c>
      <c r="N3357" s="8"/>
    </row>
    <row r="3358" spans="6:14" x14ac:dyDescent="0.35">
      <c r="F3358" s="1"/>
      <c r="K3358" s="8" t="s">
        <v>2067</v>
      </c>
      <c r="L3358" s="8" t="s">
        <v>491</v>
      </c>
      <c r="M3358" s="8">
        <v>0</v>
      </c>
      <c r="N3358" s="8"/>
    </row>
    <row r="3359" spans="6:14" x14ac:dyDescent="0.35">
      <c r="F3359" s="1"/>
      <c r="K3359" s="8" t="s">
        <v>2067</v>
      </c>
      <c r="L3359" s="8" t="s">
        <v>492</v>
      </c>
      <c r="M3359" s="8">
        <v>0</v>
      </c>
      <c r="N3359" s="8"/>
    </row>
    <row r="3360" spans="6:14" x14ac:dyDescent="0.35">
      <c r="F3360" s="1"/>
      <c r="K3360" s="8" t="s">
        <v>2067</v>
      </c>
      <c r="L3360" s="8" t="s">
        <v>493</v>
      </c>
      <c r="M3360" s="8">
        <v>0</v>
      </c>
      <c r="N3360" s="8"/>
    </row>
    <row r="3361" spans="6:14" x14ac:dyDescent="0.35">
      <c r="F3361" s="1"/>
      <c r="K3361" s="8" t="s">
        <v>2067</v>
      </c>
      <c r="L3361" s="8" t="s">
        <v>494</v>
      </c>
      <c r="M3361" s="8">
        <v>0</v>
      </c>
      <c r="N3361" s="8"/>
    </row>
    <row r="3362" spans="6:14" x14ac:dyDescent="0.35">
      <c r="F3362" s="1"/>
      <c r="K3362" s="8" t="s">
        <v>2067</v>
      </c>
      <c r="L3362" s="8" t="s">
        <v>495</v>
      </c>
      <c r="M3362" s="8">
        <v>0</v>
      </c>
      <c r="N3362" s="8"/>
    </row>
    <row r="3363" spans="6:14" x14ac:dyDescent="0.35">
      <c r="F3363" s="1"/>
      <c r="K3363" s="8" t="s">
        <v>2068</v>
      </c>
      <c r="L3363" s="8" t="s">
        <v>359</v>
      </c>
      <c r="M3363" s="8">
        <v>1</v>
      </c>
      <c r="N3363" s="8"/>
    </row>
    <row r="3364" spans="6:14" x14ac:dyDescent="0.35">
      <c r="F3364" s="1"/>
      <c r="K3364" s="8" t="s">
        <v>2068</v>
      </c>
      <c r="L3364" s="8" t="s">
        <v>355</v>
      </c>
      <c r="M3364" s="8">
        <v>1</v>
      </c>
      <c r="N3364" s="8"/>
    </row>
    <row r="3365" spans="6:14" x14ac:dyDescent="0.35">
      <c r="F3365" s="1"/>
      <c r="K3365" s="8" t="s">
        <v>2068</v>
      </c>
      <c r="L3365" s="8" t="s">
        <v>373</v>
      </c>
      <c r="M3365" s="8">
        <v>1</v>
      </c>
      <c r="N3365" s="8"/>
    </row>
    <row r="3366" spans="6:14" x14ac:dyDescent="0.35">
      <c r="F3366" s="1"/>
      <c r="K3366" s="8" t="s">
        <v>2068</v>
      </c>
      <c r="L3366" s="8" t="s">
        <v>491</v>
      </c>
      <c r="M3366" s="8">
        <v>0</v>
      </c>
      <c r="N3366" s="8"/>
    </row>
    <row r="3367" spans="6:14" x14ac:dyDescent="0.35">
      <c r="F3367" s="1"/>
      <c r="K3367" s="8" t="s">
        <v>2068</v>
      </c>
      <c r="L3367" s="8" t="s">
        <v>492</v>
      </c>
      <c r="M3367" s="8">
        <v>0</v>
      </c>
      <c r="N3367" s="8"/>
    </row>
    <row r="3368" spans="6:14" x14ac:dyDescent="0.35">
      <c r="F3368" s="1"/>
      <c r="K3368" s="8" t="s">
        <v>2068</v>
      </c>
      <c r="L3368" s="8" t="s">
        <v>493</v>
      </c>
      <c r="M3368" s="8">
        <v>0</v>
      </c>
      <c r="N3368" s="8"/>
    </row>
    <row r="3369" spans="6:14" x14ac:dyDescent="0.35">
      <c r="F3369" s="1"/>
      <c r="K3369" s="8" t="s">
        <v>2068</v>
      </c>
      <c r="L3369" s="8" t="s">
        <v>494</v>
      </c>
      <c r="M3369" s="8">
        <v>0</v>
      </c>
      <c r="N3369" s="8"/>
    </row>
    <row r="3370" spans="6:14" x14ac:dyDescent="0.35">
      <c r="F3370" s="1"/>
      <c r="K3370" s="8" t="s">
        <v>2068</v>
      </c>
      <c r="L3370" s="8" t="s">
        <v>495</v>
      </c>
      <c r="M3370" s="8">
        <v>0</v>
      </c>
      <c r="N3370" s="8"/>
    </row>
    <row r="3371" spans="6:14" x14ac:dyDescent="0.35">
      <c r="F3371" s="1"/>
      <c r="K3371" s="8" t="s">
        <v>2069</v>
      </c>
      <c r="L3371" s="8" t="s">
        <v>365</v>
      </c>
      <c r="M3371" s="8">
        <v>1</v>
      </c>
      <c r="N3371" s="8"/>
    </row>
    <row r="3372" spans="6:14" x14ac:dyDescent="0.35">
      <c r="F3372" s="1"/>
      <c r="K3372" s="8" t="s">
        <v>2069</v>
      </c>
      <c r="L3372" s="8" t="s">
        <v>364</v>
      </c>
      <c r="M3372" s="8">
        <v>1</v>
      </c>
      <c r="N3372" s="8"/>
    </row>
    <row r="3373" spans="6:14" x14ac:dyDescent="0.35">
      <c r="F3373" s="1"/>
      <c r="K3373" s="8" t="s">
        <v>2069</v>
      </c>
      <c r="L3373" s="8" t="s">
        <v>363</v>
      </c>
      <c r="M3373" s="8">
        <v>1</v>
      </c>
      <c r="N3373" s="8"/>
    </row>
    <row r="3374" spans="6:14" x14ac:dyDescent="0.35">
      <c r="F3374" s="1"/>
      <c r="K3374" s="8" t="s">
        <v>2069</v>
      </c>
      <c r="L3374" s="8" t="s">
        <v>362</v>
      </c>
      <c r="M3374" s="8">
        <v>1</v>
      </c>
      <c r="N3374" s="8"/>
    </row>
    <row r="3375" spans="6:14" x14ac:dyDescent="0.35">
      <c r="F3375" s="1"/>
      <c r="K3375" s="8" t="s">
        <v>2069</v>
      </c>
      <c r="L3375" s="8" t="s">
        <v>358</v>
      </c>
      <c r="M3375" s="8">
        <v>1</v>
      </c>
      <c r="N3375" s="8"/>
    </row>
    <row r="3376" spans="6:14" x14ac:dyDescent="0.35">
      <c r="F3376" s="1"/>
      <c r="K3376" s="8" t="s">
        <v>2069</v>
      </c>
      <c r="L3376" s="8" t="s">
        <v>357</v>
      </c>
      <c r="M3376" s="8">
        <v>1</v>
      </c>
      <c r="N3376" s="8"/>
    </row>
    <row r="3377" spans="6:14" x14ac:dyDescent="0.35">
      <c r="F3377" s="1"/>
      <c r="K3377" s="8" t="s">
        <v>2069</v>
      </c>
      <c r="L3377" s="8" t="s">
        <v>356</v>
      </c>
      <c r="M3377" s="8">
        <v>1</v>
      </c>
      <c r="N3377" s="8"/>
    </row>
    <row r="3378" spans="6:14" x14ac:dyDescent="0.35">
      <c r="F3378" s="1"/>
      <c r="K3378" s="8" t="s">
        <v>2069</v>
      </c>
      <c r="L3378" s="8" t="s">
        <v>2648</v>
      </c>
      <c r="M3378" s="8">
        <v>0</v>
      </c>
      <c r="N3378" s="8"/>
    </row>
    <row r="3379" spans="6:14" x14ac:dyDescent="0.35">
      <c r="F3379" s="1"/>
      <c r="K3379" s="8" t="s">
        <v>2069</v>
      </c>
      <c r="L3379" s="8" t="s">
        <v>355</v>
      </c>
      <c r="M3379" s="8">
        <v>1</v>
      </c>
      <c r="N3379" s="8"/>
    </row>
    <row r="3380" spans="6:14" x14ac:dyDescent="0.35">
      <c r="F3380" s="1"/>
      <c r="K3380" s="8" t="s">
        <v>2078</v>
      </c>
      <c r="L3380" s="8" t="s">
        <v>2161</v>
      </c>
      <c r="M3380" s="8">
        <v>1</v>
      </c>
      <c r="N3380" s="8" t="s">
        <v>476</v>
      </c>
    </row>
    <row r="3381" spans="6:14" x14ac:dyDescent="0.35">
      <c r="F3381" s="1"/>
      <c r="K3381" s="8" t="s">
        <v>2078</v>
      </c>
      <c r="L3381" s="8" t="s">
        <v>2159</v>
      </c>
      <c r="M3381" s="8">
        <v>1</v>
      </c>
      <c r="N3381" s="8"/>
    </row>
    <row r="3382" spans="6:14" x14ac:dyDescent="0.35">
      <c r="F3382" s="1"/>
      <c r="K3382" s="8" t="s">
        <v>2078</v>
      </c>
      <c r="L3382" s="8" t="s">
        <v>2160</v>
      </c>
      <c r="M3382" s="8">
        <v>1</v>
      </c>
      <c r="N3382" s="8"/>
    </row>
    <row r="3383" spans="6:14" x14ac:dyDescent="0.35">
      <c r="F3383" s="1"/>
      <c r="K3383" s="8" t="s">
        <v>2078</v>
      </c>
      <c r="L3383" s="8" t="s">
        <v>2168</v>
      </c>
      <c r="M3383" s="8">
        <v>1</v>
      </c>
      <c r="N3383" s="8"/>
    </row>
    <row r="3384" spans="6:14" x14ac:dyDescent="0.35">
      <c r="F3384" s="1"/>
      <c r="K3384" s="8" t="s">
        <v>2078</v>
      </c>
      <c r="L3384" s="8" t="s">
        <v>2250</v>
      </c>
      <c r="M3384" s="8">
        <v>1</v>
      </c>
      <c r="N3384" s="8"/>
    </row>
    <row r="3385" spans="6:14" x14ac:dyDescent="0.35">
      <c r="F3385" s="1"/>
      <c r="K3385" s="8" t="s">
        <v>2078</v>
      </c>
      <c r="L3385" s="8" t="s">
        <v>2169</v>
      </c>
      <c r="M3385" s="8">
        <v>1</v>
      </c>
      <c r="N3385" s="8"/>
    </row>
    <row r="3386" spans="6:14" x14ac:dyDescent="0.35">
      <c r="F3386" s="1"/>
      <c r="K3386" s="8" t="s">
        <v>2078</v>
      </c>
      <c r="L3386" s="8" t="s">
        <v>2251</v>
      </c>
      <c r="M3386" s="8">
        <v>1</v>
      </c>
      <c r="N3386" s="8" t="s">
        <v>476</v>
      </c>
    </row>
    <row r="3387" spans="6:14" x14ac:dyDescent="0.35">
      <c r="F3387" s="1"/>
      <c r="K3387" s="8" t="s">
        <v>2079</v>
      </c>
      <c r="L3387" s="8" t="s">
        <v>358</v>
      </c>
      <c r="M3387" s="8">
        <v>1</v>
      </c>
      <c r="N3387" s="8"/>
    </row>
    <row r="3388" spans="6:14" x14ac:dyDescent="0.35">
      <c r="F3388" s="1"/>
      <c r="K3388" s="8" t="s">
        <v>2079</v>
      </c>
      <c r="L3388" s="8" t="s">
        <v>357</v>
      </c>
      <c r="M3388" s="8">
        <v>1</v>
      </c>
      <c r="N3388" s="8"/>
    </row>
    <row r="3389" spans="6:14" x14ac:dyDescent="0.35">
      <c r="F3389" s="1"/>
      <c r="K3389" s="8" t="s">
        <v>2079</v>
      </c>
      <c r="L3389" s="8" t="s">
        <v>356</v>
      </c>
      <c r="M3389" s="8">
        <v>1</v>
      </c>
      <c r="N3389" s="8"/>
    </row>
    <row r="3390" spans="6:14" x14ac:dyDescent="0.35">
      <c r="F3390" s="1"/>
      <c r="K3390" s="8" t="s">
        <v>2079</v>
      </c>
      <c r="L3390" s="8" t="s">
        <v>2658</v>
      </c>
      <c r="M3390" s="8">
        <v>1</v>
      </c>
      <c r="N3390" s="8"/>
    </row>
    <row r="3391" spans="6:14" x14ac:dyDescent="0.35">
      <c r="F3391" s="1"/>
      <c r="K3391" s="8" t="s">
        <v>2079</v>
      </c>
      <c r="L3391" s="8" t="s">
        <v>2659</v>
      </c>
      <c r="M3391" s="8">
        <v>1</v>
      </c>
      <c r="N3391" s="8" t="s">
        <v>517</v>
      </c>
    </row>
    <row r="3392" spans="6:14" x14ac:dyDescent="0.35">
      <c r="F3392" s="1"/>
      <c r="K3392" s="8" t="s">
        <v>2079</v>
      </c>
      <c r="L3392" s="8" t="s">
        <v>2660</v>
      </c>
      <c r="M3392" s="8">
        <v>0</v>
      </c>
      <c r="N3392" s="8" t="s">
        <v>476</v>
      </c>
    </row>
    <row r="3393" spans="6:14" x14ac:dyDescent="0.35">
      <c r="F3393" s="1"/>
      <c r="K3393" s="8" t="s">
        <v>2079</v>
      </c>
      <c r="L3393" s="8" t="s">
        <v>2661</v>
      </c>
      <c r="M3393" s="8">
        <v>0</v>
      </c>
      <c r="N3393" s="8" t="s">
        <v>476</v>
      </c>
    </row>
    <row r="3394" spans="6:14" x14ac:dyDescent="0.35">
      <c r="F3394" s="1"/>
      <c r="K3394" s="8" t="s">
        <v>2079</v>
      </c>
      <c r="L3394" s="8" t="s">
        <v>2662</v>
      </c>
      <c r="M3394" s="8">
        <v>1</v>
      </c>
      <c r="N3394" s="8"/>
    </row>
    <row r="3395" spans="6:14" x14ac:dyDescent="0.35">
      <c r="F3395" s="1"/>
      <c r="K3395" s="8" t="s">
        <v>2079</v>
      </c>
      <c r="L3395" s="8" t="s">
        <v>2663</v>
      </c>
      <c r="M3395" s="8">
        <v>0</v>
      </c>
      <c r="N3395" s="8"/>
    </row>
    <row r="3396" spans="6:14" x14ac:dyDescent="0.35">
      <c r="F3396" s="1"/>
      <c r="K3396" s="8" t="s">
        <v>2079</v>
      </c>
      <c r="L3396" s="8" t="s">
        <v>2664</v>
      </c>
      <c r="M3396" s="8">
        <v>0</v>
      </c>
      <c r="N3396" s="8"/>
    </row>
    <row r="3397" spans="6:14" x14ac:dyDescent="0.35">
      <c r="F3397" s="1"/>
      <c r="K3397" s="8" t="s">
        <v>2079</v>
      </c>
      <c r="L3397" s="8" t="s">
        <v>2665</v>
      </c>
      <c r="M3397" s="8">
        <v>1</v>
      </c>
      <c r="N3397" s="8" t="s">
        <v>476</v>
      </c>
    </row>
    <row r="3398" spans="6:14" x14ac:dyDescent="0.35">
      <c r="F3398" s="1"/>
      <c r="K3398" s="8" t="s">
        <v>2079</v>
      </c>
      <c r="L3398" s="8" t="s">
        <v>2666</v>
      </c>
      <c r="M3398" s="8">
        <v>0</v>
      </c>
      <c r="N3398" s="8"/>
    </row>
    <row r="3399" spans="6:14" x14ac:dyDescent="0.35">
      <c r="F3399" s="1"/>
      <c r="K3399" s="8" t="s">
        <v>2079</v>
      </c>
      <c r="L3399" s="8" t="s">
        <v>2667</v>
      </c>
      <c r="M3399" s="8">
        <v>0</v>
      </c>
      <c r="N3399" s="8"/>
    </row>
    <row r="3400" spans="6:14" x14ac:dyDescent="0.35">
      <c r="F3400" s="1"/>
      <c r="K3400" s="8" t="s">
        <v>2079</v>
      </c>
      <c r="L3400" s="8" t="s">
        <v>2668</v>
      </c>
      <c r="M3400" s="8">
        <v>0</v>
      </c>
      <c r="N3400" s="8"/>
    </row>
    <row r="3401" spans="6:14" x14ac:dyDescent="0.35">
      <c r="F3401" s="1"/>
      <c r="K3401" s="8" t="s">
        <v>2079</v>
      </c>
      <c r="L3401" s="8" t="s">
        <v>2669</v>
      </c>
      <c r="M3401" s="8">
        <v>1</v>
      </c>
      <c r="N3401" s="8" t="s">
        <v>764</v>
      </c>
    </row>
    <row r="3402" spans="6:14" x14ac:dyDescent="0.35">
      <c r="F3402" s="1"/>
      <c r="K3402" s="8" t="s">
        <v>2079</v>
      </c>
      <c r="L3402" s="8" t="s">
        <v>2670</v>
      </c>
      <c r="M3402" s="8">
        <v>0</v>
      </c>
      <c r="N3402" s="8"/>
    </row>
    <row r="3403" spans="6:14" x14ac:dyDescent="0.35">
      <c r="F3403" s="1"/>
      <c r="K3403" s="8" t="s">
        <v>2079</v>
      </c>
      <c r="L3403" s="8" t="s">
        <v>2671</v>
      </c>
      <c r="M3403" s="8">
        <v>0</v>
      </c>
      <c r="N3403" s="8"/>
    </row>
    <row r="3404" spans="6:14" x14ac:dyDescent="0.35">
      <c r="F3404" s="1"/>
      <c r="K3404" s="8" t="s">
        <v>2079</v>
      </c>
      <c r="L3404" s="8" t="s">
        <v>2672</v>
      </c>
      <c r="M3404" s="8">
        <v>0</v>
      </c>
      <c r="N3404" s="8"/>
    </row>
    <row r="3405" spans="6:14" x14ac:dyDescent="0.35">
      <c r="F3405" s="1"/>
      <c r="K3405" s="8" t="s">
        <v>2079</v>
      </c>
      <c r="L3405" s="8" t="s">
        <v>480</v>
      </c>
      <c r="M3405" s="8">
        <v>0</v>
      </c>
      <c r="N3405" s="8"/>
    </row>
    <row r="3406" spans="6:14" x14ac:dyDescent="0.35">
      <c r="F3406" s="1"/>
      <c r="K3406" s="8" t="s">
        <v>2079</v>
      </c>
      <c r="L3406" s="8" t="s">
        <v>481</v>
      </c>
      <c r="M3406" s="8">
        <v>0</v>
      </c>
      <c r="N3406" s="8"/>
    </row>
    <row r="3407" spans="6:14" x14ac:dyDescent="0.35">
      <c r="F3407" s="1"/>
      <c r="K3407" s="8" t="s">
        <v>2079</v>
      </c>
      <c r="L3407" s="8" t="s">
        <v>482</v>
      </c>
      <c r="M3407" s="8">
        <v>0</v>
      </c>
      <c r="N3407" s="8"/>
    </row>
    <row r="3408" spans="6:14" x14ac:dyDescent="0.35">
      <c r="F3408" s="1"/>
      <c r="K3408" s="8" t="s">
        <v>2079</v>
      </c>
      <c r="L3408" s="8" t="s">
        <v>483</v>
      </c>
      <c r="M3408" s="8">
        <v>0</v>
      </c>
      <c r="N3408" s="8"/>
    </row>
    <row r="3409" spans="6:14" x14ac:dyDescent="0.35">
      <c r="F3409" s="1"/>
      <c r="K3409" s="8" t="s">
        <v>2079</v>
      </c>
      <c r="L3409" s="8" t="s">
        <v>484</v>
      </c>
      <c r="M3409" s="8">
        <v>0</v>
      </c>
      <c r="N3409" s="8"/>
    </row>
    <row r="3410" spans="6:14" x14ac:dyDescent="0.35">
      <c r="F3410" s="1"/>
      <c r="K3410" s="8" t="s">
        <v>2079</v>
      </c>
      <c r="L3410" s="8" t="s">
        <v>375</v>
      </c>
      <c r="M3410" s="8">
        <v>1</v>
      </c>
      <c r="N3410" s="8"/>
    </row>
    <row r="3411" spans="6:14" x14ac:dyDescent="0.35">
      <c r="F3411" s="1"/>
      <c r="K3411" s="8" t="s">
        <v>2079</v>
      </c>
      <c r="L3411" s="8" t="s">
        <v>376</v>
      </c>
      <c r="M3411" s="8">
        <v>1</v>
      </c>
      <c r="N3411" s="8"/>
    </row>
    <row r="3412" spans="6:14" x14ac:dyDescent="0.35">
      <c r="F3412" s="1"/>
      <c r="K3412" s="8" t="s">
        <v>2079</v>
      </c>
      <c r="L3412" s="8" t="s">
        <v>355</v>
      </c>
      <c r="M3412" s="8">
        <v>1</v>
      </c>
      <c r="N3412" s="8"/>
    </row>
    <row r="3413" spans="6:14" x14ac:dyDescent="0.35">
      <c r="F3413" s="1"/>
      <c r="K3413" s="8" t="s">
        <v>2079</v>
      </c>
      <c r="L3413" s="8" t="s">
        <v>486</v>
      </c>
      <c r="M3413" s="8">
        <v>0</v>
      </c>
      <c r="N3413" s="8"/>
    </row>
    <row r="3414" spans="6:14" x14ac:dyDescent="0.35">
      <c r="F3414" s="1"/>
      <c r="K3414" s="8" t="s">
        <v>2079</v>
      </c>
      <c r="L3414" s="8" t="s">
        <v>487</v>
      </c>
      <c r="M3414" s="8">
        <v>0</v>
      </c>
      <c r="N3414" s="8"/>
    </row>
    <row r="3415" spans="6:14" x14ac:dyDescent="0.35">
      <c r="F3415" s="1"/>
      <c r="K3415" s="8" t="s">
        <v>2079</v>
      </c>
      <c r="L3415" s="8" t="s">
        <v>488</v>
      </c>
      <c r="M3415" s="8">
        <v>0</v>
      </c>
      <c r="N3415" s="8"/>
    </row>
    <row r="3416" spans="6:14" x14ac:dyDescent="0.35">
      <c r="F3416" s="1"/>
      <c r="K3416" s="8" t="s">
        <v>2079</v>
      </c>
      <c r="L3416" s="8" t="s">
        <v>489</v>
      </c>
      <c r="M3416" s="8">
        <v>0</v>
      </c>
      <c r="N3416" s="8"/>
    </row>
    <row r="3417" spans="6:14" x14ac:dyDescent="0.35">
      <c r="F3417" s="1"/>
      <c r="K3417" s="8" t="s">
        <v>2079</v>
      </c>
      <c r="L3417" s="8" t="s">
        <v>490</v>
      </c>
      <c r="M3417" s="8">
        <v>0</v>
      </c>
      <c r="N3417" s="8"/>
    </row>
    <row r="3418" spans="6:14" x14ac:dyDescent="0.35">
      <c r="F3418" s="1"/>
      <c r="K3418" s="8" t="s">
        <v>2079</v>
      </c>
      <c r="L3418" s="8" t="s">
        <v>491</v>
      </c>
      <c r="M3418" s="8">
        <v>0</v>
      </c>
      <c r="N3418" s="8"/>
    </row>
    <row r="3419" spans="6:14" x14ac:dyDescent="0.35">
      <c r="F3419" s="1"/>
      <c r="K3419" s="8" t="s">
        <v>2079</v>
      </c>
      <c r="L3419" s="8" t="s">
        <v>492</v>
      </c>
      <c r="M3419" s="8">
        <v>0</v>
      </c>
      <c r="N3419" s="8"/>
    </row>
    <row r="3420" spans="6:14" x14ac:dyDescent="0.35">
      <c r="F3420" s="1"/>
      <c r="K3420" s="8" t="s">
        <v>2079</v>
      </c>
      <c r="L3420" s="8" t="s">
        <v>493</v>
      </c>
      <c r="M3420" s="8">
        <v>0</v>
      </c>
      <c r="N3420" s="8"/>
    </row>
    <row r="3421" spans="6:14" x14ac:dyDescent="0.35">
      <c r="F3421" s="1"/>
      <c r="K3421" s="8" t="s">
        <v>2079</v>
      </c>
      <c r="L3421" s="8" t="s">
        <v>494</v>
      </c>
      <c r="M3421" s="8">
        <v>0</v>
      </c>
      <c r="N3421" s="8"/>
    </row>
    <row r="3422" spans="6:14" x14ac:dyDescent="0.35">
      <c r="F3422" s="1"/>
      <c r="K3422" s="8" t="s">
        <v>2079</v>
      </c>
      <c r="L3422" s="8" t="s">
        <v>495</v>
      </c>
      <c r="M3422" s="8">
        <v>0</v>
      </c>
      <c r="N3422" s="8"/>
    </row>
    <row r="3423" spans="6:14" x14ac:dyDescent="0.35">
      <c r="F3423" s="1"/>
      <c r="K3423" s="8" t="s">
        <v>2080</v>
      </c>
      <c r="L3423" s="8" t="s">
        <v>358</v>
      </c>
      <c r="M3423" s="8">
        <v>1</v>
      </c>
      <c r="N3423" s="8"/>
    </row>
    <row r="3424" spans="6:14" x14ac:dyDescent="0.35">
      <c r="F3424" s="1"/>
      <c r="K3424" s="8" t="s">
        <v>2080</v>
      </c>
      <c r="L3424" s="8" t="s">
        <v>357</v>
      </c>
      <c r="M3424" s="8">
        <v>1</v>
      </c>
      <c r="N3424" s="8"/>
    </row>
    <row r="3425" spans="6:14" x14ac:dyDescent="0.35">
      <c r="F3425" s="1"/>
      <c r="K3425" s="8" t="s">
        <v>2080</v>
      </c>
      <c r="L3425" s="8" t="s">
        <v>369</v>
      </c>
      <c r="M3425" s="8">
        <v>1</v>
      </c>
      <c r="N3425" s="8"/>
    </row>
    <row r="3426" spans="6:14" x14ac:dyDescent="0.35">
      <c r="F3426" s="1"/>
      <c r="K3426" s="8" t="s">
        <v>2080</v>
      </c>
      <c r="L3426" s="8" t="s">
        <v>356</v>
      </c>
      <c r="M3426" s="8">
        <v>1</v>
      </c>
      <c r="N3426" s="8"/>
    </row>
    <row r="3427" spans="6:14" x14ac:dyDescent="0.35">
      <c r="F3427" s="1"/>
      <c r="K3427" s="8" t="s">
        <v>2080</v>
      </c>
      <c r="L3427" s="8" t="s">
        <v>2673</v>
      </c>
      <c r="M3427" s="8">
        <v>0</v>
      </c>
      <c r="N3427" s="8"/>
    </row>
    <row r="3428" spans="6:14" x14ac:dyDescent="0.35">
      <c r="F3428" s="1"/>
      <c r="K3428" s="8" t="s">
        <v>2080</v>
      </c>
      <c r="L3428" s="8" t="s">
        <v>375</v>
      </c>
      <c r="M3428" s="8">
        <v>1</v>
      </c>
      <c r="N3428" s="8"/>
    </row>
    <row r="3429" spans="6:14" x14ac:dyDescent="0.35">
      <c r="F3429" s="1"/>
      <c r="K3429" s="8" t="s">
        <v>2080</v>
      </c>
      <c r="L3429" s="8" t="s">
        <v>376</v>
      </c>
      <c r="M3429" s="8">
        <v>1</v>
      </c>
      <c r="N3429" s="8"/>
    </row>
    <row r="3430" spans="6:14" x14ac:dyDescent="0.35">
      <c r="F3430" s="1"/>
      <c r="K3430" s="8" t="s">
        <v>2080</v>
      </c>
      <c r="L3430" s="8" t="s">
        <v>355</v>
      </c>
      <c r="M3430" s="8">
        <v>1</v>
      </c>
      <c r="N3430" s="8"/>
    </row>
    <row r="3431" spans="6:14" x14ac:dyDescent="0.35">
      <c r="F3431" s="1"/>
      <c r="K3431" s="8" t="s">
        <v>2081</v>
      </c>
      <c r="L3431" s="8" t="s">
        <v>361</v>
      </c>
      <c r="M3431" s="8">
        <v>1</v>
      </c>
      <c r="N3431" s="8"/>
    </row>
    <row r="3432" spans="6:14" x14ac:dyDescent="0.35">
      <c r="F3432" s="1"/>
      <c r="K3432" s="8" t="s">
        <v>2081</v>
      </c>
      <c r="L3432" s="8" t="s">
        <v>360</v>
      </c>
      <c r="M3432" s="8">
        <v>1</v>
      </c>
      <c r="N3432" s="8"/>
    </row>
    <row r="3433" spans="6:14" x14ac:dyDescent="0.35">
      <c r="F3433" s="1"/>
      <c r="K3433" s="8" t="s">
        <v>2081</v>
      </c>
      <c r="L3433" s="8" t="s">
        <v>369</v>
      </c>
      <c r="M3433" s="8">
        <v>1</v>
      </c>
      <c r="N3433" s="8"/>
    </row>
    <row r="3434" spans="6:14" x14ac:dyDescent="0.35">
      <c r="F3434" s="1"/>
      <c r="K3434" s="8" t="s">
        <v>2081</v>
      </c>
      <c r="L3434" s="8" t="s">
        <v>359</v>
      </c>
      <c r="M3434" s="8">
        <v>1</v>
      </c>
      <c r="N3434" s="8"/>
    </row>
    <row r="3435" spans="6:14" x14ac:dyDescent="0.35">
      <c r="F3435" s="1"/>
      <c r="K3435" s="8" t="s">
        <v>2081</v>
      </c>
      <c r="L3435" s="8" t="s">
        <v>2789</v>
      </c>
      <c r="M3435" s="8">
        <v>0</v>
      </c>
      <c r="N3435" s="8"/>
    </row>
    <row r="3436" spans="6:14" x14ac:dyDescent="0.35">
      <c r="F3436" s="1"/>
      <c r="K3436" s="8" t="s">
        <v>2081</v>
      </c>
      <c r="L3436" s="8" t="s">
        <v>375</v>
      </c>
      <c r="M3436" s="8">
        <v>1</v>
      </c>
      <c r="N3436" s="8"/>
    </row>
    <row r="3437" spans="6:14" x14ac:dyDescent="0.35">
      <c r="F3437" s="1"/>
      <c r="K3437" s="8" t="s">
        <v>2081</v>
      </c>
      <c r="L3437" s="8" t="s">
        <v>376</v>
      </c>
      <c r="M3437" s="8">
        <v>1</v>
      </c>
      <c r="N3437" s="8"/>
    </row>
    <row r="3438" spans="6:14" x14ac:dyDescent="0.35">
      <c r="F3438" s="1"/>
      <c r="K3438" s="8" t="s">
        <v>2081</v>
      </c>
      <c r="L3438" s="8" t="s">
        <v>355</v>
      </c>
      <c r="M3438" s="8">
        <v>1</v>
      </c>
      <c r="N3438" s="8"/>
    </row>
    <row r="3439" spans="6:14" x14ac:dyDescent="0.35">
      <c r="F3439" s="1"/>
      <c r="K3439" s="8" t="s">
        <v>2082</v>
      </c>
      <c r="L3439" s="8" t="s">
        <v>358</v>
      </c>
      <c r="M3439" s="8">
        <v>1</v>
      </c>
      <c r="N3439" s="8"/>
    </row>
    <row r="3440" spans="6:14" x14ac:dyDescent="0.35">
      <c r="F3440" s="1"/>
      <c r="K3440" s="8" t="s">
        <v>2082</v>
      </c>
      <c r="L3440" s="8" t="s">
        <v>357</v>
      </c>
      <c r="M3440" s="8">
        <v>1</v>
      </c>
      <c r="N3440" s="8"/>
    </row>
    <row r="3441" spans="6:14" x14ac:dyDescent="0.35">
      <c r="F3441" s="1"/>
      <c r="K3441" s="8" t="s">
        <v>2082</v>
      </c>
      <c r="L3441" s="8" t="s">
        <v>2674</v>
      </c>
      <c r="M3441" s="8">
        <v>0</v>
      </c>
      <c r="N3441" s="8"/>
    </row>
    <row r="3442" spans="6:14" x14ac:dyDescent="0.35">
      <c r="F3442" s="1"/>
      <c r="K3442" s="8" t="s">
        <v>2082</v>
      </c>
      <c r="L3442" s="8" t="s">
        <v>2675</v>
      </c>
      <c r="M3442" s="8">
        <v>0</v>
      </c>
      <c r="N3442" s="8"/>
    </row>
    <row r="3443" spans="6:14" x14ac:dyDescent="0.35">
      <c r="F3443" s="1"/>
      <c r="K3443" s="8" t="s">
        <v>2082</v>
      </c>
      <c r="L3443" s="8" t="s">
        <v>2676</v>
      </c>
      <c r="M3443" s="8">
        <v>0</v>
      </c>
      <c r="N3443" s="8"/>
    </row>
    <row r="3444" spans="6:14" x14ac:dyDescent="0.35">
      <c r="F3444" s="1"/>
      <c r="K3444" s="8" t="s">
        <v>2082</v>
      </c>
      <c r="L3444" s="8" t="s">
        <v>2677</v>
      </c>
      <c r="M3444" s="8">
        <v>0</v>
      </c>
      <c r="N3444" s="8"/>
    </row>
    <row r="3445" spans="6:14" x14ac:dyDescent="0.35">
      <c r="F3445" s="1"/>
      <c r="K3445" s="8" t="s">
        <v>2082</v>
      </c>
      <c r="L3445" s="8" t="s">
        <v>356</v>
      </c>
      <c r="M3445" s="8">
        <v>1</v>
      </c>
      <c r="N3445" s="8"/>
    </row>
    <row r="3446" spans="6:14" x14ac:dyDescent="0.35">
      <c r="F3446" s="1"/>
      <c r="K3446" s="8" t="s">
        <v>2082</v>
      </c>
      <c r="L3446" s="8" t="s">
        <v>480</v>
      </c>
      <c r="M3446" s="8">
        <v>0</v>
      </c>
      <c r="N3446" s="8"/>
    </row>
    <row r="3447" spans="6:14" x14ac:dyDescent="0.35">
      <c r="F3447" s="1"/>
      <c r="K3447" s="8" t="s">
        <v>2082</v>
      </c>
      <c r="L3447" s="8" t="s">
        <v>481</v>
      </c>
      <c r="M3447" s="8">
        <v>0</v>
      </c>
      <c r="N3447" s="8"/>
    </row>
    <row r="3448" spans="6:14" x14ac:dyDescent="0.35">
      <c r="F3448" s="1"/>
      <c r="K3448" s="8" t="s">
        <v>2082</v>
      </c>
      <c r="L3448" s="8" t="s">
        <v>482</v>
      </c>
      <c r="M3448" s="8">
        <v>0</v>
      </c>
      <c r="N3448" s="8"/>
    </row>
    <row r="3449" spans="6:14" x14ac:dyDescent="0.35">
      <c r="F3449" s="1"/>
      <c r="K3449" s="8" t="s">
        <v>2082</v>
      </c>
      <c r="L3449" s="8" t="s">
        <v>483</v>
      </c>
      <c r="M3449" s="8">
        <v>0</v>
      </c>
      <c r="N3449" s="8"/>
    </row>
    <row r="3450" spans="6:14" x14ac:dyDescent="0.35">
      <c r="F3450" s="1"/>
      <c r="K3450" s="8" t="s">
        <v>2082</v>
      </c>
      <c r="L3450" s="8" t="s">
        <v>484</v>
      </c>
      <c r="M3450" s="8">
        <v>0</v>
      </c>
      <c r="N3450" s="8"/>
    </row>
    <row r="3451" spans="6:14" x14ac:dyDescent="0.35">
      <c r="F3451" s="1"/>
      <c r="K3451" s="8" t="s">
        <v>2082</v>
      </c>
      <c r="L3451" s="8" t="s">
        <v>375</v>
      </c>
      <c r="M3451" s="8">
        <v>1</v>
      </c>
      <c r="N3451" s="8"/>
    </row>
    <row r="3452" spans="6:14" x14ac:dyDescent="0.35">
      <c r="F3452" s="1"/>
      <c r="K3452" s="8" t="s">
        <v>2082</v>
      </c>
      <c r="L3452" s="8" t="s">
        <v>376</v>
      </c>
      <c r="M3452" s="8">
        <v>1</v>
      </c>
      <c r="N3452" s="8"/>
    </row>
    <row r="3453" spans="6:14" x14ac:dyDescent="0.35">
      <c r="F3453" s="1"/>
      <c r="K3453" s="8" t="s">
        <v>2082</v>
      </c>
      <c r="L3453" s="8" t="s">
        <v>355</v>
      </c>
      <c r="M3453" s="8">
        <v>1</v>
      </c>
      <c r="N3453" s="8"/>
    </row>
    <row r="3454" spans="6:14" x14ac:dyDescent="0.35">
      <c r="F3454" s="1"/>
      <c r="K3454" s="8" t="s">
        <v>2082</v>
      </c>
      <c r="L3454" s="8" t="s">
        <v>372</v>
      </c>
      <c r="M3454" s="8">
        <v>1</v>
      </c>
      <c r="N3454" s="8"/>
    </row>
    <row r="3455" spans="6:14" x14ac:dyDescent="0.35">
      <c r="F3455" s="1"/>
      <c r="K3455" s="8" t="s">
        <v>2082</v>
      </c>
      <c r="L3455" s="8" t="s">
        <v>486</v>
      </c>
      <c r="M3455" s="8">
        <v>0</v>
      </c>
      <c r="N3455" s="8"/>
    </row>
    <row r="3456" spans="6:14" x14ac:dyDescent="0.35">
      <c r="F3456" s="1"/>
      <c r="K3456" s="8" t="s">
        <v>2082</v>
      </c>
      <c r="L3456" s="8" t="s">
        <v>487</v>
      </c>
      <c r="M3456" s="8">
        <v>0</v>
      </c>
      <c r="N3456" s="8"/>
    </row>
    <row r="3457" spans="6:14" x14ac:dyDescent="0.35">
      <c r="F3457" s="1"/>
      <c r="K3457" s="8" t="s">
        <v>2082</v>
      </c>
      <c r="L3457" s="8" t="s">
        <v>488</v>
      </c>
      <c r="M3457" s="8">
        <v>0</v>
      </c>
      <c r="N3457" s="8"/>
    </row>
    <row r="3458" spans="6:14" x14ac:dyDescent="0.35">
      <c r="F3458" s="1"/>
      <c r="K3458" s="8" t="s">
        <v>2082</v>
      </c>
      <c r="L3458" s="8" t="s">
        <v>489</v>
      </c>
      <c r="M3458" s="8">
        <v>0</v>
      </c>
      <c r="N3458" s="8"/>
    </row>
    <row r="3459" spans="6:14" x14ac:dyDescent="0.35">
      <c r="F3459" s="1"/>
      <c r="K3459" s="8" t="s">
        <v>2082</v>
      </c>
      <c r="L3459" s="8" t="s">
        <v>490</v>
      </c>
      <c r="M3459" s="8">
        <v>0</v>
      </c>
      <c r="N3459" s="8"/>
    </row>
    <row r="3460" spans="6:14" x14ac:dyDescent="0.35">
      <c r="F3460" s="1"/>
      <c r="K3460" s="8" t="s">
        <v>2082</v>
      </c>
      <c r="L3460" s="8" t="s">
        <v>491</v>
      </c>
      <c r="M3460" s="8">
        <v>0</v>
      </c>
      <c r="N3460" s="8"/>
    </row>
    <row r="3461" spans="6:14" x14ac:dyDescent="0.35">
      <c r="F3461" s="1"/>
      <c r="K3461" s="8" t="s">
        <v>2082</v>
      </c>
      <c r="L3461" s="8" t="s">
        <v>492</v>
      </c>
      <c r="M3461" s="8">
        <v>0</v>
      </c>
      <c r="N3461" s="8"/>
    </row>
    <row r="3462" spans="6:14" x14ac:dyDescent="0.35">
      <c r="F3462" s="1"/>
      <c r="K3462" s="8" t="s">
        <v>2082</v>
      </c>
      <c r="L3462" s="8" t="s">
        <v>493</v>
      </c>
      <c r="M3462" s="8">
        <v>0</v>
      </c>
      <c r="N3462" s="8"/>
    </row>
    <row r="3463" spans="6:14" x14ac:dyDescent="0.35">
      <c r="F3463" s="1"/>
      <c r="K3463" s="8" t="s">
        <v>2082</v>
      </c>
      <c r="L3463" s="8" t="s">
        <v>494</v>
      </c>
      <c r="M3463" s="8">
        <v>0</v>
      </c>
      <c r="N3463" s="8"/>
    </row>
    <row r="3464" spans="6:14" x14ac:dyDescent="0.35">
      <c r="F3464" s="1"/>
      <c r="K3464" s="8" t="s">
        <v>2082</v>
      </c>
      <c r="L3464" s="8" t="s">
        <v>495</v>
      </c>
      <c r="M3464" s="8">
        <v>0</v>
      </c>
      <c r="N3464" s="8"/>
    </row>
    <row r="3465" spans="6:14" x14ac:dyDescent="0.35">
      <c r="F3465" s="1"/>
      <c r="K3465" s="8" t="s">
        <v>2083</v>
      </c>
      <c r="L3465" s="8" t="s">
        <v>2678</v>
      </c>
      <c r="M3465" s="8">
        <v>0</v>
      </c>
      <c r="N3465" s="8"/>
    </row>
    <row r="3466" spans="6:14" x14ac:dyDescent="0.35">
      <c r="F3466" s="1"/>
      <c r="K3466" s="8" t="s">
        <v>2083</v>
      </c>
      <c r="L3466" s="8" t="s">
        <v>701</v>
      </c>
      <c r="M3466" s="8">
        <v>0</v>
      </c>
      <c r="N3466" s="8"/>
    </row>
    <row r="3467" spans="6:14" x14ac:dyDescent="0.35">
      <c r="F3467" s="1"/>
      <c r="K3467" s="8" t="s">
        <v>2083</v>
      </c>
      <c r="L3467" s="8" t="s">
        <v>358</v>
      </c>
      <c r="M3467" s="8">
        <v>1</v>
      </c>
      <c r="N3467" s="8"/>
    </row>
    <row r="3468" spans="6:14" x14ac:dyDescent="0.35">
      <c r="F3468" s="1"/>
      <c r="K3468" s="8" t="s">
        <v>2083</v>
      </c>
      <c r="L3468" s="8" t="s">
        <v>357</v>
      </c>
      <c r="M3468" s="8">
        <v>1</v>
      </c>
      <c r="N3468" s="8"/>
    </row>
    <row r="3469" spans="6:14" x14ac:dyDescent="0.35">
      <c r="F3469" s="1"/>
      <c r="K3469" s="8" t="s">
        <v>2083</v>
      </c>
      <c r="L3469" s="8" t="s">
        <v>702</v>
      </c>
      <c r="M3469" s="8">
        <v>1</v>
      </c>
      <c r="N3469" s="8" t="s">
        <v>476</v>
      </c>
    </row>
    <row r="3470" spans="6:14" x14ac:dyDescent="0.35">
      <c r="F3470" s="1"/>
      <c r="K3470" s="8" t="s">
        <v>2083</v>
      </c>
      <c r="L3470" s="8" t="s">
        <v>703</v>
      </c>
      <c r="M3470" s="8">
        <v>1</v>
      </c>
      <c r="N3470" s="8" t="s">
        <v>476</v>
      </c>
    </row>
    <row r="3471" spans="6:14" x14ac:dyDescent="0.35">
      <c r="F3471" s="1"/>
      <c r="K3471" s="8" t="s">
        <v>2083</v>
      </c>
      <c r="L3471" s="8" t="s">
        <v>356</v>
      </c>
      <c r="M3471" s="8">
        <v>1</v>
      </c>
      <c r="N3471" s="8"/>
    </row>
    <row r="3472" spans="6:14" x14ac:dyDescent="0.35">
      <c r="F3472" s="1"/>
      <c r="K3472" s="8" t="s">
        <v>2083</v>
      </c>
      <c r="L3472" s="8" t="s">
        <v>480</v>
      </c>
      <c r="M3472" s="8">
        <v>0</v>
      </c>
      <c r="N3472" s="8"/>
    </row>
    <row r="3473" spans="6:14" x14ac:dyDescent="0.35">
      <c r="F3473" s="1"/>
      <c r="K3473" s="8" t="s">
        <v>2083</v>
      </c>
      <c r="L3473" s="8" t="s">
        <v>481</v>
      </c>
      <c r="M3473" s="8">
        <v>0</v>
      </c>
      <c r="N3473" s="8"/>
    </row>
    <row r="3474" spans="6:14" x14ac:dyDescent="0.35">
      <c r="F3474" s="1"/>
      <c r="K3474" s="8" t="s">
        <v>2083</v>
      </c>
      <c r="L3474" s="8" t="s">
        <v>482</v>
      </c>
      <c r="M3474" s="8">
        <v>0</v>
      </c>
      <c r="N3474" s="8"/>
    </row>
    <row r="3475" spans="6:14" x14ac:dyDescent="0.35">
      <c r="F3475" s="1"/>
      <c r="K3475" s="8" t="s">
        <v>2083</v>
      </c>
      <c r="L3475" s="8" t="s">
        <v>483</v>
      </c>
      <c r="M3475" s="8">
        <v>0</v>
      </c>
      <c r="N3475" s="8"/>
    </row>
    <row r="3476" spans="6:14" x14ac:dyDescent="0.35">
      <c r="F3476" s="1"/>
      <c r="K3476" s="8" t="s">
        <v>2083</v>
      </c>
      <c r="L3476" s="8" t="s">
        <v>484</v>
      </c>
      <c r="M3476" s="8">
        <v>0</v>
      </c>
      <c r="N3476" s="8"/>
    </row>
    <row r="3477" spans="6:14" x14ac:dyDescent="0.35">
      <c r="F3477" s="1"/>
      <c r="K3477" s="8" t="s">
        <v>2083</v>
      </c>
      <c r="L3477" s="8" t="s">
        <v>375</v>
      </c>
      <c r="M3477" s="8">
        <v>1</v>
      </c>
      <c r="N3477" s="8"/>
    </row>
    <row r="3478" spans="6:14" x14ac:dyDescent="0.35">
      <c r="F3478" s="1"/>
      <c r="K3478" s="8" t="s">
        <v>2083</v>
      </c>
      <c r="L3478" s="8" t="s">
        <v>376</v>
      </c>
      <c r="M3478" s="8">
        <v>1</v>
      </c>
      <c r="N3478" s="8"/>
    </row>
    <row r="3479" spans="6:14" x14ac:dyDescent="0.35">
      <c r="F3479" s="1"/>
      <c r="K3479" s="8" t="s">
        <v>2083</v>
      </c>
      <c r="L3479" s="8" t="s">
        <v>355</v>
      </c>
      <c r="M3479" s="8">
        <v>1</v>
      </c>
      <c r="N3479" s="8"/>
    </row>
    <row r="3480" spans="6:14" x14ac:dyDescent="0.35">
      <c r="F3480" s="1"/>
      <c r="K3480" s="8" t="s">
        <v>2083</v>
      </c>
      <c r="L3480" s="8" t="s">
        <v>372</v>
      </c>
      <c r="M3480" s="8">
        <v>1</v>
      </c>
      <c r="N3480" s="8"/>
    </row>
    <row r="3481" spans="6:14" x14ac:dyDescent="0.35">
      <c r="F3481" s="1"/>
      <c r="K3481" s="8" t="s">
        <v>2083</v>
      </c>
      <c r="L3481" s="8" t="s">
        <v>486</v>
      </c>
      <c r="M3481" s="8">
        <v>0</v>
      </c>
      <c r="N3481" s="8"/>
    </row>
    <row r="3482" spans="6:14" x14ac:dyDescent="0.35">
      <c r="F3482" s="1"/>
      <c r="K3482" s="8" t="s">
        <v>2083</v>
      </c>
      <c r="L3482" s="8" t="s">
        <v>487</v>
      </c>
      <c r="M3482" s="8">
        <v>0</v>
      </c>
      <c r="N3482" s="8"/>
    </row>
    <row r="3483" spans="6:14" x14ac:dyDescent="0.35">
      <c r="F3483" s="1"/>
      <c r="K3483" s="8" t="s">
        <v>2083</v>
      </c>
      <c r="L3483" s="8" t="s">
        <v>488</v>
      </c>
      <c r="M3483" s="8">
        <v>0</v>
      </c>
      <c r="N3483" s="8"/>
    </row>
    <row r="3484" spans="6:14" x14ac:dyDescent="0.35">
      <c r="F3484" s="1"/>
      <c r="K3484" s="8" t="s">
        <v>2083</v>
      </c>
      <c r="L3484" s="8" t="s">
        <v>489</v>
      </c>
      <c r="M3484" s="8">
        <v>0</v>
      </c>
      <c r="N3484" s="8"/>
    </row>
    <row r="3485" spans="6:14" x14ac:dyDescent="0.35">
      <c r="F3485" s="1"/>
      <c r="K3485" s="8" t="s">
        <v>2083</v>
      </c>
      <c r="L3485" s="8" t="s">
        <v>490</v>
      </c>
      <c r="M3485" s="8">
        <v>0</v>
      </c>
      <c r="N3485" s="8"/>
    </row>
    <row r="3486" spans="6:14" x14ac:dyDescent="0.35">
      <c r="F3486" s="1"/>
      <c r="K3486" s="8" t="s">
        <v>2083</v>
      </c>
      <c r="L3486" s="8" t="s">
        <v>491</v>
      </c>
      <c r="M3486" s="8">
        <v>0</v>
      </c>
      <c r="N3486" s="8"/>
    </row>
    <row r="3487" spans="6:14" x14ac:dyDescent="0.35">
      <c r="F3487" s="1"/>
      <c r="K3487" s="8" t="s">
        <v>2083</v>
      </c>
      <c r="L3487" s="8" t="s">
        <v>492</v>
      </c>
      <c r="M3487" s="8">
        <v>0</v>
      </c>
      <c r="N3487" s="8"/>
    </row>
    <row r="3488" spans="6:14" x14ac:dyDescent="0.35">
      <c r="F3488" s="1"/>
      <c r="K3488" s="8" t="s">
        <v>2083</v>
      </c>
      <c r="L3488" s="8" t="s">
        <v>493</v>
      </c>
      <c r="M3488" s="8">
        <v>0</v>
      </c>
      <c r="N3488" s="8"/>
    </row>
    <row r="3489" spans="6:14" x14ac:dyDescent="0.35">
      <c r="F3489" s="1"/>
      <c r="K3489" s="8" t="s">
        <v>2083</v>
      </c>
      <c r="L3489" s="8" t="s">
        <v>494</v>
      </c>
      <c r="M3489" s="8">
        <v>0</v>
      </c>
      <c r="N3489" s="8"/>
    </row>
    <row r="3490" spans="6:14" x14ac:dyDescent="0.35">
      <c r="F3490" s="1"/>
      <c r="K3490" s="8" t="s">
        <v>2083</v>
      </c>
      <c r="L3490" s="8" t="s">
        <v>495</v>
      </c>
      <c r="M3490" s="8">
        <v>0</v>
      </c>
      <c r="N3490" s="8"/>
    </row>
    <row r="3491" spans="6:14" x14ac:dyDescent="0.35">
      <c r="F3491" s="1"/>
      <c r="K3491" s="8" t="s">
        <v>2083</v>
      </c>
      <c r="L3491" s="8" t="s">
        <v>704</v>
      </c>
      <c r="M3491" s="8">
        <v>1</v>
      </c>
      <c r="N3491" s="8" t="s">
        <v>476</v>
      </c>
    </row>
    <row r="3492" spans="6:14" x14ac:dyDescent="0.35">
      <c r="F3492" s="1"/>
      <c r="K3492" s="8" t="s">
        <v>2083</v>
      </c>
      <c r="L3492" s="8" t="s">
        <v>705</v>
      </c>
      <c r="M3492" s="8">
        <v>1</v>
      </c>
      <c r="N3492" s="8" t="s">
        <v>476</v>
      </c>
    </row>
    <row r="3493" spans="6:14" x14ac:dyDescent="0.35">
      <c r="F3493" s="1"/>
      <c r="K3493" s="8" t="s">
        <v>2084</v>
      </c>
      <c r="L3493" s="8" t="s">
        <v>2794</v>
      </c>
      <c r="M3493" s="8">
        <v>0</v>
      </c>
      <c r="N3493" s="8" t="s">
        <v>476</v>
      </c>
    </row>
    <row r="3494" spans="6:14" x14ac:dyDescent="0.35">
      <c r="F3494" s="1"/>
      <c r="K3494" s="8" t="s">
        <v>2084</v>
      </c>
      <c r="L3494" s="8" t="s">
        <v>2795</v>
      </c>
      <c r="M3494" s="8">
        <v>0</v>
      </c>
      <c r="N3494" s="8"/>
    </row>
    <row r="3495" spans="6:14" x14ac:dyDescent="0.35">
      <c r="F3495" s="1"/>
      <c r="K3495" s="8" t="s">
        <v>2084</v>
      </c>
      <c r="L3495" s="8" t="s">
        <v>361</v>
      </c>
      <c r="M3495" s="8">
        <v>1</v>
      </c>
      <c r="N3495" s="8"/>
    </row>
    <row r="3496" spans="6:14" x14ac:dyDescent="0.35">
      <c r="F3496" s="1"/>
      <c r="K3496" s="8" t="s">
        <v>2084</v>
      </c>
      <c r="L3496" s="8" t="s">
        <v>360</v>
      </c>
      <c r="M3496" s="8">
        <v>1</v>
      </c>
      <c r="N3496" s="8"/>
    </row>
    <row r="3497" spans="6:14" x14ac:dyDescent="0.35">
      <c r="F3497" s="1"/>
      <c r="K3497" s="8" t="s">
        <v>2084</v>
      </c>
      <c r="L3497" s="8" t="s">
        <v>2796</v>
      </c>
      <c r="M3497" s="8">
        <v>1</v>
      </c>
      <c r="N3497" s="8" t="s">
        <v>476</v>
      </c>
    </row>
    <row r="3498" spans="6:14" x14ac:dyDescent="0.35">
      <c r="F3498" s="1"/>
      <c r="K3498" s="8" t="s">
        <v>2084</v>
      </c>
      <c r="L3498" s="8" t="s">
        <v>2797</v>
      </c>
      <c r="M3498" s="8">
        <v>1</v>
      </c>
      <c r="N3498" s="8" t="s">
        <v>476</v>
      </c>
    </row>
    <row r="3499" spans="6:14" x14ac:dyDescent="0.35">
      <c r="F3499" s="1"/>
      <c r="K3499" s="8" t="s">
        <v>2084</v>
      </c>
      <c r="L3499" s="8" t="s">
        <v>359</v>
      </c>
      <c r="M3499" s="8">
        <v>1</v>
      </c>
      <c r="N3499" s="8"/>
    </row>
    <row r="3500" spans="6:14" x14ac:dyDescent="0.35">
      <c r="F3500" s="1"/>
      <c r="K3500" s="8" t="s">
        <v>2084</v>
      </c>
      <c r="L3500" s="8" t="s">
        <v>1350</v>
      </c>
      <c r="M3500" s="8">
        <v>0</v>
      </c>
      <c r="N3500" s="8"/>
    </row>
    <row r="3501" spans="6:14" x14ac:dyDescent="0.35">
      <c r="F3501" s="1"/>
      <c r="K3501" s="8" t="s">
        <v>2084</v>
      </c>
      <c r="L3501" s="8" t="s">
        <v>1351</v>
      </c>
      <c r="M3501" s="8">
        <v>0</v>
      </c>
      <c r="N3501" s="8"/>
    </row>
    <row r="3502" spans="6:14" x14ac:dyDescent="0.35">
      <c r="F3502" s="1"/>
      <c r="K3502" s="8" t="s">
        <v>2084</v>
      </c>
      <c r="L3502" s="8" t="s">
        <v>1352</v>
      </c>
      <c r="M3502" s="8">
        <v>0</v>
      </c>
      <c r="N3502" s="8"/>
    </row>
    <row r="3503" spans="6:14" x14ac:dyDescent="0.35">
      <c r="F3503" s="1"/>
      <c r="K3503" s="8" t="s">
        <v>2084</v>
      </c>
      <c r="L3503" s="8" t="s">
        <v>1353</v>
      </c>
      <c r="M3503" s="8">
        <v>0</v>
      </c>
      <c r="N3503" s="8"/>
    </row>
    <row r="3504" spans="6:14" x14ac:dyDescent="0.35">
      <c r="F3504" s="1"/>
      <c r="K3504" s="8" t="s">
        <v>2084</v>
      </c>
      <c r="L3504" s="8" t="s">
        <v>1354</v>
      </c>
      <c r="M3504" s="8">
        <v>0</v>
      </c>
      <c r="N3504" s="8"/>
    </row>
    <row r="3505" spans="6:14" x14ac:dyDescent="0.35">
      <c r="F3505" s="1"/>
      <c r="K3505" s="8" t="s">
        <v>2084</v>
      </c>
      <c r="L3505" s="8" t="s">
        <v>375</v>
      </c>
      <c r="M3505" s="8">
        <v>1</v>
      </c>
      <c r="N3505" s="8"/>
    </row>
    <row r="3506" spans="6:14" x14ac:dyDescent="0.35">
      <c r="F3506" s="1"/>
      <c r="K3506" s="8" t="s">
        <v>2084</v>
      </c>
      <c r="L3506" s="8" t="s">
        <v>376</v>
      </c>
      <c r="M3506" s="8">
        <v>1</v>
      </c>
      <c r="N3506" s="8"/>
    </row>
    <row r="3507" spans="6:14" x14ac:dyDescent="0.35">
      <c r="F3507" s="1"/>
      <c r="K3507" s="8" t="s">
        <v>2084</v>
      </c>
      <c r="L3507" s="8" t="s">
        <v>355</v>
      </c>
      <c r="M3507" s="8">
        <v>1</v>
      </c>
      <c r="N3507" s="8"/>
    </row>
    <row r="3508" spans="6:14" x14ac:dyDescent="0.35">
      <c r="F3508" s="1"/>
      <c r="K3508" s="8" t="s">
        <v>2084</v>
      </c>
      <c r="L3508" s="8" t="s">
        <v>372</v>
      </c>
      <c r="M3508" s="8">
        <v>1</v>
      </c>
      <c r="N3508" s="8"/>
    </row>
    <row r="3509" spans="6:14" x14ac:dyDescent="0.35">
      <c r="F3509" s="1"/>
      <c r="K3509" s="8" t="s">
        <v>2084</v>
      </c>
      <c r="L3509" s="8" t="s">
        <v>1363</v>
      </c>
      <c r="M3509" s="8">
        <v>0</v>
      </c>
      <c r="N3509" s="8"/>
    </row>
    <row r="3510" spans="6:14" x14ac:dyDescent="0.35">
      <c r="F3510" s="1"/>
      <c r="K3510" s="8" t="s">
        <v>2084</v>
      </c>
      <c r="L3510" s="8" t="s">
        <v>1364</v>
      </c>
      <c r="M3510" s="8">
        <v>0</v>
      </c>
      <c r="N3510" s="8"/>
    </row>
    <row r="3511" spans="6:14" x14ac:dyDescent="0.35">
      <c r="F3511" s="1"/>
      <c r="K3511" s="8" t="s">
        <v>2084</v>
      </c>
      <c r="L3511" s="8" t="s">
        <v>1365</v>
      </c>
      <c r="M3511" s="8">
        <v>0</v>
      </c>
      <c r="N3511" s="8"/>
    </row>
    <row r="3512" spans="6:14" x14ac:dyDescent="0.35">
      <c r="F3512" s="1"/>
      <c r="K3512" s="8" t="s">
        <v>2084</v>
      </c>
      <c r="L3512" s="8" t="s">
        <v>1366</v>
      </c>
      <c r="M3512" s="8">
        <v>0</v>
      </c>
      <c r="N3512" s="8"/>
    </row>
    <row r="3513" spans="6:14" x14ac:dyDescent="0.35">
      <c r="F3513" s="1"/>
      <c r="K3513" s="8" t="s">
        <v>2084</v>
      </c>
      <c r="L3513" s="8" t="s">
        <v>1367</v>
      </c>
      <c r="M3513" s="8">
        <v>0</v>
      </c>
      <c r="N3513" s="8"/>
    </row>
    <row r="3514" spans="6:14" x14ac:dyDescent="0.35">
      <c r="F3514" s="1"/>
      <c r="K3514" s="8" t="s">
        <v>2084</v>
      </c>
      <c r="L3514" s="8" t="s">
        <v>1370</v>
      </c>
      <c r="M3514" s="8">
        <v>0</v>
      </c>
      <c r="N3514" s="8"/>
    </row>
    <row r="3515" spans="6:14" x14ac:dyDescent="0.35">
      <c r="F3515" s="1"/>
      <c r="K3515" s="8" t="s">
        <v>2084</v>
      </c>
      <c r="L3515" s="8" t="s">
        <v>1371</v>
      </c>
      <c r="M3515" s="8">
        <v>0</v>
      </c>
      <c r="N3515" s="8"/>
    </row>
    <row r="3516" spans="6:14" x14ac:dyDescent="0.35">
      <c r="F3516" s="1"/>
      <c r="K3516" s="8" t="s">
        <v>2084</v>
      </c>
      <c r="L3516" s="8" t="s">
        <v>1379</v>
      </c>
      <c r="M3516" s="8">
        <v>0</v>
      </c>
      <c r="N3516" s="8"/>
    </row>
    <row r="3517" spans="6:14" x14ac:dyDescent="0.35">
      <c r="F3517" s="1"/>
      <c r="K3517" s="8" t="s">
        <v>2084</v>
      </c>
      <c r="L3517" s="8" t="s">
        <v>1380</v>
      </c>
      <c r="M3517" s="8">
        <v>0</v>
      </c>
      <c r="N3517" s="8"/>
    </row>
    <row r="3518" spans="6:14" x14ac:dyDescent="0.35">
      <c r="F3518" s="1"/>
      <c r="K3518" s="8" t="s">
        <v>2084</v>
      </c>
      <c r="L3518" s="8" t="s">
        <v>1381</v>
      </c>
      <c r="M3518" s="8">
        <v>0</v>
      </c>
      <c r="N3518" s="8"/>
    </row>
    <row r="3519" spans="6:14" x14ac:dyDescent="0.35">
      <c r="F3519" s="1"/>
      <c r="K3519" s="8" t="s">
        <v>2084</v>
      </c>
      <c r="L3519" s="8" t="s">
        <v>2798</v>
      </c>
      <c r="M3519" s="8">
        <v>1</v>
      </c>
      <c r="N3519" s="8" t="s">
        <v>476</v>
      </c>
    </row>
    <row r="3520" spans="6:14" x14ac:dyDescent="0.35">
      <c r="F3520" s="1"/>
      <c r="K3520" s="8" t="s">
        <v>2084</v>
      </c>
      <c r="L3520" s="8" t="s">
        <v>2799</v>
      </c>
      <c r="M3520" s="8">
        <v>1</v>
      </c>
      <c r="N3520" s="8" t="s">
        <v>476</v>
      </c>
    </row>
    <row r="3521" spans="6:14" x14ac:dyDescent="0.35">
      <c r="F3521" s="1"/>
      <c r="K3521" s="8" t="s">
        <v>2085</v>
      </c>
      <c r="L3521" s="8" t="s">
        <v>361</v>
      </c>
      <c r="M3521" s="8">
        <v>1</v>
      </c>
      <c r="N3521" s="8"/>
    </row>
    <row r="3522" spans="6:14" x14ac:dyDescent="0.35">
      <c r="F3522" s="1"/>
      <c r="K3522" s="8" t="s">
        <v>2085</v>
      </c>
      <c r="L3522" s="8" t="s">
        <v>360</v>
      </c>
      <c r="M3522" s="8">
        <v>1</v>
      </c>
      <c r="N3522" s="8"/>
    </row>
    <row r="3523" spans="6:14" x14ac:dyDescent="0.35">
      <c r="F3523" s="1"/>
      <c r="K3523" s="8" t="s">
        <v>2085</v>
      </c>
      <c r="L3523" s="8" t="s">
        <v>2790</v>
      </c>
      <c r="M3523" s="8">
        <v>0</v>
      </c>
      <c r="N3523" s="8"/>
    </row>
    <row r="3524" spans="6:14" x14ac:dyDescent="0.35">
      <c r="F3524" s="1"/>
      <c r="K3524" s="8" t="s">
        <v>2085</v>
      </c>
      <c r="L3524" s="8" t="s">
        <v>2791</v>
      </c>
      <c r="M3524" s="8">
        <v>0</v>
      </c>
      <c r="N3524" s="8"/>
    </row>
    <row r="3525" spans="6:14" x14ac:dyDescent="0.35">
      <c r="F3525" s="1"/>
      <c r="K3525" s="8" t="s">
        <v>2085</v>
      </c>
      <c r="L3525" s="8" t="s">
        <v>2792</v>
      </c>
      <c r="M3525" s="8">
        <v>0</v>
      </c>
      <c r="N3525" s="8"/>
    </row>
    <row r="3526" spans="6:14" x14ac:dyDescent="0.35">
      <c r="F3526" s="1"/>
      <c r="K3526" s="8" t="s">
        <v>2085</v>
      </c>
      <c r="L3526" s="8" t="s">
        <v>2793</v>
      </c>
      <c r="M3526" s="8">
        <v>0</v>
      </c>
      <c r="N3526" s="8"/>
    </row>
    <row r="3527" spans="6:14" x14ac:dyDescent="0.35">
      <c r="F3527" s="1"/>
      <c r="K3527" s="8" t="s">
        <v>2085</v>
      </c>
      <c r="L3527" s="8" t="s">
        <v>359</v>
      </c>
      <c r="M3527" s="8">
        <v>1</v>
      </c>
      <c r="N3527" s="8"/>
    </row>
    <row r="3528" spans="6:14" x14ac:dyDescent="0.35">
      <c r="F3528" s="1"/>
      <c r="K3528" s="8" t="s">
        <v>2085</v>
      </c>
      <c r="L3528" s="8" t="s">
        <v>1350</v>
      </c>
      <c r="M3528" s="8">
        <v>0</v>
      </c>
      <c r="N3528" s="8"/>
    </row>
    <row r="3529" spans="6:14" x14ac:dyDescent="0.35">
      <c r="F3529" s="1"/>
      <c r="K3529" s="8" t="s">
        <v>2085</v>
      </c>
      <c r="L3529" s="8" t="s">
        <v>1351</v>
      </c>
      <c r="M3529" s="8">
        <v>0</v>
      </c>
      <c r="N3529" s="8"/>
    </row>
    <row r="3530" spans="6:14" x14ac:dyDescent="0.35">
      <c r="F3530" s="1"/>
      <c r="K3530" s="8" t="s">
        <v>2085</v>
      </c>
      <c r="L3530" s="8" t="s">
        <v>1352</v>
      </c>
      <c r="M3530" s="8">
        <v>0</v>
      </c>
      <c r="N3530" s="8"/>
    </row>
    <row r="3531" spans="6:14" x14ac:dyDescent="0.35">
      <c r="F3531" s="1"/>
      <c r="K3531" s="8" t="s">
        <v>2085</v>
      </c>
      <c r="L3531" s="8" t="s">
        <v>1353</v>
      </c>
      <c r="M3531" s="8">
        <v>0</v>
      </c>
      <c r="N3531" s="8"/>
    </row>
    <row r="3532" spans="6:14" x14ac:dyDescent="0.35">
      <c r="F3532" s="1"/>
      <c r="K3532" s="8" t="s">
        <v>2085</v>
      </c>
      <c r="L3532" s="8" t="s">
        <v>1354</v>
      </c>
      <c r="M3532" s="8">
        <v>0</v>
      </c>
      <c r="N3532" s="8"/>
    </row>
    <row r="3533" spans="6:14" x14ac:dyDescent="0.35">
      <c r="F3533" s="1"/>
      <c r="K3533" s="8" t="s">
        <v>2085</v>
      </c>
      <c r="L3533" s="8" t="s">
        <v>375</v>
      </c>
      <c r="M3533" s="8">
        <v>1</v>
      </c>
      <c r="N3533" s="8"/>
    </row>
    <row r="3534" spans="6:14" x14ac:dyDescent="0.35">
      <c r="F3534" s="1"/>
      <c r="K3534" s="8" t="s">
        <v>2085</v>
      </c>
      <c r="L3534" s="8" t="s">
        <v>376</v>
      </c>
      <c r="M3534" s="8">
        <v>1</v>
      </c>
      <c r="N3534" s="8"/>
    </row>
    <row r="3535" spans="6:14" x14ac:dyDescent="0.35">
      <c r="F3535" s="1"/>
      <c r="K3535" s="8" t="s">
        <v>2085</v>
      </c>
      <c r="L3535" s="8" t="s">
        <v>355</v>
      </c>
      <c r="M3535" s="8">
        <v>1</v>
      </c>
      <c r="N3535" s="8"/>
    </row>
    <row r="3536" spans="6:14" x14ac:dyDescent="0.35">
      <c r="F3536" s="1"/>
      <c r="K3536" s="8" t="s">
        <v>2085</v>
      </c>
      <c r="L3536" s="8" t="s">
        <v>372</v>
      </c>
      <c r="M3536" s="8">
        <v>1</v>
      </c>
      <c r="N3536" s="8"/>
    </row>
    <row r="3537" spans="6:14" x14ac:dyDescent="0.35">
      <c r="F3537" s="1"/>
      <c r="K3537" s="8" t="s">
        <v>2085</v>
      </c>
      <c r="L3537" s="8" t="s">
        <v>1363</v>
      </c>
      <c r="M3537" s="8">
        <v>0</v>
      </c>
      <c r="N3537" s="8"/>
    </row>
    <row r="3538" spans="6:14" x14ac:dyDescent="0.35">
      <c r="F3538" s="1"/>
      <c r="K3538" s="8" t="s">
        <v>2085</v>
      </c>
      <c r="L3538" s="8" t="s">
        <v>1364</v>
      </c>
      <c r="M3538" s="8">
        <v>0</v>
      </c>
      <c r="N3538" s="8"/>
    </row>
    <row r="3539" spans="6:14" x14ac:dyDescent="0.35">
      <c r="F3539" s="1"/>
      <c r="K3539" s="8" t="s">
        <v>2085</v>
      </c>
      <c r="L3539" s="8" t="s">
        <v>1365</v>
      </c>
      <c r="M3539" s="8">
        <v>0</v>
      </c>
      <c r="N3539" s="8"/>
    </row>
    <row r="3540" spans="6:14" x14ac:dyDescent="0.35">
      <c r="F3540" s="1"/>
      <c r="K3540" s="8" t="s">
        <v>2085</v>
      </c>
      <c r="L3540" s="8" t="s">
        <v>1366</v>
      </c>
      <c r="M3540" s="8">
        <v>0</v>
      </c>
      <c r="N3540" s="8"/>
    </row>
    <row r="3541" spans="6:14" x14ac:dyDescent="0.35">
      <c r="F3541" s="1"/>
      <c r="K3541" s="8" t="s">
        <v>2085</v>
      </c>
      <c r="L3541" s="8" t="s">
        <v>1367</v>
      </c>
      <c r="M3541" s="8">
        <v>0</v>
      </c>
      <c r="N3541" s="8"/>
    </row>
    <row r="3542" spans="6:14" x14ac:dyDescent="0.35">
      <c r="F3542" s="1"/>
      <c r="K3542" s="8" t="s">
        <v>2085</v>
      </c>
      <c r="L3542" s="8" t="s">
        <v>1370</v>
      </c>
      <c r="M3542" s="8">
        <v>0</v>
      </c>
      <c r="N3542" s="8"/>
    </row>
    <row r="3543" spans="6:14" x14ac:dyDescent="0.35">
      <c r="F3543" s="1"/>
      <c r="K3543" s="8" t="s">
        <v>2085</v>
      </c>
      <c r="L3543" s="8" t="s">
        <v>1371</v>
      </c>
      <c r="M3543" s="8">
        <v>0</v>
      </c>
      <c r="N3543" s="8"/>
    </row>
    <row r="3544" spans="6:14" x14ac:dyDescent="0.35">
      <c r="F3544" s="1"/>
      <c r="K3544" s="8" t="s">
        <v>2085</v>
      </c>
      <c r="L3544" s="8" t="s">
        <v>1379</v>
      </c>
      <c r="M3544" s="8">
        <v>0</v>
      </c>
      <c r="N3544" s="8"/>
    </row>
    <row r="3545" spans="6:14" x14ac:dyDescent="0.35">
      <c r="F3545" s="1"/>
      <c r="K3545" s="8" t="s">
        <v>2085</v>
      </c>
      <c r="L3545" s="8" t="s">
        <v>1380</v>
      </c>
      <c r="M3545" s="8">
        <v>0</v>
      </c>
      <c r="N3545" s="8"/>
    </row>
    <row r="3546" spans="6:14" x14ac:dyDescent="0.35">
      <c r="F3546" s="1"/>
      <c r="K3546" s="8" t="s">
        <v>2085</v>
      </c>
      <c r="L3546" s="8" t="s">
        <v>1381</v>
      </c>
      <c r="M3546" s="8">
        <v>0</v>
      </c>
      <c r="N3546" s="8"/>
    </row>
    <row r="3547" spans="6:14" x14ac:dyDescent="0.35">
      <c r="F3547" s="1"/>
      <c r="K3547" s="8" t="s">
        <v>2086</v>
      </c>
      <c r="L3547" s="8" t="s">
        <v>361</v>
      </c>
      <c r="M3547" s="8">
        <v>1</v>
      </c>
      <c r="N3547" s="8"/>
    </row>
    <row r="3548" spans="6:14" x14ac:dyDescent="0.35">
      <c r="F3548" s="1"/>
      <c r="K3548" s="8" t="s">
        <v>2086</v>
      </c>
      <c r="L3548" s="8" t="s">
        <v>360</v>
      </c>
      <c r="M3548" s="8">
        <v>1</v>
      </c>
      <c r="N3548" s="8"/>
    </row>
    <row r="3549" spans="6:14" x14ac:dyDescent="0.35">
      <c r="F3549" s="1"/>
      <c r="K3549" s="8" t="s">
        <v>2086</v>
      </c>
      <c r="L3549" s="8" t="s">
        <v>359</v>
      </c>
      <c r="M3549" s="8">
        <v>1</v>
      </c>
      <c r="N3549" s="8"/>
    </row>
    <row r="3550" spans="6:14" x14ac:dyDescent="0.35">
      <c r="F3550" s="1"/>
      <c r="K3550" s="8" t="s">
        <v>2086</v>
      </c>
      <c r="L3550" s="8" t="s">
        <v>2775</v>
      </c>
      <c r="M3550" s="8">
        <v>1</v>
      </c>
      <c r="N3550" s="8" t="s">
        <v>517</v>
      </c>
    </row>
    <row r="3551" spans="6:14" x14ac:dyDescent="0.35">
      <c r="F3551" s="1"/>
      <c r="K3551" s="8" t="s">
        <v>2086</v>
      </c>
      <c r="L3551" s="8" t="s">
        <v>2774</v>
      </c>
      <c r="M3551" s="8">
        <v>1</v>
      </c>
      <c r="N3551" s="8"/>
    </row>
    <row r="3552" spans="6:14" x14ac:dyDescent="0.35">
      <c r="F3552" s="1"/>
      <c r="K3552" s="8" t="s">
        <v>2086</v>
      </c>
      <c r="L3552" s="8" t="s">
        <v>2776</v>
      </c>
      <c r="M3552" s="8">
        <v>0</v>
      </c>
      <c r="N3552" s="8" t="s">
        <v>476</v>
      </c>
    </row>
    <row r="3553" spans="6:14" x14ac:dyDescent="0.35">
      <c r="F3553" s="1"/>
      <c r="K3553" s="8" t="s">
        <v>2086</v>
      </c>
      <c r="L3553" s="8" t="s">
        <v>2777</v>
      </c>
      <c r="M3553" s="8">
        <v>0</v>
      </c>
      <c r="N3553" s="8" t="s">
        <v>476</v>
      </c>
    </row>
    <row r="3554" spans="6:14" x14ac:dyDescent="0.35">
      <c r="F3554" s="1"/>
      <c r="K3554" s="8" t="s">
        <v>2086</v>
      </c>
      <c r="L3554" s="8" t="s">
        <v>2778</v>
      </c>
      <c r="M3554" s="8">
        <v>1</v>
      </c>
      <c r="N3554" s="8"/>
    </row>
    <row r="3555" spans="6:14" x14ac:dyDescent="0.35">
      <c r="F3555" s="1"/>
      <c r="K3555" s="8" t="s">
        <v>2086</v>
      </c>
      <c r="L3555" s="8" t="s">
        <v>2779</v>
      </c>
      <c r="M3555" s="8">
        <v>0</v>
      </c>
      <c r="N3555" s="8"/>
    </row>
    <row r="3556" spans="6:14" x14ac:dyDescent="0.35">
      <c r="F3556" s="1"/>
      <c r="K3556" s="8" t="s">
        <v>2086</v>
      </c>
      <c r="L3556" s="8" t="s">
        <v>2781</v>
      </c>
      <c r="M3556" s="8">
        <v>1</v>
      </c>
      <c r="N3556" s="8" t="s">
        <v>476</v>
      </c>
    </row>
    <row r="3557" spans="6:14" x14ac:dyDescent="0.35">
      <c r="F3557" s="1"/>
      <c r="K3557" s="8" t="s">
        <v>2086</v>
      </c>
      <c r="L3557" s="8" t="s">
        <v>2780</v>
      </c>
      <c r="M3557" s="8">
        <v>0</v>
      </c>
      <c r="N3557" s="8"/>
    </row>
    <row r="3558" spans="6:14" x14ac:dyDescent="0.35">
      <c r="F3558" s="1"/>
      <c r="K3558" s="8" t="s">
        <v>2086</v>
      </c>
      <c r="L3558" s="8" t="s">
        <v>2782</v>
      </c>
      <c r="M3558" s="8">
        <v>0</v>
      </c>
      <c r="N3558" s="8"/>
    </row>
    <row r="3559" spans="6:14" x14ac:dyDescent="0.35">
      <c r="F3559" s="1"/>
      <c r="K3559" s="8" t="s">
        <v>2086</v>
      </c>
      <c r="L3559" s="8" t="s">
        <v>2783</v>
      </c>
      <c r="M3559" s="8">
        <v>0</v>
      </c>
      <c r="N3559" s="8"/>
    </row>
    <row r="3560" spans="6:14" x14ac:dyDescent="0.35">
      <c r="F3560" s="1"/>
      <c r="K3560" s="8" t="s">
        <v>2086</v>
      </c>
      <c r="L3560" s="8" t="s">
        <v>2784</v>
      </c>
      <c r="M3560" s="8">
        <v>0</v>
      </c>
      <c r="N3560" s="8"/>
    </row>
    <row r="3561" spans="6:14" x14ac:dyDescent="0.35">
      <c r="F3561" s="1"/>
      <c r="K3561" s="8" t="s">
        <v>2086</v>
      </c>
      <c r="L3561" s="8" t="s">
        <v>2785</v>
      </c>
      <c r="M3561" s="8">
        <v>1</v>
      </c>
      <c r="N3561" s="8" t="s">
        <v>764</v>
      </c>
    </row>
    <row r="3562" spans="6:14" x14ac:dyDescent="0.35">
      <c r="F3562" s="1"/>
      <c r="K3562" s="8" t="s">
        <v>2086</v>
      </c>
      <c r="L3562" s="8" t="s">
        <v>2786</v>
      </c>
      <c r="M3562" s="8">
        <v>0</v>
      </c>
      <c r="N3562" s="8"/>
    </row>
    <row r="3563" spans="6:14" x14ac:dyDescent="0.35">
      <c r="F3563" s="1"/>
      <c r="K3563" s="8" t="s">
        <v>2086</v>
      </c>
      <c r="L3563" s="8" t="s">
        <v>2787</v>
      </c>
      <c r="M3563" s="8">
        <v>0</v>
      </c>
      <c r="N3563" s="8"/>
    </row>
    <row r="3564" spans="6:14" x14ac:dyDescent="0.35">
      <c r="F3564" s="1"/>
      <c r="K3564" s="8" t="s">
        <v>2086</v>
      </c>
      <c r="L3564" s="8" t="s">
        <v>2788</v>
      </c>
      <c r="M3564" s="8">
        <v>0</v>
      </c>
      <c r="N3564" s="8"/>
    </row>
    <row r="3565" spans="6:14" x14ac:dyDescent="0.35">
      <c r="F3565" s="1"/>
      <c r="K3565" s="8" t="s">
        <v>2086</v>
      </c>
      <c r="L3565" s="8" t="s">
        <v>1350</v>
      </c>
      <c r="M3565" s="8">
        <v>0</v>
      </c>
      <c r="N3565" s="8"/>
    </row>
    <row r="3566" spans="6:14" x14ac:dyDescent="0.35">
      <c r="F3566" s="1"/>
      <c r="K3566" s="8" t="s">
        <v>2086</v>
      </c>
      <c r="L3566" s="8" t="s">
        <v>1351</v>
      </c>
      <c r="M3566" s="8">
        <v>0</v>
      </c>
      <c r="N3566" s="8"/>
    </row>
    <row r="3567" spans="6:14" x14ac:dyDescent="0.35">
      <c r="F3567" s="1"/>
      <c r="K3567" s="8" t="s">
        <v>2086</v>
      </c>
      <c r="L3567" s="8" t="s">
        <v>1352</v>
      </c>
      <c r="M3567" s="8">
        <v>0</v>
      </c>
      <c r="N3567" s="8"/>
    </row>
    <row r="3568" spans="6:14" x14ac:dyDescent="0.35">
      <c r="F3568" s="1"/>
      <c r="K3568" s="8" t="s">
        <v>2086</v>
      </c>
      <c r="L3568" s="8" t="s">
        <v>1353</v>
      </c>
      <c r="M3568" s="8">
        <v>0</v>
      </c>
      <c r="N3568" s="8"/>
    </row>
    <row r="3569" spans="6:14" x14ac:dyDescent="0.35">
      <c r="F3569" s="1"/>
      <c r="K3569" s="8" t="s">
        <v>2086</v>
      </c>
      <c r="L3569" s="8" t="s">
        <v>1354</v>
      </c>
      <c r="M3569" s="8">
        <v>0</v>
      </c>
      <c r="N3569" s="8"/>
    </row>
    <row r="3570" spans="6:14" x14ac:dyDescent="0.35">
      <c r="F3570" s="1"/>
      <c r="K3570" s="8" t="s">
        <v>2086</v>
      </c>
      <c r="L3570" s="8" t="s">
        <v>375</v>
      </c>
      <c r="M3570" s="8">
        <v>1</v>
      </c>
      <c r="N3570" s="8"/>
    </row>
    <row r="3571" spans="6:14" x14ac:dyDescent="0.35">
      <c r="F3571" s="1"/>
      <c r="K3571" s="8" t="s">
        <v>2086</v>
      </c>
      <c r="L3571" s="8" t="s">
        <v>376</v>
      </c>
      <c r="M3571" s="8">
        <v>1</v>
      </c>
      <c r="N3571" s="8"/>
    </row>
    <row r="3572" spans="6:14" x14ac:dyDescent="0.35">
      <c r="F3572" s="1"/>
      <c r="K3572" s="8" t="s">
        <v>2086</v>
      </c>
      <c r="L3572" s="8" t="s">
        <v>355</v>
      </c>
      <c r="M3572" s="8">
        <v>1</v>
      </c>
      <c r="N3572" s="8"/>
    </row>
    <row r="3573" spans="6:14" x14ac:dyDescent="0.35">
      <c r="F3573" s="1"/>
      <c r="K3573" s="8" t="s">
        <v>2086</v>
      </c>
      <c r="L3573" s="8" t="s">
        <v>1363</v>
      </c>
      <c r="M3573" s="8">
        <v>0</v>
      </c>
      <c r="N3573" s="8"/>
    </row>
    <row r="3574" spans="6:14" x14ac:dyDescent="0.35">
      <c r="F3574" s="1"/>
      <c r="K3574" s="8" t="s">
        <v>2086</v>
      </c>
      <c r="L3574" s="8" t="s">
        <v>1364</v>
      </c>
      <c r="M3574" s="8">
        <v>0</v>
      </c>
      <c r="N3574" s="8"/>
    </row>
    <row r="3575" spans="6:14" x14ac:dyDescent="0.35">
      <c r="F3575" s="1"/>
      <c r="K3575" s="8" t="s">
        <v>2086</v>
      </c>
      <c r="L3575" s="8" t="s">
        <v>1365</v>
      </c>
      <c r="M3575" s="8">
        <v>0</v>
      </c>
      <c r="N3575" s="8"/>
    </row>
    <row r="3576" spans="6:14" x14ac:dyDescent="0.35">
      <c r="F3576" s="1"/>
      <c r="K3576" s="8" t="s">
        <v>2086</v>
      </c>
      <c r="L3576" s="8" t="s">
        <v>1366</v>
      </c>
      <c r="M3576" s="8">
        <v>0</v>
      </c>
      <c r="N3576" s="8"/>
    </row>
    <row r="3577" spans="6:14" x14ac:dyDescent="0.35">
      <c r="F3577" s="1"/>
      <c r="K3577" s="8" t="s">
        <v>2086</v>
      </c>
      <c r="L3577" s="8" t="s">
        <v>1367</v>
      </c>
      <c r="M3577" s="8">
        <v>0</v>
      </c>
      <c r="N3577" s="8"/>
    </row>
    <row r="3578" spans="6:14" x14ac:dyDescent="0.35">
      <c r="F3578" s="1"/>
      <c r="K3578" s="8" t="s">
        <v>2086</v>
      </c>
      <c r="L3578" s="8" t="s">
        <v>1370</v>
      </c>
      <c r="M3578" s="8">
        <v>0</v>
      </c>
      <c r="N3578" s="8"/>
    </row>
    <row r="3579" spans="6:14" x14ac:dyDescent="0.35">
      <c r="F3579" s="1"/>
      <c r="K3579" s="8" t="s">
        <v>2086</v>
      </c>
      <c r="L3579" s="8" t="s">
        <v>1371</v>
      </c>
      <c r="M3579" s="8">
        <v>0</v>
      </c>
      <c r="N3579" s="8"/>
    </row>
    <row r="3580" spans="6:14" x14ac:dyDescent="0.35">
      <c r="F3580" s="1"/>
      <c r="K3580" s="8" t="s">
        <v>2086</v>
      </c>
      <c r="L3580" s="8" t="s">
        <v>1379</v>
      </c>
      <c r="M3580" s="8">
        <v>0</v>
      </c>
      <c r="N3580" s="8"/>
    </row>
    <row r="3581" spans="6:14" x14ac:dyDescent="0.35">
      <c r="F3581" s="1"/>
      <c r="K3581" s="8" t="s">
        <v>2086</v>
      </c>
      <c r="L3581" s="8" t="s">
        <v>1380</v>
      </c>
      <c r="M3581" s="8">
        <v>0</v>
      </c>
      <c r="N3581" s="8"/>
    </row>
    <row r="3582" spans="6:14" x14ac:dyDescent="0.35">
      <c r="F3582" s="1"/>
      <c r="K3582" s="8" t="s">
        <v>2086</v>
      </c>
      <c r="L3582" s="8" t="s">
        <v>1381</v>
      </c>
      <c r="M3582" s="8">
        <v>0</v>
      </c>
      <c r="N3582" s="8"/>
    </row>
    <row r="3583" spans="6:14" x14ac:dyDescent="0.35">
      <c r="F3583" s="1"/>
      <c r="K3583" s="8" t="s">
        <v>2087</v>
      </c>
      <c r="L3583" s="8" t="s">
        <v>358</v>
      </c>
      <c r="M3583" s="8">
        <v>1</v>
      </c>
      <c r="N3583" s="8"/>
    </row>
    <row r="3584" spans="6:14" x14ac:dyDescent="0.35">
      <c r="F3584" s="1"/>
      <c r="K3584" s="8" t="s">
        <v>2087</v>
      </c>
      <c r="L3584" s="8" t="s">
        <v>357</v>
      </c>
      <c r="M3584" s="8">
        <v>1</v>
      </c>
      <c r="N3584" s="8"/>
    </row>
    <row r="3585" spans="6:14" x14ac:dyDescent="0.35">
      <c r="F3585" s="1"/>
      <c r="K3585" s="8" t="s">
        <v>2087</v>
      </c>
      <c r="L3585" s="8" t="s">
        <v>369</v>
      </c>
      <c r="M3585" s="8">
        <v>1</v>
      </c>
      <c r="N3585" s="8"/>
    </row>
    <row r="3586" spans="6:14" x14ac:dyDescent="0.35">
      <c r="F3586" s="1"/>
      <c r="K3586" s="8" t="s">
        <v>2087</v>
      </c>
      <c r="L3586" s="8" t="s">
        <v>356</v>
      </c>
      <c r="M3586" s="8">
        <v>1</v>
      </c>
      <c r="N3586" s="8"/>
    </row>
    <row r="3587" spans="6:14" x14ac:dyDescent="0.35">
      <c r="F3587" s="1"/>
      <c r="K3587" s="8" t="s">
        <v>2087</v>
      </c>
      <c r="L3587" s="8" t="s">
        <v>2170</v>
      </c>
      <c r="M3587" s="8">
        <v>1</v>
      </c>
      <c r="N3587" s="8"/>
    </row>
    <row r="3588" spans="6:14" x14ac:dyDescent="0.35">
      <c r="F3588" s="1"/>
      <c r="K3588" s="8" t="s">
        <v>2087</v>
      </c>
      <c r="L3588" s="8" t="s">
        <v>355</v>
      </c>
      <c r="M3588" s="8">
        <v>1</v>
      </c>
      <c r="N3588" s="8"/>
    </row>
    <row r="3589" spans="6:14" x14ac:dyDescent="0.35">
      <c r="F3589" s="1"/>
      <c r="K3589" s="8" t="s">
        <v>2088</v>
      </c>
      <c r="L3589" s="8" t="s">
        <v>361</v>
      </c>
      <c r="M3589" s="8">
        <v>1</v>
      </c>
      <c r="N3589" s="8"/>
    </row>
    <row r="3590" spans="6:14" x14ac:dyDescent="0.35">
      <c r="F3590" s="1"/>
      <c r="K3590" s="8" t="s">
        <v>2088</v>
      </c>
      <c r="L3590" s="8" t="s">
        <v>360</v>
      </c>
      <c r="M3590" s="8">
        <v>1</v>
      </c>
      <c r="N3590" s="8"/>
    </row>
    <row r="3591" spans="6:14" x14ac:dyDescent="0.35">
      <c r="F3591" s="1"/>
      <c r="K3591" s="8" t="s">
        <v>2088</v>
      </c>
      <c r="L3591" s="8" t="s">
        <v>369</v>
      </c>
      <c r="M3591" s="8">
        <v>1</v>
      </c>
      <c r="N3591" s="8"/>
    </row>
    <row r="3592" spans="6:14" x14ac:dyDescent="0.35">
      <c r="F3592" s="1"/>
      <c r="K3592" s="8" t="s">
        <v>2088</v>
      </c>
      <c r="L3592" s="8" t="s">
        <v>359</v>
      </c>
      <c r="M3592" s="8">
        <v>1</v>
      </c>
      <c r="N3592" s="8"/>
    </row>
    <row r="3593" spans="6:14" x14ac:dyDescent="0.35">
      <c r="F3593" s="1"/>
      <c r="K3593" s="8" t="s">
        <v>2088</v>
      </c>
      <c r="L3593" s="8" t="s">
        <v>2171</v>
      </c>
      <c r="M3593" s="8">
        <v>1</v>
      </c>
      <c r="N3593" s="8"/>
    </row>
    <row r="3594" spans="6:14" x14ac:dyDescent="0.35">
      <c r="F3594" s="1"/>
      <c r="K3594" s="8" t="s">
        <v>2088</v>
      </c>
      <c r="L3594" s="8" t="s">
        <v>355</v>
      </c>
      <c r="M3594" s="8">
        <v>1</v>
      </c>
      <c r="N3594" s="8"/>
    </row>
    <row r="3595" spans="6:14" x14ac:dyDescent="0.35">
      <c r="F3595" s="1"/>
      <c r="K3595" s="8" t="s">
        <v>2089</v>
      </c>
      <c r="L3595" s="8" t="s">
        <v>358</v>
      </c>
      <c r="M3595" s="8">
        <v>1</v>
      </c>
      <c r="N3595" s="8"/>
    </row>
    <row r="3596" spans="6:14" x14ac:dyDescent="0.35">
      <c r="F3596" s="1"/>
      <c r="K3596" s="8" t="s">
        <v>2089</v>
      </c>
      <c r="L3596" s="8" t="s">
        <v>357</v>
      </c>
      <c r="M3596" s="8">
        <v>1</v>
      </c>
      <c r="N3596" s="8"/>
    </row>
    <row r="3597" spans="6:14" x14ac:dyDescent="0.35">
      <c r="F3597" s="1"/>
      <c r="K3597" s="8" t="s">
        <v>2089</v>
      </c>
      <c r="L3597" s="8" t="s">
        <v>356</v>
      </c>
      <c r="M3597" s="8">
        <v>1</v>
      </c>
      <c r="N3597" s="8"/>
    </row>
    <row r="3598" spans="6:14" x14ac:dyDescent="0.35">
      <c r="F3598" s="1"/>
      <c r="K3598" s="8" t="s">
        <v>2089</v>
      </c>
      <c r="L3598" s="8" t="s">
        <v>2697</v>
      </c>
      <c r="M3598" s="8">
        <v>1</v>
      </c>
      <c r="N3598" s="8" t="s">
        <v>476</v>
      </c>
    </row>
    <row r="3599" spans="6:14" x14ac:dyDescent="0.35">
      <c r="F3599" s="1"/>
      <c r="K3599" s="8" t="s">
        <v>2089</v>
      </c>
      <c r="L3599" s="8" t="s">
        <v>2698</v>
      </c>
      <c r="M3599" s="8">
        <v>1</v>
      </c>
      <c r="N3599" s="8" t="s">
        <v>517</v>
      </c>
    </row>
    <row r="3600" spans="6:14" x14ac:dyDescent="0.35">
      <c r="F3600" s="1"/>
      <c r="K3600" s="8" t="s">
        <v>2089</v>
      </c>
      <c r="L3600" s="8" t="s">
        <v>375</v>
      </c>
      <c r="M3600" s="8">
        <v>1</v>
      </c>
      <c r="N3600" s="8"/>
    </row>
    <row r="3601" spans="6:14" x14ac:dyDescent="0.35">
      <c r="F3601" s="1"/>
      <c r="K3601" s="8" t="s">
        <v>2089</v>
      </c>
      <c r="L3601" s="8" t="s">
        <v>376</v>
      </c>
      <c r="M3601" s="8">
        <v>1</v>
      </c>
      <c r="N3601" s="8"/>
    </row>
    <row r="3602" spans="6:14" x14ac:dyDescent="0.35">
      <c r="F3602" s="1"/>
      <c r="K3602" s="8" t="s">
        <v>2089</v>
      </c>
      <c r="L3602" s="8" t="s">
        <v>355</v>
      </c>
      <c r="M3602" s="8">
        <v>1</v>
      </c>
      <c r="N3602" s="8"/>
    </row>
    <row r="3603" spans="6:14" x14ac:dyDescent="0.35">
      <c r="F3603" s="1"/>
      <c r="K3603" s="8" t="s">
        <v>2089</v>
      </c>
      <c r="L3603" s="8" t="s">
        <v>438</v>
      </c>
      <c r="M3603" s="8">
        <v>1</v>
      </c>
      <c r="N3603" s="8"/>
    </row>
    <row r="3604" spans="6:14" x14ac:dyDescent="0.35">
      <c r="F3604" s="1"/>
      <c r="K3604" s="8" t="s">
        <v>2089</v>
      </c>
      <c r="L3604" s="8" t="s">
        <v>2699</v>
      </c>
      <c r="M3604" s="8">
        <v>1</v>
      </c>
      <c r="N3604" s="8" t="s">
        <v>476</v>
      </c>
    </row>
    <row r="3605" spans="6:14" x14ac:dyDescent="0.35">
      <c r="F3605" s="1"/>
      <c r="K3605" s="8" t="s">
        <v>2089</v>
      </c>
      <c r="L3605" s="8" t="s">
        <v>2700</v>
      </c>
      <c r="M3605" s="8">
        <v>1</v>
      </c>
      <c r="N3605" s="8" t="s">
        <v>476</v>
      </c>
    </row>
    <row r="3606" spans="6:14" x14ac:dyDescent="0.35">
      <c r="F3606" s="1"/>
      <c r="K3606" s="8" t="s">
        <v>2089</v>
      </c>
      <c r="L3606" s="8" t="s">
        <v>2701</v>
      </c>
      <c r="M3606" s="8">
        <v>1</v>
      </c>
      <c r="N3606" s="8" t="s">
        <v>476</v>
      </c>
    </row>
    <row r="3607" spans="6:14" x14ac:dyDescent="0.35">
      <c r="F3607" s="1"/>
      <c r="K3607" s="8" t="s">
        <v>2089</v>
      </c>
      <c r="L3607" s="8" t="s">
        <v>2702</v>
      </c>
      <c r="M3607" s="8">
        <v>1</v>
      </c>
      <c r="N3607" s="8" t="s">
        <v>476</v>
      </c>
    </row>
    <row r="3608" spans="6:14" x14ac:dyDescent="0.35">
      <c r="F3608" s="1"/>
      <c r="K3608" s="8" t="s">
        <v>2089</v>
      </c>
      <c r="L3608" s="8" t="s">
        <v>2703</v>
      </c>
      <c r="M3608" s="8">
        <v>1</v>
      </c>
      <c r="N3608" s="8" t="s">
        <v>476</v>
      </c>
    </row>
    <row r="3609" spans="6:14" x14ac:dyDescent="0.35">
      <c r="F3609" s="1"/>
      <c r="K3609" s="8" t="s">
        <v>2090</v>
      </c>
      <c r="L3609" s="8" t="s">
        <v>2690</v>
      </c>
      <c r="M3609" s="8">
        <v>1</v>
      </c>
      <c r="N3609" s="8" t="s">
        <v>517</v>
      </c>
    </row>
    <row r="3610" spans="6:14" x14ac:dyDescent="0.35">
      <c r="F3610" s="1"/>
      <c r="K3610" s="8" t="s">
        <v>2090</v>
      </c>
      <c r="L3610" s="8" t="s">
        <v>375</v>
      </c>
      <c r="M3610" s="8">
        <v>1</v>
      </c>
      <c r="N3610" s="8"/>
    </row>
    <row r="3611" spans="6:14" x14ac:dyDescent="0.35">
      <c r="F3611" s="1"/>
      <c r="K3611" s="8" t="s">
        <v>2090</v>
      </c>
      <c r="L3611" s="8" t="s">
        <v>376</v>
      </c>
      <c r="M3611" s="8">
        <v>1</v>
      </c>
      <c r="N3611" s="8"/>
    </row>
    <row r="3612" spans="6:14" x14ac:dyDescent="0.35">
      <c r="F3612" s="1"/>
      <c r="K3612" s="8" t="s">
        <v>2090</v>
      </c>
      <c r="L3612" s="8" t="s">
        <v>355</v>
      </c>
      <c r="M3612" s="8">
        <v>1</v>
      </c>
      <c r="N3612" s="8"/>
    </row>
    <row r="3613" spans="6:14" x14ac:dyDescent="0.35">
      <c r="F3613" s="1"/>
      <c r="K3613" s="8" t="s">
        <v>2090</v>
      </c>
      <c r="L3613" s="8" t="s">
        <v>438</v>
      </c>
      <c r="M3613" s="8">
        <v>1</v>
      </c>
      <c r="N3613" s="8"/>
    </row>
    <row r="3614" spans="6:14" x14ac:dyDescent="0.35">
      <c r="F3614" s="1"/>
      <c r="K3614" s="8" t="s">
        <v>2090</v>
      </c>
      <c r="L3614" s="8" t="s">
        <v>2691</v>
      </c>
      <c r="M3614" s="8">
        <v>1</v>
      </c>
      <c r="N3614" s="8" t="s">
        <v>476</v>
      </c>
    </row>
    <row r="3615" spans="6:14" x14ac:dyDescent="0.35">
      <c r="F3615" s="1"/>
      <c r="K3615" s="8" t="s">
        <v>2090</v>
      </c>
      <c r="L3615" s="8" t="s">
        <v>2692</v>
      </c>
      <c r="M3615" s="8">
        <v>1</v>
      </c>
      <c r="N3615" s="8" t="s">
        <v>476</v>
      </c>
    </row>
    <row r="3616" spans="6:14" x14ac:dyDescent="0.35">
      <c r="F3616" s="1"/>
      <c r="K3616" s="8" t="s">
        <v>2090</v>
      </c>
      <c r="L3616" s="8" t="s">
        <v>2693</v>
      </c>
      <c r="M3616" s="8">
        <v>1</v>
      </c>
      <c r="N3616" s="8" t="s">
        <v>476</v>
      </c>
    </row>
    <row r="3617" spans="6:14" x14ac:dyDescent="0.35">
      <c r="F3617" s="1"/>
      <c r="K3617" s="8" t="s">
        <v>2090</v>
      </c>
      <c r="L3617" s="8" t="s">
        <v>2694</v>
      </c>
      <c r="M3617" s="8">
        <v>1</v>
      </c>
      <c r="N3617" s="8" t="s">
        <v>517</v>
      </c>
    </row>
    <row r="3618" spans="6:14" x14ac:dyDescent="0.35">
      <c r="F3618" s="1"/>
      <c r="K3618" s="8" t="s">
        <v>2090</v>
      </c>
      <c r="L3618" s="8" t="s">
        <v>2695</v>
      </c>
      <c r="M3618" s="8">
        <v>1</v>
      </c>
      <c r="N3618" s="8" t="s">
        <v>476</v>
      </c>
    </row>
    <row r="3619" spans="6:14" x14ac:dyDescent="0.35">
      <c r="F3619" s="1"/>
      <c r="K3619" s="8" t="s">
        <v>2090</v>
      </c>
      <c r="L3619" s="8" t="s">
        <v>2696</v>
      </c>
      <c r="M3619" s="8">
        <v>1</v>
      </c>
      <c r="N3619" s="8" t="s">
        <v>476</v>
      </c>
    </row>
    <row r="3620" spans="6:14" x14ac:dyDescent="0.35">
      <c r="F3620" s="1"/>
      <c r="K3620" s="8" t="s">
        <v>292</v>
      </c>
      <c r="L3620" s="8" t="s">
        <v>709</v>
      </c>
      <c r="M3620" s="8">
        <v>0</v>
      </c>
      <c r="N3620" s="8" t="s">
        <v>476</v>
      </c>
    </row>
    <row r="3621" spans="6:14" x14ac:dyDescent="0.35">
      <c r="F3621" s="1"/>
      <c r="K3621" s="8" t="s">
        <v>292</v>
      </c>
      <c r="L3621" s="8" t="s">
        <v>2517</v>
      </c>
      <c r="M3621" s="8">
        <v>0</v>
      </c>
      <c r="N3621" s="8" t="s">
        <v>476</v>
      </c>
    </row>
    <row r="3622" spans="6:14" x14ac:dyDescent="0.35">
      <c r="F3622" s="1"/>
      <c r="K3622" s="8" t="s">
        <v>292</v>
      </c>
      <c r="L3622" s="8" t="s">
        <v>2518</v>
      </c>
      <c r="M3622" s="8">
        <v>0</v>
      </c>
      <c r="N3622" s="8"/>
    </row>
    <row r="3623" spans="6:14" x14ac:dyDescent="0.35">
      <c r="F3623" s="1"/>
      <c r="K3623" s="8" t="s">
        <v>292</v>
      </c>
      <c r="L3623" s="8" t="s">
        <v>2519</v>
      </c>
      <c r="M3623" s="8">
        <v>0</v>
      </c>
      <c r="N3623" s="8"/>
    </row>
    <row r="3624" spans="6:14" x14ac:dyDescent="0.35">
      <c r="F3624" s="1"/>
      <c r="K3624" s="8" t="s">
        <v>292</v>
      </c>
      <c r="L3624" s="8" t="s">
        <v>2520</v>
      </c>
      <c r="M3624" s="8">
        <v>0</v>
      </c>
      <c r="N3624" s="8"/>
    </row>
    <row r="3625" spans="6:14" x14ac:dyDescent="0.35">
      <c r="F3625" s="1"/>
      <c r="K3625" s="8" t="s">
        <v>292</v>
      </c>
      <c r="L3625" s="8" t="s">
        <v>2521</v>
      </c>
      <c r="M3625" s="8">
        <v>0</v>
      </c>
      <c r="N3625" s="8"/>
    </row>
    <row r="3626" spans="6:14" x14ac:dyDescent="0.35">
      <c r="F3626" s="1"/>
      <c r="K3626" s="8" t="s">
        <v>292</v>
      </c>
      <c r="L3626" s="8" t="s">
        <v>2522</v>
      </c>
      <c r="M3626" s="8">
        <v>0</v>
      </c>
      <c r="N3626" s="8"/>
    </row>
    <row r="3627" spans="6:14" x14ac:dyDescent="0.35">
      <c r="F3627" s="1"/>
      <c r="K3627" s="8" t="s">
        <v>292</v>
      </c>
      <c r="L3627" s="8" t="s">
        <v>2523</v>
      </c>
      <c r="M3627" s="8">
        <v>0</v>
      </c>
      <c r="N3627" s="8"/>
    </row>
    <row r="3628" spans="6:14" x14ac:dyDescent="0.35">
      <c r="F3628" s="1"/>
      <c r="K3628" s="8" t="s">
        <v>292</v>
      </c>
      <c r="L3628" s="8" t="s">
        <v>2524</v>
      </c>
      <c r="M3628" s="8">
        <v>0</v>
      </c>
      <c r="N3628" s="8"/>
    </row>
    <row r="3629" spans="6:14" x14ac:dyDescent="0.35">
      <c r="F3629" s="1"/>
      <c r="K3629" s="8" t="s">
        <v>292</v>
      </c>
      <c r="L3629" s="8" t="s">
        <v>2525</v>
      </c>
      <c r="M3629" s="8">
        <v>0</v>
      </c>
      <c r="N3629" s="8"/>
    </row>
    <row r="3630" spans="6:14" x14ac:dyDescent="0.35">
      <c r="F3630" s="1"/>
      <c r="K3630" s="8" t="s">
        <v>292</v>
      </c>
      <c r="L3630" s="8" t="s">
        <v>480</v>
      </c>
      <c r="M3630" s="8">
        <v>0</v>
      </c>
      <c r="N3630" s="8"/>
    </row>
    <row r="3631" spans="6:14" x14ac:dyDescent="0.35">
      <c r="F3631" s="1"/>
      <c r="K3631" s="8" t="s">
        <v>292</v>
      </c>
      <c r="L3631" s="8" t="s">
        <v>481</v>
      </c>
      <c r="M3631" s="8">
        <v>0</v>
      </c>
      <c r="N3631" s="8"/>
    </row>
    <row r="3632" spans="6:14" x14ac:dyDescent="0.35">
      <c r="F3632" s="1"/>
      <c r="K3632" s="8" t="s">
        <v>292</v>
      </c>
      <c r="L3632" s="8" t="s">
        <v>482</v>
      </c>
      <c r="M3632" s="8">
        <v>0</v>
      </c>
      <c r="N3632" s="8"/>
    </row>
    <row r="3633" spans="6:14" x14ac:dyDescent="0.35">
      <c r="F3633" s="1"/>
      <c r="K3633" s="8" t="s">
        <v>292</v>
      </c>
      <c r="L3633" s="8" t="s">
        <v>483</v>
      </c>
      <c r="M3633" s="8">
        <v>0</v>
      </c>
      <c r="N3633" s="8"/>
    </row>
    <row r="3634" spans="6:14" x14ac:dyDescent="0.35">
      <c r="F3634" s="1"/>
      <c r="K3634" s="8" t="s">
        <v>292</v>
      </c>
      <c r="L3634" s="8" t="s">
        <v>484</v>
      </c>
      <c r="M3634" s="8">
        <v>0</v>
      </c>
      <c r="N3634" s="8"/>
    </row>
    <row r="3635" spans="6:14" x14ac:dyDescent="0.35">
      <c r="F3635" s="1"/>
      <c r="K3635" s="8" t="s">
        <v>292</v>
      </c>
      <c r="L3635" s="8" t="s">
        <v>2526</v>
      </c>
      <c r="M3635" s="8">
        <v>0</v>
      </c>
      <c r="N3635" s="8"/>
    </row>
    <row r="3636" spans="6:14" x14ac:dyDescent="0.35">
      <c r="F3636" s="1"/>
      <c r="K3636" s="8" t="s">
        <v>292</v>
      </c>
      <c r="L3636" s="8" t="s">
        <v>2527</v>
      </c>
      <c r="M3636" s="8">
        <v>0</v>
      </c>
      <c r="N3636" s="8"/>
    </row>
    <row r="3637" spans="6:14" x14ac:dyDescent="0.35">
      <c r="F3637" s="1"/>
      <c r="K3637" s="8" t="s">
        <v>292</v>
      </c>
      <c r="L3637" s="8" t="s">
        <v>2528</v>
      </c>
      <c r="M3637" s="8">
        <v>0</v>
      </c>
      <c r="N3637" s="8"/>
    </row>
    <row r="3638" spans="6:14" x14ac:dyDescent="0.35">
      <c r="F3638" s="1"/>
      <c r="K3638" s="8" t="s">
        <v>292</v>
      </c>
      <c r="L3638" s="8" t="s">
        <v>2529</v>
      </c>
      <c r="M3638" s="8">
        <v>0</v>
      </c>
      <c r="N3638" s="8"/>
    </row>
    <row r="3639" spans="6:14" x14ac:dyDescent="0.35">
      <c r="F3639" s="1"/>
      <c r="K3639" s="8" t="s">
        <v>292</v>
      </c>
      <c r="L3639" s="8" t="s">
        <v>2530</v>
      </c>
      <c r="M3639" s="8">
        <v>0</v>
      </c>
      <c r="N3639" s="8"/>
    </row>
    <row r="3640" spans="6:14" x14ac:dyDescent="0.35">
      <c r="F3640" s="1"/>
      <c r="K3640" s="8" t="s">
        <v>292</v>
      </c>
      <c r="L3640" s="8" t="s">
        <v>2531</v>
      </c>
      <c r="M3640" s="8">
        <v>1</v>
      </c>
      <c r="N3640" s="8" t="s">
        <v>476</v>
      </c>
    </row>
    <row r="3641" spans="6:14" x14ac:dyDescent="0.35">
      <c r="F3641" s="1"/>
      <c r="K3641" s="8" t="s">
        <v>292</v>
      </c>
      <c r="L3641" s="8" t="s">
        <v>2532</v>
      </c>
      <c r="M3641" s="8">
        <v>0</v>
      </c>
      <c r="N3641" s="8"/>
    </row>
    <row r="3642" spans="6:14" x14ac:dyDescent="0.35">
      <c r="F3642" s="1"/>
      <c r="K3642" s="8" t="s">
        <v>292</v>
      </c>
      <c r="L3642" s="8" t="s">
        <v>2533</v>
      </c>
      <c r="M3642" s="8">
        <v>0</v>
      </c>
      <c r="N3642" s="8"/>
    </row>
    <row r="3643" spans="6:14" x14ac:dyDescent="0.35">
      <c r="F3643" s="1"/>
      <c r="K3643" s="8" t="s">
        <v>292</v>
      </c>
      <c r="L3643" s="8" t="s">
        <v>2534</v>
      </c>
      <c r="M3643" s="8">
        <v>0</v>
      </c>
      <c r="N3643" s="8"/>
    </row>
    <row r="3644" spans="6:14" x14ac:dyDescent="0.35">
      <c r="F3644" s="1"/>
      <c r="K3644" s="8" t="s">
        <v>292</v>
      </c>
      <c r="L3644" s="8" t="s">
        <v>2535</v>
      </c>
      <c r="M3644" s="8">
        <v>0</v>
      </c>
      <c r="N3644" s="8"/>
    </row>
    <row r="3645" spans="6:14" x14ac:dyDescent="0.35">
      <c r="F3645" s="1"/>
      <c r="K3645" s="8" t="s">
        <v>292</v>
      </c>
      <c r="L3645" s="8" t="s">
        <v>2536</v>
      </c>
      <c r="M3645" s="8">
        <v>0</v>
      </c>
      <c r="N3645" s="8"/>
    </row>
    <row r="3646" spans="6:14" x14ac:dyDescent="0.35">
      <c r="F3646" s="1"/>
      <c r="K3646" s="8" t="s">
        <v>292</v>
      </c>
      <c r="L3646" s="8" t="s">
        <v>355</v>
      </c>
      <c r="M3646" s="8">
        <v>1</v>
      </c>
      <c r="N3646" s="8"/>
    </row>
    <row r="3647" spans="6:14" x14ac:dyDescent="0.35">
      <c r="F3647" s="1"/>
      <c r="K3647" s="8" t="s">
        <v>292</v>
      </c>
      <c r="L3647" s="8" t="s">
        <v>2537</v>
      </c>
      <c r="M3647" s="8">
        <v>0</v>
      </c>
      <c r="N3647" s="8"/>
    </row>
    <row r="3648" spans="6:14" x14ac:dyDescent="0.35">
      <c r="F3648" s="1"/>
      <c r="K3648" s="8" t="s">
        <v>292</v>
      </c>
      <c r="L3648" s="8" t="s">
        <v>2538</v>
      </c>
      <c r="M3648" s="8">
        <v>0</v>
      </c>
      <c r="N3648" s="8"/>
    </row>
    <row r="3649" spans="6:14" x14ac:dyDescent="0.35">
      <c r="F3649" s="1"/>
      <c r="K3649" s="8" t="s">
        <v>292</v>
      </c>
      <c r="L3649" s="8" t="s">
        <v>2539</v>
      </c>
      <c r="M3649" s="8">
        <v>0</v>
      </c>
      <c r="N3649" s="8"/>
    </row>
    <row r="3650" spans="6:14" x14ac:dyDescent="0.35">
      <c r="F3650" s="1"/>
      <c r="K3650" s="8" t="s">
        <v>292</v>
      </c>
      <c r="L3650" s="8" t="s">
        <v>2540</v>
      </c>
      <c r="M3650" s="8">
        <v>0</v>
      </c>
      <c r="N3650" s="8"/>
    </row>
    <row r="3651" spans="6:14" x14ac:dyDescent="0.35">
      <c r="F3651" s="1"/>
      <c r="K3651" s="8" t="s">
        <v>292</v>
      </c>
      <c r="L3651" s="8" t="s">
        <v>2541</v>
      </c>
      <c r="M3651" s="8">
        <v>0</v>
      </c>
      <c r="N3651" s="8"/>
    </row>
    <row r="3652" spans="6:14" x14ac:dyDescent="0.35">
      <c r="F3652" s="1"/>
      <c r="K3652" s="8" t="s">
        <v>292</v>
      </c>
      <c r="L3652" s="8" t="s">
        <v>2542</v>
      </c>
      <c r="M3652" s="8">
        <v>0</v>
      </c>
      <c r="N3652" s="8"/>
    </row>
    <row r="3653" spans="6:14" x14ac:dyDescent="0.35">
      <c r="F3653" s="1"/>
      <c r="K3653" s="8" t="s">
        <v>292</v>
      </c>
      <c r="L3653" s="8" t="s">
        <v>2543</v>
      </c>
      <c r="M3653" s="8">
        <v>0</v>
      </c>
      <c r="N3653" s="8"/>
    </row>
    <row r="3654" spans="6:14" x14ac:dyDescent="0.35">
      <c r="F3654" s="1"/>
      <c r="K3654" s="8" t="s">
        <v>292</v>
      </c>
      <c r="L3654" s="8" t="s">
        <v>2120</v>
      </c>
      <c r="M3654" s="8">
        <v>1</v>
      </c>
      <c r="N3654" s="8"/>
    </row>
    <row r="3655" spans="6:14" x14ac:dyDescent="0.35">
      <c r="F3655" s="1"/>
      <c r="K3655" s="8" t="s">
        <v>292</v>
      </c>
      <c r="L3655" s="8" t="s">
        <v>2544</v>
      </c>
      <c r="M3655" s="8">
        <v>0</v>
      </c>
      <c r="N3655" s="8"/>
    </row>
    <row r="3656" spans="6:14" x14ac:dyDescent="0.35">
      <c r="F3656" s="1"/>
      <c r="K3656" s="8" t="s">
        <v>292</v>
      </c>
      <c r="L3656" s="8" t="s">
        <v>486</v>
      </c>
      <c r="M3656" s="8">
        <v>0</v>
      </c>
      <c r="N3656" s="8"/>
    </row>
    <row r="3657" spans="6:14" x14ac:dyDescent="0.35">
      <c r="F3657" s="1"/>
      <c r="K3657" s="8" t="s">
        <v>292</v>
      </c>
      <c r="L3657" s="8" t="s">
        <v>487</v>
      </c>
      <c r="M3657" s="8">
        <v>0</v>
      </c>
      <c r="N3657" s="8"/>
    </row>
    <row r="3658" spans="6:14" x14ac:dyDescent="0.35">
      <c r="F3658" s="1"/>
      <c r="K3658" s="8" t="s">
        <v>292</v>
      </c>
      <c r="L3658" s="8" t="s">
        <v>488</v>
      </c>
      <c r="M3658" s="8">
        <v>0</v>
      </c>
      <c r="N3658" s="8"/>
    </row>
    <row r="3659" spans="6:14" x14ac:dyDescent="0.35">
      <c r="F3659" s="1"/>
      <c r="K3659" s="8" t="s">
        <v>292</v>
      </c>
      <c r="L3659" s="8" t="s">
        <v>489</v>
      </c>
      <c r="M3659" s="8">
        <v>0</v>
      </c>
      <c r="N3659" s="8"/>
    </row>
    <row r="3660" spans="6:14" x14ac:dyDescent="0.35">
      <c r="F3660" s="1"/>
      <c r="K3660" s="8" t="s">
        <v>292</v>
      </c>
      <c r="L3660" s="8" t="s">
        <v>490</v>
      </c>
      <c r="M3660" s="8">
        <v>0</v>
      </c>
      <c r="N3660" s="8"/>
    </row>
    <row r="3661" spans="6:14" x14ac:dyDescent="0.35">
      <c r="F3661" s="1"/>
      <c r="K3661" s="8" t="s">
        <v>292</v>
      </c>
      <c r="L3661" s="8" t="s">
        <v>2545</v>
      </c>
      <c r="M3661" s="8">
        <v>0</v>
      </c>
      <c r="N3661" s="8"/>
    </row>
    <row r="3662" spans="6:14" x14ac:dyDescent="0.35">
      <c r="F3662" s="1"/>
      <c r="K3662" s="8" t="s">
        <v>292</v>
      </c>
      <c r="L3662" s="8" t="s">
        <v>2546</v>
      </c>
      <c r="M3662" s="8">
        <v>0</v>
      </c>
      <c r="N3662" s="8"/>
    </row>
    <row r="3663" spans="6:14" x14ac:dyDescent="0.35">
      <c r="F3663" s="1"/>
      <c r="K3663" s="8" t="s">
        <v>292</v>
      </c>
      <c r="L3663" s="8" t="s">
        <v>2547</v>
      </c>
      <c r="M3663" s="8">
        <v>0</v>
      </c>
      <c r="N3663" s="8"/>
    </row>
    <row r="3664" spans="6:14" x14ac:dyDescent="0.35">
      <c r="F3664" s="1"/>
      <c r="K3664" s="8" t="s">
        <v>292</v>
      </c>
      <c r="L3664" s="8" t="s">
        <v>2548</v>
      </c>
      <c r="M3664" s="8">
        <v>0</v>
      </c>
      <c r="N3664" s="8"/>
    </row>
    <row r="3665" spans="6:14" x14ac:dyDescent="0.35">
      <c r="F3665" s="1"/>
      <c r="K3665" s="8" t="s">
        <v>292</v>
      </c>
      <c r="L3665" s="8" t="s">
        <v>2549</v>
      </c>
      <c r="M3665" s="8">
        <v>0</v>
      </c>
      <c r="N3665" s="8"/>
    </row>
    <row r="3666" spans="6:14" x14ac:dyDescent="0.35">
      <c r="F3666" s="1"/>
      <c r="K3666" s="8" t="s">
        <v>292</v>
      </c>
      <c r="L3666" s="8" t="s">
        <v>2550</v>
      </c>
      <c r="M3666" s="8">
        <v>0</v>
      </c>
      <c r="N3666" s="8"/>
    </row>
    <row r="3667" spans="6:14" x14ac:dyDescent="0.35">
      <c r="F3667" s="1"/>
      <c r="K3667" s="8" t="s">
        <v>292</v>
      </c>
      <c r="L3667" s="8" t="s">
        <v>2551</v>
      </c>
      <c r="M3667" s="8">
        <v>0</v>
      </c>
      <c r="N3667" s="8"/>
    </row>
    <row r="3668" spans="6:14" x14ac:dyDescent="0.35">
      <c r="F3668" s="1"/>
      <c r="K3668" s="8" t="s">
        <v>292</v>
      </c>
      <c r="L3668" s="8" t="s">
        <v>2552</v>
      </c>
      <c r="M3668" s="8">
        <v>0</v>
      </c>
      <c r="N3668" s="8"/>
    </row>
    <row r="3669" spans="6:14" x14ac:dyDescent="0.35">
      <c r="F3669" s="1"/>
      <c r="K3669" s="8" t="s">
        <v>292</v>
      </c>
      <c r="L3669" s="8" t="s">
        <v>2553</v>
      </c>
      <c r="M3669" s="8">
        <v>0</v>
      </c>
      <c r="N3669" s="8"/>
    </row>
    <row r="3670" spans="6:14" x14ac:dyDescent="0.35">
      <c r="F3670" s="1"/>
      <c r="K3670" s="8" t="s">
        <v>292</v>
      </c>
      <c r="L3670" s="8" t="s">
        <v>2554</v>
      </c>
      <c r="M3670" s="8">
        <v>0</v>
      </c>
      <c r="N3670" s="8"/>
    </row>
    <row r="3671" spans="6:14" x14ac:dyDescent="0.35">
      <c r="F3671" s="1"/>
      <c r="K3671" s="8" t="s">
        <v>292</v>
      </c>
      <c r="L3671" s="8" t="s">
        <v>2555</v>
      </c>
      <c r="M3671" s="8">
        <v>0</v>
      </c>
      <c r="N3671" s="8"/>
    </row>
    <row r="3672" spans="6:14" x14ac:dyDescent="0.35">
      <c r="F3672" s="1"/>
      <c r="K3672" s="8" t="s">
        <v>292</v>
      </c>
      <c r="L3672" s="8" t="s">
        <v>2556</v>
      </c>
      <c r="M3672" s="8">
        <v>0</v>
      </c>
      <c r="N3672" s="8"/>
    </row>
    <row r="3673" spans="6:14" x14ac:dyDescent="0.35">
      <c r="F3673" s="1"/>
      <c r="K3673" s="8" t="s">
        <v>292</v>
      </c>
      <c r="L3673" s="8" t="s">
        <v>2557</v>
      </c>
      <c r="M3673" s="8">
        <v>0</v>
      </c>
      <c r="N3673" s="8"/>
    </row>
    <row r="3674" spans="6:14" x14ac:dyDescent="0.35">
      <c r="F3674" s="1"/>
      <c r="K3674" s="8" t="s">
        <v>292</v>
      </c>
      <c r="L3674" s="8" t="s">
        <v>2558</v>
      </c>
      <c r="M3674" s="8">
        <v>0</v>
      </c>
      <c r="N3674" s="8"/>
    </row>
    <row r="3675" spans="6:14" x14ac:dyDescent="0.35">
      <c r="F3675" s="1"/>
      <c r="K3675" s="8" t="s">
        <v>292</v>
      </c>
      <c r="L3675" s="8" t="s">
        <v>2559</v>
      </c>
      <c r="M3675" s="8">
        <v>0</v>
      </c>
      <c r="N3675" s="8"/>
    </row>
    <row r="3676" spans="6:14" x14ac:dyDescent="0.35">
      <c r="F3676" s="1"/>
      <c r="K3676" s="8" t="s">
        <v>292</v>
      </c>
      <c r="L3676" s="8" t="s">
        <v>2560</v>
      </c>
      <c r="M3676" s="8">
        <v>0</v>
      </c>
      <c r="N3676" s="8"/>
    </row>
    <row r="3677" spans="6:14" x14ac:dyDescent="0.35">
      <c r="F3677" s="1"/>
      <c r="K3677" s="8" t="s">
        <v>292</v>
      </c>
      <c r="L3677" s="8" t="s">
        <v>2561</v>
      </c>
      <c r="M3677" s="8">
        <v>0</v>
      </c>
      <c r="N3677" s="8"/>
    </row>
    <row r="3678" spans="6:14" x14ac:dyDescent="0.35">
      <c r="F3678" s="1"/>
      <c r="K3678" s="8" t="s">
        <v>292</v>
      </c>
      <c r="L3678" s="8" t="s">
        <v>2562</v>
      </c>
      <c r="M3678" s="8">
        <v>0</v>
      </c>
      <c r="N3678" s="8"/>
    </row>
    <row r="3679" spans="6:14" x14ac:dyDescent="0.35">
      <c r="F3679" s="1"/>
      <c r="K3679" s="8" t="s">
        <v>292</v>
      </c>
      <c r="L3679" s="8" t="s">
        <v>2563</v>
      </c>
      <c r="M3679" s="8">
        <v>0</v>
      </c>
      <c r="N3679" s="8"/>
    </row>
    <row r="3680" spans="6:14" x14ac:dyDescent="0.35">
      <c r="F3680" s="1"/>
      <c r="K3680" s="8" t="s">
        <v>292</v>
      </c>
      <c r="L3680" s="8" t="s">
        <v>2565</v>
      </c>
      <c r="M3680" s="8">
        <v>0</v>
      </c>
      <c r="N3680" s="8"/>
    </row>
    <row r="3681" spans="6:14" x14ac:dyDescent="0.35">
      <c r="F3681" s="1"/>
      <c r="K3681" s="8" t="s">
        <v>292</v>
      </c>
      <c r="L3681" s="8" t="s">
        <v>2564</v>
      </c>
      <c r="M3681" s="8">
        <v>0</v>
      </c>
      <c r="N3681" s="8"/>
    </row>
    <row r="3682" spans="6:14" x14ac:dyDescent="0.35">
      <c r="F3682" s="1"/>
      <c r="K3682" s="8" t="s">
        <v>292</v>
      </c>
      <c r="L3682" s="8" t="s">
        <v>2566</v>
      </c>
      <c r="M3682" s="8">
        <v>0</v>
      </c>
      <c r="N3682" s="8"/>
    </row>
    <row r="3683" spans="6:14" x14ac:dyDescent="0.35">
      <c r="F3683" s="1"/>
      <c r="K3683" s="8" t="s">
        <v>292</v>
      </c>
      <c r="L3683" s="8" t="s">
        <v>2567</v>
      </c>
      <c r="M3683" s="8">
        <v>0</v>
      </c>
      <c r="N3683" s="8"/>
    </row>
    <row r="3684" spans="6:14" x14ac:dyDescent="0.35">
      <c r="F3684" s="1"/>
      <c r="K3684" s="8" t="s">
        <v>292</v>
      </c>
      <c r="L3684" s="8" t="s">
        <v>2568</v>
      </c>
      <c r="M3684" s="8">
        <v>0</v>
      </c>
      <c r="N3684" s="8"/>
    </row>
    <row r="3685" spans="6:14" x14ac:dyDescent="0.35">
      <c r="F3685" s="1"/>
      <c r="K3685" s="8" t="s">
        <v>292</v>
      </c>
      <c r="L3685" s="8" t="s">
        <v>2569</v>
      </c>
      <c r="M3685" s="8">
        <v>0</v>
      </c>
      <c r="N3685" s="8"/>
    </row>
    <row r="3686" spans="6:14" x14ac:dyDescent="0.35">
      <c r="F3686" s="1"/>
      <c r="K3686" s="8" t="s">
        <v>292</v>
      </c>
      <c r="L3686" s="8" t="s">
        <v>2570</v>
      </c>
      <c r="M3686" s="8">
        <v>0</v>
      </c>
      <c r="N3686" s="8"/>
    </row>
    <row r="3687" spans="6:14" x14ac:dyDescent="0.35">
      <c r="F3687" s="1"/>
      <c r="K3687" s="8" t="s">
        <v>292</v>
      </c>
      <c r="L3687" s="8" t="s">
        <v>2571</v>
      </c>
      <c r="M3687" s="8">
        <v>0</v>
      </c>
      <c r="N3687" s="8"/>
    </row>
    <row r="3688" spans="6:14" x14ac:dyDescent="0.35">
      <c r="F3688" s="1"/>
      <c r="K3688" s="8" t="s">
        <v>292</v>
      </c>
      <c r="L3688" s="8" t="s">
        <v>2572</v>
      </c>
      <c r="M3688" s="8">
        <v>0</v>
      </c>
      <c r="N3688" s="8"/>
    </row>
    <row r="3689" spans="6:14" x14ac:dyDescent="0.35">
      <c r="F3689" s="1"/>
      <c r="K3689" s="8" t="s">
        <v>292</v>
      </c>
      <c r="L3689" s="8" t="s">
        <v>2573</v>
      </c>
      <c r="M3689" s="8">
        <v>0</v>
      </c>
      <c r="N3689" s="8"/>
    </row>
    <row r="3690" spans="6:14" x14ac:dyDescent="0.35">
      <c r="F3690" s="1"/>
      <c r="K3690" s="8" t="s">
        <v>292</v>
      </c>
      <c r="L3690" s="8" t="s">
        <v>2574</v>
      </c>
      <c r="M3690" s="8">
        <v>0</v>
      </c>
      <c r="N3690" s="8"/>
    </row>
    <row r="3691" spans="6:14" x14ac:dyDescent="0.35">
      <c r="F3691" s="1"/>
      <c r="K3691" s="8" t="s">
        <v>292</v>
      </c>
      <c r="L3691" s="8" t="s">
        <v>2575</v>
      </c>
      <c r="M3691" s="8">
        <v>0</v>
      </c>
      <c r="N3691" s="8"/>
    </row>
    <row r="3692" spans="6:14" x14ac:dyDescent="0.35">
      <c r="F3692" s="1"/>
      <c r="K3692" s="8" t="s">
        <v>292</v>
      </c>
      <c r="L3692" s="8" t="s">
        <v>2576</v>
      </c>
      <c r="M3692" s="8">
        <v>0</v>
      </c>
      <c r="N3692" s="8"/>
    </row>
    <row r="3693" spans="6:14" x14ac:dyDescent="0.35">
      <c r="F3693" s="1"/>
      <c r="K3693" s="8" t="s">
        <v>292</v>
      </c>
      <c r="L3693" s="8" t="s">
        <v>491</v>
      </c>
      <c r="M3693" s="8">
        <v>0</v>
      </c>
      <c r="N3693" s="8"/>
    </row>
    <row r="3694" spans="6:14" x14ac:dyDescent="0.35">
      <c r="F3694" s="1"/>
      <c r="K3694" s="8" t="s">
        <v>292</v>
      </c>
      <c r="L3694" s="8" t="s">
        <v>492</v>
      </c>
      <c r="M3694" s="8">
        <v>0</v>
      </c>
      <c r="N3694" s="8"/>
    </row>
    <row r="3695" spans="6:14" x14ac:dyDescent="0.35">
      <c r="F3695" s="1"/>
      <c r="K3695" s="8" t="s">
        <v>292</v>
      </c>
      <c r="L3695" s="8" t="s">
        <v>493</v>
      </c>
      <c r="M3695" s="8">
        <v>0</v>
      </c>
      <c r="N3695" s="8"/>
    </row>
    <row r="3696" spans="6:14" x14ac:dyDescent="0.35">
      <c r="F3696" s="1"/>
      <c r="K3696" s="8" t="s">
        <v>292</v>
      </c>
      <c r="L3696" s="8" t="s">
        <v>494</v>
      </c>
      <c r="M3696" s="8">
        <v>0</v>
      </c>
      <c r="N3696" s="8"/>
    </row>
    <row r="3697" spans="6:14" x14ac:dyDescent="0.35">
      <c r="F3697" s="1"/>
      <c r="K3697" s="8" t="s">
        <v>292</v>
      </c>
      <c r="L3697" s="8" t="s">
        <v>495</v>
      </c>
      <c r="M3697" s="8">
        <v>0</v>
      </c>
      <c r="N3697" s="8"/>
    </row>
    <row r="3698" spans="6:14" x14ac:dyDescent="0.35">
      <c r="F3698" s="1"/>
      <c r="K3698" s="8" t="s">
        <v>292</v>
      </c>
      <c r="L3698" s="8" t="s">
        <v>2577</v>
      </c>
      <c r="M3698" s="8">
        <v>0</v>
      </c>
      <c r="N3698" s="8"/>
    </row>
    <row r="3699" spans="6:14" x14ac:dyDescent="0.35">
      <c r="F3699" s="1"/>
      <c r="K3699" s="8" t="s">
        <v>292</v>
      </c>
      <c r="L3699" s="8" t="s">
        <v>2578</v>
      </c>
      <c r="M3699" s="8">
        <v>0</v>
      </c>
      <c r="N3699" s="8"/>
    </row>
    <row r="3700" spans="6:14" x14ac:dyDescent="0.35">
      <c r="F3700" s="1"/>
      <c r="K3700" s="8" t="s">
        <v>292</v>
      </c>
      <c r="L3700" s="8" t="s">
        <v>2579</v>
      </c>
      <c r="M3700" s="8">
        <v>0</v>
      </c>
      <c r="N3700" s="8"/>
    </row>
    <row r="3701" spans="6:14" x14ac:dyDescent="0.35">
      <c r="F3701" s="1"/>
      <c r="K3701" s="8" t="s">
        <v>292</v>
      </c>
      <c r="L3701" s="8" t="s">
        <v>2580</v>
      </c>
      <c r="M3701" s="8">
        <v>0</v>
      </c>
      <c r="N3701" s="8"/>
    </row>
    <row r="3702" spans="6:14" x14ac:dyDescent="0.35">
      <c r="F3702" s="1"/>
      <c r="K3702" s="8" t="s">
        <v>292</v>
      </c>
      <c r="L3702" s="8" t="s">
        <v>2581</v>
      </c>
      <c r="M3702" s="8">
        <v>0</v>
      </c>
      <c r="N3702" s="8"/>
    </row>
    <row r="3703" spans="6:14" x14ac:dyDescent="0.35">
      <c r="F3703" s="1"/>
      <c r="K3703" s="8" t="s">
        <v>292</v>
      </c>
      <c r="L3703" s="8" t="s">
        <v>2582</v>
      </c>
      <c r="M3703" s="8">
        <v>0</v>
      </c>
      <c r="N3703" s="8"/>
    </row>
    <row r="3704" spans="6:14" x14ac:dyDescent="0.35">
      <c r="F3704" s="1"/>
      <c r="K3704" s="8" t="s">
        <v>2091</v>
      </c>
      <c r="L3704" s="8" t="s">
        <v>2473</v>
      </c>
      <c r="M3704" s="8">
        <v>1</v>
      </c>
      <c r="N3704" s="8"/>
    </row>
    <row r="3705" spans="6:14" x14ac:dyDescent="0.35">
      <c r="F3705" s="1"/>
      <c r="K3705" s="8" t="s">
        <v>2091</v>
      </c>
      <c r="L3705" s="8" t="s">
        <v>2474</v>
      </c>
      <c r="M3705" s="8">
        <v>0</v>
      </c>
      <c r="N3705" s="8"/>
    </row>
    <row r="3706" spans="6:14" x14ac:dyDescent="0.35">
      <c r="F3706" s="1"/>
      <c r="K3706" s="8" t="s">
        <v>2091</v>
      </c>
      <c r="L3706" s="8" t="s">
        <v>2475</v>
      </c>
      <c r="M3706" s="8">
        <v>0</v>
      </c>
      <c r="N3706" s="8"/>
    </row>
    <row r="3707" spans="6:14" x14ac:dyDescent="0.35">
      <c r="F3707" s="1"/>
      <c r="K3707" s="8" t="s">
        <v>2091</v>
      </c>
      <c r="L3707" s="8" t="s">
        <v>2172</v>
      </c>
      <c r="M3707" s="8">
        <v>1</v>
      </c>
      <c r="N3707" s="8"/>
    </row>
    <row r="3708" spans="6:14" x14ac:dyDescent="0.35">
      <c r="F3708" s="1"/>
      <c r="K3708" s="8" t="s">
        <v>2091</v>
      </c>
      <c r="L3708" s="8" t="s">
        <v>2476</v>
      </c>
      <c r="M3708" s="8">
        <v>1</v>
      </c>
      <c r="N3708" s="8" t="s">
        <v>476</v>
      </c>
    </row>
    <row r="3709" spans="6:14" x14ac:dyDescent="0.35">
      <c r="F3709" s="1"/>
      <c r="K3709" s="8" t="s">
        <v>2091</v>
      </c>
      <c r="L3709" s="8" t="s">
        <v>2477</v>
      </c>
      <c r="M3709" s="8">
        <v>0</v>
      </c>
      <c r="N3709" s="8"/>
    </row>
    <row r="3710" spans="6:14" x14ac:dyDescent="0.35">
      <c r="F3710" s="1"/>
      <c r="K3710" s="8" t="s">
        <v>2091</v>
      </c>
      <c r="L3710" s="8" t="s">
        <v>2478</v>
      </c>
      <c r="M3710" s="8">
        <v>0</v>
      </c>
      <c r="N3710" s="8"/>
    </row>
    <row r="3711" spans="6:14" x14ac:dyDescent="0.35">
      <c r="F3711" s="1"/>
      <c r="K3711" s="8" t="s">
        <v>2091</v>
      </c>
      <c r="L3711" s="8" t="s">
        <v>2479</v>
      </c>
      <c r="M3711" s="8">
        <v>0</v>
      </c>
      <c r="N3711" s="8"/>
    </row>
    <row r="3712" spans="6:14" x14ac:dyDescent="0.35">
      <c r="F3712" s="1"/>
      <c r="K3712" s="8" t="s">
        <v>2091</v>
      </c>
      <c r="L3712" s="8" t="s">
        <v>480</v>
      </c>
      <c r="M3712" s="8">
        <v>0</v>
      </c>
      <c r="N3712" s="8"/>
    </row>
    <row r="3713" spans="6:14" x14ac:dyDescent="0.35">
      <c r="F3713" s="1"/>
      <c r="K3713" s="8" t="s">
        <v>2091</v>
      </c>
      <c r="L3713" s="8" t="s">
        <v>481</v>
      </c>
      <c r="M3713" s="8">
        <v>0</v>
      </c>
      <c r="N3713" s="8"/>
    </row>
    <row r="3714" spans="6:14" x14ac:dyDescent="0.35">
      <c r="F3714" s="1"/>
      <c r="K3714" s="8" t="s">
        <v>2091</v>
      </c>
      <c r="L3714" s="8" t="s">
        <v>482</v>
      </c>
      <c r="M3714" s="8">
        <v>0</v>
      </c>
      <c r="N3714" s="8"/>
    </row>
    <row r="3715" spans="6:14" x14ac:dyDescent="0.35">
      <c r="F3715" s="1"/>
      <c r="K3715" s="8" t="s">
        <v>2091</v>
      </c>
      <c r="L3715" s="8" t="s">
        <v>483</v>
      </c>
      <c r="M3715" s="8">
        <v>0</v>
      </c>
      <c r="N3715" s="8"/>
    </row>
    <row r="3716" spans="6:14" x14ac:dyDescent="0.35">
      <c r="F3716" s="1"/>
      <c r="K3716" s="8" t="s">
        <v>2091</v>
      </c>
      <c r="L3716" s="8" t="s">
        <v>484</v>
      </c>
      <c r="M3716" s="8">
        <v>0</v>
      </c>
      <c r="N3716" s="8"/>
    </row>
    <row r="3717" spans="6:14" x14ac:dyDescent="0.35">
      <c r="F3717" s="1"/>
      <c r="K3717" s="8" t="s">
        <v>2091</v>
      </c>
      <c r="L3717" s="8" t="s">
        <v>486</v>
      </c>
      <c r="M3717" s="8">
        <v>0</v>
      </c>
      <c r="N3717" s="8"/>
    </row>
    <row r="3718" spans="6:14" x14ac:dyDescent="0.35">
      <c r="F3718" s="1"/>
      <c r="K3718" s="8" t="s">
        <v>2091</v>
      </c>
      <c r="L3718" s="8" t="s">
        <v>487</v>
      </c>
      <c r="M3718" s="8">
        <v>0</v>
      </c>
      <c r="N3718" s="8"/>
    </row>
    <row r="3719" spans="6:14" x14ac:dyDescent="0.35">
      <c r="F3719" s="1"/>
      <c r="K3719" s="8" t="s">
        <v>2091</v>
      </c>
      <c r="L3719" s="8" t="s">
        <v>488</v>
      </c>
      <c r="M3719" s="8">
        <v>0</v>
      </c>
      <c r="N3719" s="8"/>
    </row>
    <row r="3720" spans="6:14" x14ac:dyDescent="0.35">
      <c r="F3720" s="1"/>
      <c r="K3720" s="8" t="s">
        <v>2091</v>
      </c>
      <c r="L3720" s="8" t="s">
        <v>489</v>
      </c>
      <c r="M3720" s="8">
        <v>0</v>
      </c>
      <c r="N3720" s="8"/>
    </row>
    <row r="3721" spans="6:14" x14ac:dyDescent="0.35">
      <c r="F3721" s="1"/>
      <c r="K3721" s="8" t="s">
        <v>2091</v>
      </c>
      <c r="L3721" s="8" t="s">
        <v>490</v>
      </c>
      <c r="M3721" s="8">
        <v>0</v>
      </c>
      <c r="N3721" s="8"/>
    </row>
    <row r="3722" spans="6:14" x14ac:dyDescent="0.35">
      <c r="F3722" s="1"/>
      <c r="K3722" s="8" t="s">
        <v>2091</v>
      </c>
      <c r="L3722" s="8" t="s">
        <v>491</v>
      </c>
      <c r="M3722" s="8">
        <v>0</v>
      </c>
      <c r="N3722" s="8"/>
    </row>
    <row r="3723" spans="6:14" x14ac:dyDescent="0.35">
      <c r="F3723" s="1"/>
      <c r="K3723" s="8" t="s">
        <v>2091</v>
      </c>
      <c r="L3723" s="8" t="s">
        <v>492</v>
      </c>
      <c r="M3723" s="8">
        <v>0</v>
      </c>
      <c r="N3723" s="8"/>
    </row>
    <row r="3724" spans="6:14" x14ac:dyDescent="0.35">
      <c r="F3724" s="1"/>
      <c r="K3724" s="8" t="s">
        <v>2091</v>
      </c>
      <c r="L3724" s="8" t="s">
        <v>493</v>
      </c>
      <c r="M3724" s="8">
        <v>0</v>
      </c>
      <c r="N3724" s="8"/>
    </row>
    <row r="3725" spans="6:14" x14ac:dyDescent="0.35">
      <c r="F3725" s="1"/>
      <c r="K3725" s="8" t="s">
        <v>2091</v>
      </c>
      <c r="L3725" s="8" t="s">
        <v>494</v>
      </c>
      <c r="M3725" s="8">
        <v>0</v>
      </c>
      <c r="N3725" s="8"/>
    </row>
    <row r="3726" spans="6:14" x14ac:dyDescent="0.35">
      <c r="F3726" s="1"/>
      <c r="K3726" s="8" t="s">
        <v>2091</v>
      </c>
      <c r="L3726" s="8" t="s">
        <v>495</v>
      </c>
      <c r="M3726" s="8">
        <v>0</v>
      </c>
      <c r="N3726" s="8"/>
    </row>
    <row r="3727" spans="6:14" x14ac:dyDescent="0.35">
      <c r="F3727" s="1"/>
      <c r="K3727" s="8" t="s">
        <v>2092</v>
      </c>
      <c r="L3727" s="8" t="s">
        <v>2172</v>
      </c>
      <c r="M3727" s="8">
        <v>1</v>
      </c>
      <c r="N3727" s="8"/>
    </row>
    <row r="3728" spans="6:14" x14ac:dyDescent="0.35">
      <c r="F3728" s="1"/>
      <c r="K3728" s="8" t="s">
        <v>2092</v>
      </c>
      <c r="L3728" s="8" t="s">
        <v>2480</v>
      </c>
      <c r="M3728" s="8">
        <v>1</v>
      </c>
      <c r="N3728" s="8"/>
    </row>
    <row r="3729" spans="6:14" x14ac:dyDescent="0.35">
      <c r="F3729" s="1"/>
      <c r="K3729" s="8" t="s">
        <v>2092</v>
      </c>
      <c r="L3729" s="8" t="s">
        <v>2481</v>
      </c>
      <c r="M3729" s="8">
        <v>1</v>
      </c>
      <c r="N3729" s="8"/>
    </row>
    <row r="3730" spans="6:14" x14ac:dyDescent="0.35">
      <c r="F3730" s="1"/>
      <c r="K3730" s="8" t="s">
        <v>2092</v>
      </c>
      <c r="L3730" s="8" t="s">
        <v>2482</v>
      </c>
      <c r="M3730" s="8">
        <v>1</v>
      </c>
      <c r="N3730" s="8" t="s">
        <v>476</v>
      </c>
    </row>
    <row r="3731" spans="6:14" x14ac:dyDescent="0.35">
      <c r="F3731" s="1"/>
      <c r="K3731" s="8" t="s">
        <v>2092</v>
      </c>
      <c r="L3731" s="8" t="s">
        <v>2483</v>
      </c>
      <c r="M3731" s="8">
        <v>0</v>
      </c>
      <c r="N3731" s="8"/>
    </row>
    <row r="3732" spans="6:14" x14ac:dyDescent="0.35">
      <c r="F3732" s="1"/>
      <c r="K3732" s="8" t="s">
        <v>2092</v>
      </c>
      <c r="L3732" s="8" t="s">
        <v>2484</v>
      </c>
      <c r="M3732" s="8">
        <v>0</v>
      </c>
      <c r="N3732" s="8"/>
    </row>
    <row r="3733" spans="6:14" x14ac:dyDescent="0.35">
      <c r="F3733" s="1"/>
      <c r="K3733" s="8" t="s">
        <v>2092</v>
      </c>
      <c r="L3733" s="8" t="s">
        <v>2485</v>
      </c>
      <c r="M3733" s="8">
        <v>0</v>
      </c>
      <c r="N3733" s="8"/>
    </row>
    <row r="3734" spans="6:14" x14ac:dyDescent="0.35">
      <c r="F3734" s="1"/>
      <c r="K3734" s="8" t="s">
        <v>2092</v>
      </c>
      <c r="L3734" s="8" t="s">
        <v>2486</v>
      </c>
      <c r="M3734" s="8">
        <v>0</v>
      </c>
      <c r="N3734" s="8"/>
    </row>
    <row r="3735" spans="6:14" x14ac:dyDescent="0.35">
      <c r="F3735" s="1"/>
      <c r="K3735" s="8" t="s">
        <v>2092</v>
      </c>
      <c r="L3735" s="8" t="s">
        <v>480</v>
      </c>
      <c r="M3735" s="8">
        <v>0</v>
      </c>
      <c r="N3735" s="8"/>
    </row>
    <row r="3736" spans="6:14" x14ac:dyDescent="0.35">
      <c r="F3736" s="1"/>
      <c r="K3736" s="8" t="s">
        <v>2092</v>
      </c>
      <c r="L3736" s="8" t="s">
        <v>481</v>
      </c>
      <c r="M3736" s="8">
        <v>0</v>
      </c>
      <c r="N3736" s="8"/>
    </row>
    <row r="3737" spans="6:14" x14ac:dyDescent="0.35">
      <c r="F3737" s="1"/>
      <c r="K3737" s="8" t="s">
        <v>2092</v>
      </c>
      <c r="L3737" s="8" t="s">
        <v>482</v>
      </c>
      <c r="M3737" s="8">
        <v>0</v>
      </c>
      <c r="N3737" s="8"/>
    </row>
    <row r="3738" spans="6:14" x14ac:dyDescent="0.35">
      <c r="F3738" s="1"/>
      <c r="K3738" s="8" t="s">
        <v>2092</v>
      </c>
      <c r="L3738" s="8" t="s">
        <v>483</v>
      </c>
      <c r="M3738" s="8">
        <v>0</v>
      </c>
      <c r="N3738" s="8"/>
    </row>
    <row r="3739" spans="6:14" x14ac:dyDescent="0.35">
      <c r="F3739" s="1"/>
      <c r="K3739" s="8" t="s">
        <v>2092</v>
      </c>
      <c r="L3739" s="8" t="s">
        <v>484</v>
      </c>
      <c r="M3739" s="8">
        <v>0</v>
      </c>
      <c r="N3739" s="8"/>
    </row>
    <row r="3740" spans="6:14" x14ac:dyDescent="0.35">
      <c r="F3740" s="1"/>
      <c r="K3740" s="8" t="s">
        <v>2092</v>
      </c>
      <c r="L3740" s="8" t="s">
        <v>486</v>
      </c>
      <c r="M3740" s="8">
        <v>0</v>
      </c>
      <c r="N3740" s="8"/>
    </row>
    <row r="3741" spans="6:14" x14ac:dyDescent="0.35">
      <c r="F3741" s="1"/>
      <c r="K3741" s="8" t="s">
        <v>2092</v>
      </c>
      <c r="L3741" s="8" t="s">
        <v>487</v>
      </c>
      <c r="M3741" s="8">
        <v>0</v>
      </c>
      <c r="N3741" s="8"/>
    </row>
    <row r="3742" spans="6:14" x14ac:dyDescent="0.35">
      <c r="F3742" s="1"/>
      <c r="K3742" s="8" t="s">
        <v>2092</v>
      </c>
      <c r="L3742" s="8" t="s">
        <v>488</v>
      </c>
      <c r="M3742" s="8">
        <v>0</v>
      </c>
      <c r="N3742" s="8"/>
    </row>
    <row r="3743" spans="6:14" x14ac:dyDescent="0.35">
      <c r="F3743" s="1"/>
      <c r="K3743" s="8" t="s">
        <v>2092</v>
      </c>
      <c r="L3743" s="8" t="s">
        <v>489</v>
      </c>
      <c r="M3743" s="8">
        <v>0</v>
      </c>
      <c r="N3743" s="8"/>
    </row>
    <row r="3744" spans="6:14" x14ac:dyDescent="0.35">
      <c r="F3744" s="1"/>
      <c r="K3744" s="8" t="s">
        <v>2092</v>
      </c>
      <c r="L3744" s="8" t="s">
        <v>490</v>
      </c>
      <c r="M3744" s="8">
        <v>0</v>
      </c>
      <c r="N3744" s="8"/>
    </row>
    <row r="3745" spans="6:14" x14ac:dyDescent="0.35">
      <c r="F3745" s="1"/>
      <c r="K3745" s="8" t="s">
        <v>2092</v>
      </c>
      <c r="L3745" s="8" t="s">
        <v>491</v>
      </c>
      <c r="M3745" s="8">
        <v>0</v>
      </c>
      <c r="N3745" s="8"/>
    </row>
    <row r="3746" spans="6:14" x14ac:dyDescent="0.35">
      <c r="F3746" s="1"/>
      <c r="K3746" s="8" t="s">
        <v>2092</v>
      </c>
      <c r="L3746" s="8" t="s">
        <v>492</v>
      </c>
      <c r="M3746" s="8">
        <v>0</v>
      </c>
      <c r="N3746" s="8"/>
    </row>
    <row r="3747" spans="6:14" x14ac:dyDescent="0.35">
      <c r="F3747" s="1"/>
      <c r="K3747" s="8" t="s">
        <v>2092</v>
      </c>
      <c r="L3747" s="8" t="s">
        <v>493</v>
      </c>
      <c r="M3747" s="8">
        <v>0</v>
      </c>
      <c r="N3747" s="8"/>
    </row>
    <row r="3748" spans="6:14" x14ac:dyDescent="0.35">
      <c r="F3748" s="1"/>
      <c r="K3748" s="8" t="s">
        <v>2092</v>
      </c>
      <c r="L3748" s="8" t="s">
        <v>494</v>
      </c>
      <c r="M3748" s="8">
        <v>0</v>
      </c>
      <c r="N3748" s="8"/>
    </row>
    <row r="3749" spans="6:14" x14ac:dyDescent="0.35">
      <c r="F3749" s="1"/>
      <c r="K3749" s="8" t="s">
        <v>2092</v>
      </c>
      <c r="L3749" s="8" t="s">
        <v>495</v>
      </c>
      <c r="M3749" s="8">
        <v>0</v>
      </c>
      <c r="N3749" s="8"/>
    </row>
    <row r="3750" spans="6:14" x14ac:dyDescent="0.35">
      <c r="F3750" s="1"/>
      <c r="K3750" s="8" t="s">
        <v>2093</v>
      </c>
      <c r="L3750" s="8" t="s">
        <v>431</v>
      </c>
      <c r="M3750" s="8">
        <v>1</v>
      </c>
      <c r="N3750" s="8"/>
    </row>
    <row r="3751" spans="6:14" x14ac:dyDescent="0.35">
      <c r="F3751" s="1"/>
      <c r="K3751" s="8" t="s">
        <v>2093</v>
      </c>
      <c r="L3751" s="8" t="s">
        <v>350</v>
      </c>
      <c r="M3751" s="8">
        <v>1</v>
      </c>
      <c r="N3751" s="8"/>
    </row>
    <row r="3752" spans="6:14" x14ac:dyDescent="0.35">
      <c r="F3752" s="1"/>
      <c r="K3752" s="8" t="s">
        <v>2093</v>
      </c>
      <c r="L3752" s="8" t="s">
        <v>2306</v>
      </c>
      <c r="M3752" s="8">
        <v>0</v>
      </c>
      <c r="N3752" s="8"/>
    </row>
    <row r="3753" spans="6:14" x14ac:dyDescent="0.35">
      <c r="F3753" s="1"/>
      <c r="K3753" s="8" t="s">
        <v>2093</v>
      </c>
      <c r="L3753" s="8" t="s">
        <v>2307</v>
      </c>
      <c r="M3753" s="8">
        <v>1</v>
      </c>
      <c r="N3753" s="8" t="s">
        <v>539</v>
      </c>
    </row>
    <row r="3754" spans="6:14" x14ac:dyDescent="0.35">
      <c r="F3754" s="1"/>
      <c r="K3754" s="8" t="s">
        <v>2093</v>
      </c>
      <c r="L3754" s="8" t="s">
        <v>2308</v>
      </c>
      <c r="M3754" s="8">
        <v>1</v>
      </c>
      <c r="N3754" s="8" t="s">
        <v>476</v>
      </c>
    </row>
    <row r="3755" spans="6:14" x14ac:dyDescent="0.35">
      <c r="F3755" s="1"/>
      <c r="K3755" s="8" t="s">
        <v>2093</v>
      </c>
      <c r="L3755" s="8" t="s">
        <v>2309</v>
      </c>
      <c r="M3755" s="8">
        <v>1</v>
      </c>
      <c r="N3755" s="8" t="s">
        <v>476</v>
      </c>
    </row>
    <row r="3756" spans="6:14" x14ac:dyDescent="0.35">
      <c r="F3756" s="1"/>
      <c r="K3756" s="8" t="s">
        <v>2093</v>
      </c>
      <c r="L3756" s="8" t="s">
        <v>2310</v>
      </c>
      <c r="M3756" s="8">
        <v>1</v>
      </c>
      <c r="N3756" s="8" t="s">
        <v>539</v>
      </c>
    </row>
    <row r="3757" spans="6:14" x14ac:dyDescent="0.35">
      <c r="F3757" s="1"/>
      <c r="K3757" s="8" t="s">
        <v>2093</v>
      </c>
      <c r="L3757" s="8" t="s">
        <v>2311</v>
      </c>
      <c r="M3757" s="8">
        <v>1</v>
      </c>
      <c r="N3757" s="8" t="s">
        <v>1030</v>
      </c>
    </row>
    <row r="3758" spans="6:14" x14ac:dyDescent="0.35">
      <c r="F3758" s="1"/>
      <c r="K3758" s="8" t="s">
        <v>2093</v>
      </c>
      <c r="L3758" s="8" t="s">
        <v>2312</v>
      </c>
      <c r="M3758" s="8">
        <v>1</v>
      </c>
      <c r="N3758" s="8" t="s">
        <v>539</v>
      </c>
    </row>
    <row r="3759" spans="6:14" x14ac:dyDescent="0.35">
      <c r="F3759" s="1"/>
      <c r="K3759" s="8" t="s">
        <v>2093</v>
      </c>
      <c r="L3759" s="8" t="s">
        <v>2313</v>
      </c>
      <c r="M3759" s="8">
        <v>0</v>
      </c>
      <c r="N3759" s="8"/>
    </row>
    <row r="3760" spans="6:14" x14ac:dyDescent="0.35">
      <c r="F3760" s="1"/>
      <c r="K3760" s="8" t="s">
        <v>2093</v>
      </c>
      <c r="L3760" s="8" t="s">
        <v>2314</v>
      </c>
      <c r="M3760" s="8">
        <v>0</v>
      </c>
      <c r="N3760" s="8"/>
    </row>
    <row r="3761" spans="6:14" x14ac:dyDescent="0.35">
      <c r="F3761" s="1"/>
      <c r="K3761" s="8" t="s">
        <v>2093</v>
      </c>
      <c r="L3761" s="8" t="s">
        <v>2315</v>
      </c>
      <c r="M3761" s="8">
        <v>1</v>
      </c>
      <c r="N3761" s="8"/>
    </row>
    <row r="3762" spans="6:14" x14ac:dyDescent="0.35">
      <c r="F3762" s="1"/>
      <c r="K3762" s="8" t="s">
        <v>2093</v>
      </c>
      <c r="L3762" s="8" t="s">
        <v>2316</v>
      </c>
      <c r="M3762" s="8">
        <v>0</v>
      </c>
      <c r="N3762" s="8"/>
    </row>
    <row r="3763" spans="6:14" x14ac:dyDescent="0.35">
      <c r="F3763" s="1"/>
      <c r="K3763" s="8" t="s">
        <v>2093</v>
      </c>
      <c r="L3763" s="8" t="s">
        <v>2317</v>
      </c>
      <c r="M3763" s="8">
        <v>1</v>
      </c>
      <c r="N3763" s="8"/>
    </row>
    <row r="3764" spans="6:14" x14ac:dyDescent="0.35">
      <c r="F3764" s="1"/>
      <c r="K3764" s="8" t="s">
        <v>2093</v>
      </c>
      <c r="L3764" s="8" t="s">
        <v>2318</v>
      </c>
      <c r="M3764" s="8">
        <v>1</v>
      </c>
      <c r="N3764" s="8"/>
    </row>
    <row r="3765" spans="6:14" x14ac:dyDescent="0.35">
      <c r="F3765" s="1"/>
      <c r="K3765" s="8" t="s">
        <v>2093</v>
      </c>
      <c r="L3765" s="8" t="s">
        <v>2319</v>
      </c>
      <c r="M3765" s="8">
        <v>0</v>
      </c>
      <c r="N3765" s="8"/>
    </row>
    <row r="3766" spans="6:14" x14ac:dyDescent="0.35">
      <c r="F3766" s="1"/>
      <c r="K3766" s="8" t="s">
        <v>2093</v>
      </c>
      <c r="L3766" s="8" t="s">
        <v>2320</v>
      </c>
      <c r="M3766" s="8">
        <v>0</v>
      </c>
      <c r="N3766" s="8"/>
    </row>
    <row r="3767" spans="6:14" x14ac:dyDescent="0.35">
      <c r="F3767" s="1"/>
      <c r="K3767" s="8" t="s">
        <v>2093</v>
      </c>
      <c r="L3767" s="8" t="s">
        <v>2321</v>
      </c>
      <c r="M3767" s="8">
        <v>0</v>
      </c>
      <c r="N3767" s="8"/>
    </row>
    <row r="3768" spans="6:14" x14ac:dyDescent="0.35">
      <c r="F3768" s="1"/>
      <c r="K3768" s="8" t="s">
        <v>2093</v>
      </c>
      <c r="L3768" s="8" t="s">
        <v>2322</v>
      </c>
      <c r="M3768" s="8">
        <v>0</v>
      </c>
      <c r="N3768" s="8"/>
    </row>
    <row r="3769" spans="6:14" x14ac:dyDescent="0.35">
      <c r="F3769" s="1"/>
      <c r="K3769" s="8" t="s">
        <v>2093</v>
      </c>
      <c r="L3769" s="8" t="s">
        <v>2323</v>
      </c>
      <c r="M3769" s="8">
        <v>0</v>
      </c>
      <c r="N3769" s="8"/>
    </row>
    <row r="3770" spans="6:14" x14ac:dyDescent="0.35">
      <c r="F3770" s="1"/>
      <c r="K3770" s="8" t="s">
        <v>2093</v>
      </c>
      <c r="L3770" s="8" t="s">
        <v>2324</v>
      </c>
      <c r="M3770" s="8">
        <v>0</v>
      </c>
      <c r="N3770" s="8"/>
    </row>
    <row r="3771" spans="6:14" x14ac:dyDescent="0.35">
      <c r="F3771" s="1"/>
      <c r="K3771" s="8" t="s">
        <v>2093</v>
      </c>
      <c r="L3771" s="8" t="s">
        <v>2325</v>
      </c>
      <c r="M3771" s="8">
        <v>0</v>
      </c>
      <c r="N3771" s="8"/>
    </row>
    <row r="3772" spans="6:14" x14ac:dyDescent="0.35">
      <c r="F3772" s="1"/>
      <c r="K3772" s="8" t="s">
        <v>2093</v>
      </c>
      <c r="L3772" s="8" t="s">
        <v>2326</v>
      </c>
      <c r="M3772" s="8">
        <v>0</v>
      </c>
      <c r="N3772" s="8"/>
    </row>
    <row r="3773" spans="6:14" x14ac:dyDescent="0.35">
      <c r="F3773" s="1"/>
      <c r="K3773" s="8" t="s">
        <v>2093</v>
      </c>
      <c r="L3773" s="8" t="s">
        <v>412</v>
      </c>
      <c r="M3773" s="8">
        <v>1</v>
      </c>
      <c r="N3773" s="8"/>
    </row>
    <row r="3774" spans="6:14" x14ac:dyDescent="0.35">
      <c r="F3774" s="1"/>
      <c r="K3774" s="8" t="s">
        <v>2093</v>
      </c>
      <c r="L3774" s="8" t="s">
        <v>435</v>
      </c>
      <c r="M3774" s="8">
        <v>1</v>
      </c>
      <c r="N3774" s="8"/>
    </row>
    <row r="3775" spans="6:14" x14ac:dyDescent="0.35">
      <c r="F3775" s="1"/>
      <c r="K3775" s="8" t="s">
        <v>2093</v>
      </c>
      <c r="L3775" s="8" t="s">
        <v>432</v>
      </c>
      <c r="M3775" s="8">
        <v>1</v>
      </c>
      <c r="N3775" s="8" t="s">
        <v>1004</v>
      </c>
    </row>
    <row r="3776" spans="6:14" x14ac:dyDescent="0.35">
      <c r="F3776" s="1"/>
      <c r="K3776" s="8" t="s">
        <v>2093</v>
      </c>
      <c r="L3776" s="8" t="s">
        <v>433</v>
      </c>
      <c r="M3776" s="8">
        <v>1</v>
      </c>
      <c r="N3776" s="8" t="s">
        <v>1010</v>
      </c>
    </row>
    <row r="3777" spans="6:14" x14ac:dyDescent="0.35">
      <c r="F3777" s="1"/>
      <c r="K3777" s="8" t="s">
        <v>2093</v>
      </c>
      <c r="L3777" s="8" t="s">
        <v>434</v>
      </c>
      <c r="M3777" s="8">
        <v>1</v>
      </c>
      <c r="N3777" s="8" t="s">
        <v>1011</v>
      </c>
    </row>
    <row r="3778" spans="6:14" x14ac:dyDescent="0.35">
      <c r="F3778" s="1"/>
      <c r="K3778" s="8" t="s">
        <v>2094</v>
      </c>
      <c r="L3778" s="8" t="s">
        <v>419</v>
      </c>
      <c r="M3778" s="8">
        <v>1</v>
      </c>
      <c r="N3778" s="8"/>
    </row>
    <row r="3779" spans="6:14" x14ac:dyDescent="0.35">
      <c r="F3779" s="1"/>
      <c r="K3779" s="8" t="s">
        <v>2094</v>
      </c>
      <c r="L3779" s="8" t="s">
        <v>350</v>
      </c>
      <c r="M3779" s="8">
        <v>1</v>
      </c>
      <c r="N3779" s="8"/>
    </row>
    <row r="3780" spans="6:14" x14ac:dyDescent="0.35">
      <c r="F3780" s="1"/>
      <c r="K3780" s="8" t="s">
        <v>2094</v>
      </c>
      <c r="L3780" s="8" t="s">
        <v>412</v>
      </c>
      <c r="M3780" s="8">
        <v>1</v>
      </c>
      <c r="N3780" s="8"/>
    </row>
    <row r="3781" spans="6:14" x14ac:dyDescent="0.35">
      <c r="F3781" s="1"/>
      <c r="K3781" s="8" t="s">
        <v>2094</v>
      </c>
      <c r="L3781" s="8" t="s">
        <v>435</v>
      </c>
      <c r="M3781" s="8">
        <v>1</v>
      </c>
      <c r="N3781" s="8"/>
    </row>
    <row r="3782" spans="6:14" x14ac:dyDescent="0.35">
      <c r="F3782" s="1"/>
      <c r="K3782" s="8" t="s">
        <v>2094</v>
      </c>
      <c r="L3782" s="8" t="s">
        <v>371</v>
      </c>
      <c r="M3782" s="8">
        <v>1</v>
      </c>
      <c r="N3782" s="8"/>
    </row>
    <row r="3783" spans="6:14" x14ac:dyDescent="0.35">
      <c r="F3783" s="1"/>
      <c r="K3783" s="8" t="s">
        <v>2094</v>
      </c>
      <c r="L3783" s="8" t="s">
        <v>370</v>
      </c>
      <c r="M3783" s="8">
        <v>1</v>
      </c>
      <c r="N3783" s="8"/>
    </row>
    <row r="3784" spans="6:14" x14ac:dyDescent="0.35">
      <c r="F3784" s="1"/>
      <c r="K3784" s="8" t="s">
        <v>2094</v>
      </c>
      <c r="L3784" s="8" t="s">
        <v>432</v>
      </c>
      <c r="M3784" s="8">
        <v>1</v>
      </c>
      <c r="N3784" s="8" t="s">
        <v>1004</v>
      </c>
    </row>
    <row r="3785" spans="6:14" x14ac:dyDescent="0.35">
      <c r="F3785" s="1"/>
      <c r="K3785" s="8" t="s">
        <v>2094</v>
      </c>
      <c r="L3785" s="8" t="s">
        <v>433</v>
      </c>
      <c r="M3785" s="8">
        <v>1</v>
      </c>
      <c r="N3785" s="8" t="s">
        <v>1010</v>
      </c>
    </row>
    <row r="3786" spans="6:14" x14ac:dyDescent="0.35">
      <c r="F3786" s="1"/>
      <c r="K3786" s="8" t="s">
        <v>2094</v>
      </c>
      <c r="L3786" s="8" t="s">
        <v>434</v>
      </c>
      <c r="M3786" s="8">
        <v>1</v>
      </c>
      <c r="N3786" s="8" t="s">
        <v>1011</v>
      </c>
    </row>
    <row r="3787" spans="6:14" x14ac:dyDescent="0.35">
      <c r="F3787" s="1"/>
      <c r="K3787" s="8" t="s">
        <v>2095</v>
      </c>
      <c r="L3787" s="8" t="s">
        <v>350</v>
      </c>
      <c r="M3787" s="8">
        <v>1</v>
      </c>
      <c r="N3787" s="8"/>
    </row>
    <row r="3788" spans="6:14" x14ac:dyDescent="0.35">
      <c r="F3788" s="1"/>
      <c r="K3788" s="8" t="s">
        <v>2095</v>
      </c>
      <c r="L3788" s="8" t="s">
        <v>2305</v>
      </c>
      <c r="M3788" s="8">
        <v>1</v>
      </c>
      <c r="N3788" s="8"/>
    </row>
    <row r="3789" spans="6:14" x14ac:dyDescent="0.35">
      <c r="F3789" s="1"/>
      <c r="K3789" s="8" t="s">
        <v>2095</v>
      </c>
      <c r="L3789" s="8" t="s">
        <v>412</v>
      </c>
      <c r="M3789" s="8">
        <v>1</v>
      </c>
      <c r="N3789" s="8"/>
    </row>
    <row r="3790" spans="6:14" x14ac:dyDescent="0.35">
      <c r="F3790" s="1"/>
      <c r="K3790" s="8" t="s">
        <v>2095</v>
      </c>
      <c r="L3790" s="8" t="s">
        <v>435</v>
      </c>
      <c r="M3790" s="8">
        <v>1</v>
      </c>
      <c r="N3790" s="8"/>
    </row>
    <row r="3791" spans="6:14" x14ac:dyDescent="0.35">
      <c r="F3791" s="1"/>
      <c r="K3791" s="8" t="s">
        <v>2095</v>
      </c>
      <c r="L3791" s="8" t="s">
        <v>370</v>
      </c>
      <c r="M3791" s="8">
        <v>1</v>
      </c>
      <c r="N3791" s="8"/>
    </row>
    <row r="3792" spans="6:14" x14ac:dyDescent="0.35">
      <c r="F3792" s="1"/>
      <c r="K3792" s="8" t="s">
        <v>2095</v>
      </c>
      <c r="L3792" s="8" t="s">
        <v>432</v>
      </c>
      <c r="M3792" s="8">
        <v>1</v>
      </c>
      <c r="N3792" s="8" t="s">
        <v>1004</v>
      </c>
    </row>
    <row r="3793" spans="6:14" x14ac:dyDescent="0.35">
      <c r="F3793" s="1"/>
      <c r="K3793" s="8" t="s">
        <v>2095</v>
      </c>
      <c r="L3793" s="8" t="s">
        <v>433</v>
      </c>
      <c r="M3793" s="8">
        <v>1</v>
      </c>
      <c r="N3793" s="8" t="s">
        <v>1010</v>
      </c>
    </row>
    <row r="3794" spans="6:14" x14ac:dyDescent="0.35">
      <c r="F3794" s="1"/>
      <c r="K3794" s="8" t="s">
        <v>2095</v>
      </c>
      <c r="L3794" s="8" t="s">
        <v>434</v>
      </c>
      <c r="M3794" s="8">
        <v>1</v>
      </c>
      <c r="N3794" s="8" t="s">
        <v>1011</v>
      </c>
    </row>
    <row r="3795" spans="6:14" x14ac:dyDescent="0.35">
      <c r="F3795" s="1"/>
      <c r="K3795" s="8" t="s">
        <v>2096</v>
      </c>
      <c r="L3795" s="8" t="s">
        <v>365</v>
      </c>
      <c r="M3795" s="8">
        <v>1</v>
      </c>
      <c r="N3795" s="8"/>
    </row>
    <row r="3796" spans="6:14" x14ac:dyDescent="0.35">
      <c r="F3796" s="1"/>
      <c r="K3796" s="8" t="s">
        <v>2096</v>
      </c>
      <c r="L3796" s="8" t="s">
        <v>364</v>
      </c>
      <c r="M3796" s="8">
        <v>1</v>
      </c>
      <c r="N3796" s="8"/>
    </row>
    <row r="3797" spans="6:14" x14ac:dyDescent="0.35">
      <c r="F3797" s="1"/>
      <c r="K3797" s="8" t="s">
        <v>2096</v>
      </c>
      <c r="L3797" s="8" t="s">
        <v>363</v>
      </c>
      <c r="M3797" s="8">
        <v>1</v>
      </c>
      <c r="N3797" s="8"/>
    </row>
    <row r="3798" spans="6:14" x14ac:dyDescent="0.35">
      <c r="F3798" s="1"/>
      <c r="K3798" s="8" t="s">
        <v>2096</v>
      </c>
      <c r="L3798" s="8" t="s">
        <v>362</v>
      </c>
      <c r="M3798" s="8">
        <v>1</v>
      </c>
      <c r="N3798" s="8"/>
    </row>
    <row r="3799" spans="6:14" x14ac:dyDescent="0.35">
      <c r="F3799" s="1"/>
      <c r="K3799" s="8" t="s">
        <v>2096</v>
      </c>
      <c r="L3799" s="8" t="s">
        <v>1313</v>
      </c>
      <c r="M3799" s="8">
        <v>1</v>
      </c>
      <c r="N3799" s="8" t="s">
        <v>517</v>
      </c>
    </row>
    <row r="3800" spans="6:14" x14ac:dyDescent="0.35">
      <c r="F3800" s="1"/>
      <c r="K3800" s="8" t="s">
        <v>2096</v>
      </c>
      <c r="L3800" s="8" t="s">
        <v>358</v>
      </c>
      <c r="M3800" s="8">
        <v>1</v>
      </c>
      <c r="N3800" s="8"/>
    </row>
    <row r="3801" spans="6:14" x14ac:dyDescent="0.35">
      <c r="F3801" s="1"/>
      <c r="K3801" s="8" t="s">
        <v>2096</v>
      </c>
      <c r="L3801" s="8" t="s">
        <v>1314</v>
      </c>
      <c r="M3801" s="8">
        <v>1</v>
      </c>
      <c r="N3801" s="8" t="s">
        <v>476</v>
      </c>
    </row>
    <row r="3802" spans="6:14" x14ac:dyDescent="0.35">
      <c r="F3802" s="1"/>
      <c r="K3802" s="8" t="s">
        <v>2096</v>
      </c>
      <c r="L3802" s="8" t="s">
        <v>1315</v>
      </c>
      <c r="M3802" s="8">
        <v>1</v>
      </c>
      <c r="N3802" s="8" t="s">
        <v>476</v>
      </c>
    </row>
    <row r="3803" spans="6:14" x14ac:dyDescent="0.35">
      <c r="F3803" s="1"/>
      <c r="K3803" s="8" t="s">
        <v>2096</v>
      </c>
      <c r="L3803" s="8" t="s">
        <v>357</v>
      </c>
      <c r="M3803" s="8">
        <v>1</v>
      </c>
      <c r="N3803" s="8"/>
    </row>
    <row r="3804" spans="6:14" x14ac:dyDescent="0.35">
      <c r="F3804" s="1"/>
      <c r="K3804" s="8" t="s">
        <v>2096</v>
      </c>
      <c r="L3804" s="8" t="s">
        <v>1316</v>
      </c>
      <c r="M3804" s="8">
        <v>0</v>
      </c>
      <c r="N3804" s="8"/>
    </row>
    <row r="3805" spans="6:14" x14ac:dyDescent="0.35">
      <c r="F3805" s="1"/>
      <c r="K3805" s="8" t="s">
        <v>2096</v>
      </c>
      <c r="L3805" s="8" t="s">
        <v>1317</v>
      </c>
      <c r="M3805" s="8">
        <v>1</v>
      </c>
      <c r="N3805" s="8" t="s">
        <v>476</v>
      </c>
    </row>
    <row r="3806" spans="6:14" x14ac:dyDescent="0.35">
      <c r="F3806" s="1"/>
      <c r="K3806" s="8" t="s">
        <v>2096</v>
      </c>
      <c r="L3806" s="8" t="s">
        <v>450</v>
      </c>
      <c r="M3806" s="8">
        <v>1</v>
      </c>
      <c r="N3806" s="8"/>
    </row>
    <row r="3807" spans="6:14" x14ac:dyDescent="0.35">
      <c r="F3807" s="1"/>
      <c r="K3807" s="8" t="s">
        <v>2096</v>
      </c>
      <c r="L3807" s="8" t="s">
        <v>930</v>
      </c>
      <c r="M3807" s="8">
        <v>1</v>
      </c>
      <c r="N3807" s="8" t="s">
        <v>931</v>
      </c>
    </row>
    <row r="3808" spans="6:14" x14ac:dyDescent="0.35">
      <c r="F3808" s="1"/>
      <c r="K3808" s="8" t="s">
        <v>2096</v>
      </c>
      <c r="L3808" s="8" t="s">
        <v>356</v>
      </c>
      <c r="M3808" s="8">
        <v>1</v>
      </c>
      <c r="N3808" s="8"/>
    </row>
    <row r="3809" spans="6:14" x14ac:dyDescent="0.35">
      <c r="F3809" s="1"/>
      <c r="K3809" s="8" t="s">
        <v>2096</v>
      </c>
      <c r="L3809" s="8" t="s">
        <v>480</v>
      </c>
      <c r="M3809" s="8">
        <v>0</v>
      </c>
      <c r="N3809" s="8"/>
    </row>
    <row r="3810" spans="6:14" x14ac:dyDescent="0.35">
      <c r="F3810" s="1"/>
      <c r="K3810" s="8" t="s">
        <v>2096</v>
      </c>
      <c r="L3810" s="8" t="s">
        <v>481</v>
      </c>
      <c r="M3810" s="8">
        <v>0</v>
      </c>
      <c r="N3810" s="8"/>
    </row>
    <row r="3811" spans="6:14" x14ac:dyDescent="0.35">
      <c r="F3811" s="1"/>
      <c r="K3811" s="8" t="s">
        <v>2096</v>
      </c>
      <c r="L3811" s="8" t="s">
        <v>482</v>
      </c>
      <c r="M3811" s="8">
        <v>0</v>
      </c>
      <c r="N3811" s="8"/>
    </row>
    <row r="3812" spans="6:14" x14ac:dyDescent="0.35">
      <c r="F3812" s="1"/>
      <c r="K3812" s="8" t="s">
        <v>2096</v>
      </c>
      <c r="L3812" s="8" t="s">
        <v>483</v>
      </c>
      <c r="M3812" s="8">
        <v>0</v>
      </c>
      <c r="N3812" s="8"/>
    </row>
    <row r="3813" spans="6:14" x14ac:dyDescent="0.35">
      <c r="F3813" s="1"/>
      <c r="K3813" s="8" t="s">
        <v>2096</v>
      </c>
      <c r="L3813" s="8" t="s">
        <v>484</v>
      </c>
      <c r="M3813" s="8">
        <v>0</v>
      </c>
      <c r="N3813" s="8"/>
    </row>
    <row r="3814" spans="6:14" x14ac:dyDescent="0.35">
      <c r="F3814" s="1"/>
      <c r="K3814" s="8" t="s">
        <v>2096</v>
      </c>
      <c r="L3814" s="8" t="s">
        <v>452</v>
      </c>
      <c r="M3814" s="8">
        <v>1</v>
      </c>
      <c r="N3814" s="8" t="s">
        <v>1006</v>
      </c>
    </row>
    <row r="3815" spans="6:14" x14ac:dyDescent="0.35">
      <c r="F3815" s="1"/>
      <c r="K3815" s="8" t="s">
        <v>2096</v>
      </c>
      <c r="L3815" s="8" t="s">
        <v>355</v>
      </c>
      <c r="M3815" s="8">
        <v>1</v>
      </c>
      <c r="N3815" s="8"/>
    </row>
    <row r="3816" spans="6:14" x14ac:dyDescent="0.35">
      <c r="F3816" s="1"/>
      <c r="K3816" s="8" t="s">
        <v>2096</v>
      </c>
      <c r="L3816" s="8" t="s">
        <v>451</v>
      </c>
      <c r="M3816" s="8">
        <v>1</v>
      </c>
      <c r="N3816" s="8" t="s">
        <v>476</v>
      </c>
    </row>
    <row r="3817" spans="6:14" x14ac:dyDescent="0.35">
      <c r="F3817" s="1"/>
      <c r="K3817" s="8" t="s">
        <v>2096</v>
      </c>
      <c r="L3817" s="8" t="s">
        <v>1318</v>
      </c>
      <c r="M3817" s="8">
        <v>1</v>
      </c>
      <c r="N3817" s="8" t="s">
        <v>476</v>
      </c>
    </row>
    <row r="3818" spans="6:14" x14ac:dyDescent="0.35">
      <c r="F3818" s="1"/>
      <c r="K3818" s="8" t="s">
        <v>2096</v>
      </c>
      <c r="L3818" s="8" t="s">
        <v>1319</v>
      </c>
      <c r="M3818" s="8">
        <v>1</v>
      </c>
      <c r="N3818" s="8" t="s">
        <v>476</v>
      </c>
    </row>
    <row r="3819" spans="6:14" x14ac:dyDescent="0.35">
      <c r="F3819" s="1"/>
      <c r="K3819" s="8" t="s">
        <v>2096</v>
      </c>
      <c r="L3819" s="8" t="s">
        <v>1320</v>
      </c>
      <c r="M3819" s="8">
        <v>1</v>
      </c>
      <c r="N3819" s="8" t="s">
        <v>476</v>
      </c>
    </row>
    <row r="3820" spans="6:14" x14ac:dyDescent="0.35">
      <c r="F3820" s="1"/>
      <c r="K3820" s="8" t="s">
        <v>2096</v>
      </c>
      <c r="L3820" s="8" t="s">
        <v>486</v>
      </c>
      <c r="M3820" s="8">
        <v>0</v>
      </c>
      <c r="N3820" s="8"/>
    </row>
    <row r="3821" spans="6:14" x14ac:dyDescent="0.35">
      <c r="F3821" s="1"/>
      <c r="K3821" s="8" t="s">
        <v>2096</v>
      </c>
      <c r="L3821" s="8" t="s">
        <v>487</v>
      </c>
      <c r="M3821" s="8">
        <v>0</v>
      </c>
      <c r="N3821" s="8"/>
    </row>
    <row r="3822" spans="6:14" x14ac:dyDescent="0.35">
      <c r="F3822" s="1"/>
      <c r="K3822" s="8" t="s">
        <v>2096</v>
      </c>
      <c r="L3822" s="8" t="s">
        <v>488</v>
      </c>
      <c r="M3822" s="8">
        <v>0</v>
      </c>
      <c r="N3822" s="8"/>
    </row>
    <row r="3823" spans="6:14" x14ac:dyDescent="0.35">
      <c r="F3823" s="1"/>
      <c r="K3823" s="8" t="s">
        <v>2096</v>
      </c>
      <c r="L3823" s="8" t="s">
        <v>489</v>
      </c>
      <c r="M3823" s="8">
        <v>0</v>
      </c>
      <c r="N3823" s="8"/>
    </row>
    <row r="3824" spans="6:14" x14ac:dyDescent="0.35">
      <c r="F3824" s="1"/>
      <c r="K3824" s="8" t="s">
        <v>2096</v>
      </c>
      <c r="L3824" s="8" t="s">
        <v>490</v>
      </c>
      <c r="M3824" s="8">
        <v>0</v>
      </c>
      <c r="N3824" s="8"/>
    </row>
    <row r="3825" spans="6:14" x14ac:dyDescent="0.35">
      <c r="F3825" s="1"/>
      <c r="K3825" s="8" t="s">
        <v>2096</v>
      </c>
      <c r="L3825" s="8" t="s">
        <v>1321</v>
      </c>
      <c r="M3825" s="8">
        <v>1</v>
      </c>
      <c r="N3825" s="8" t="s">
        <v>940</v>
      </c>
    </row>
    <row r="3826" spans="6:14" x14ac:dyDescent="0.35">
      <c r="F3826" s="1"/>
      <c r="K3826" s="8" t="s">
        <v>2096</v>
      </c>
      <c r="L3826" s="8" t="s">
        <v>491</v>
      </c>
      <c r="M3826" s="8">
        <v>0</v>
      </c>
      <c r="N3826" s="8"/>
    </row>
    <row r="3827" spans="6:14" x14ac:dyDescent="0.35">
      <c r="F3827" s="1"/>
      <c r="K3827" s="8" t="s">
        <v>2096</v>
      </c>
      <c r="L3827" s="8" t="s">
        <v>492</v>
      </c>
      <c r="M3827" s="8">
        <v>0</v>
      </c>
      <c r="N3827" s="8"/>
    </row>
    <row r="3828" spans="6:14" x14ac:dyDescent="0.35">
      <c r="F3828" s="1"/>
      <c r="K3828" s="8" t="s">
        <v>2096</v>
      </c>
      <c r="L3828" s="8" t="s">
        <v>493</v>
      </c>
      <c r="M3828" s="8">
        <v>0</v>
      </c>
      <c r="N3828" s="8"/>
    </row>
    <row r="3829" spans="6:14" x14ac:dyDescent="0.35">
      <c r="F3829" s="1"/>
      <c r="K3829" s="8" t="s">
        <v>2098</v>
      </c>
      <c r="L3829" s="8" t="s">
        <v>543</v>
      </c>
      <c r="M3829" s="8">
        <v>0</v>
      </c>
      <c r="N3829" s="8"/>
    </row>
    <row r="3830" spans="6:14" x14ac:dyDescent="0.35">
      <c r="F3830" s="1"/>
      <c r="K3830" s="8" t="s">
        <v>2098</v>
      </c>
      <c r="L3830" s="8" t="s">
        <v>2589</v>
      </c>
      <c r="M3830" s="8">
        <v>0</v>
      </c>
      <c r="N3830" s="8"/>
    </row>
    <row r="3831" spans="6:14" x14ac:dyDescent="0.35">
      <c r="F3831" s="1"/>
      <c r="K3831" s="8" t="s">
        <v>2098</v>
      </c>
      <c r="L3831" s="8" t="s">
        <v>2590</v>
      </c>
      <c r="M3831" s="8">
        <v>0</v>
      </c>
      <c r="N3831" s="8"/>
    </row>
    <row r="3832" spans="6:14" x14ac:dyDescent="0.35">
      <c r="F3832" s="1"/>
      <c r="K3832" s="8" t="s">
        <v>2098</v>
      </c>
      <c r="L3832" s="8" t="s">
        <v>480</v>
      </c>
      <c r="M3832" s="8">
        <v>0</v>
      </c>
      <c r="N3832" s="8"/>
    </row>
    <row r="3833" spans="6:14" x14ac:dyDescent="0.35">
      <c r="F3833" s="1"/>
      <c r="K3833" s="8" t="s">
        <v>2098</v>
      </c>
      <c r="L3833" s="8" t="s">
        <v>481</v>
      </c>
      <c r="M3833" s="8">
        <v>0</v>
      </c>
      <c r="N3833" s="8"/>
    </row>
    <row r="3834" spans="6:14" x14ac:dyDescent="0.35">
      <c r="F3834" s="1"/>
      <c r="K3834" s="8" t="s">
        <v>2098</v>
      </c>
      <c r="L3834" s="8" t="s">
        <v>482</v>
      </c>
      <c r="M3834" s="8">
        <v>0</v>
      </c>
      <c r="N3834" s="8"/>
    </row>
    <row r="3835" spans="6:14" x14ac:dyDescent="0.35">
      <c r="F3835" s="1"/>
      <c r="K3835" s="8" t="s">
        <v>2098</v>
      </c>
      <c r="L3835" s="8" t="s">
        <v>483</v>
      </c>
      <c r="M3835" s="8">
        <v>0</v>
      </c>
      <c r="N3835" s="8"/>
    </row>
    <row r="3836" spans="6:14" x14ac:dyDescent="0.35">
      <c r="F3836" s="1"/>
      <c r="K3836" s="8" t="s">
        <v>2098</v>
      </c>
      <c r="L3836" s="8" t="s">
        <v>484</v>
      </c>
      <c r="M3836" s="8">
        <v>0</v>
      </c>
      <c r="N3836" s="8"/>
    </row>
    <row r="3837" spans="6:14" x14ac:dyDescent="0.35">
      <c r="F3837" s="1"/>
      <c r="K3837" s="8" t="s">
        <v>2098</v>
      </c>
      <c r="L3837" s="8" t="s">
        <v>375</v>
      </c>
      <c r="M3837" s="8">
        <v>1</v>
      </c>
      <c r="N3837" s="8"/>
    </row>
    <row r="3838" spans="6:14" x14ac:dyDescent="0.35">
      <c r="F3838" s="1"/>
      <c r="K3838" s="8" t="s">
        <v>2098</v>
      </c>
      <c r="L3838" s="8" t="s">
        <v>355</v>
      </c>
      <c r="M3838" s="8">
        <v>1</v>
      </c>
      <c r="N3838" s="8"/>
    </row>
    <row r="3839" spans="6:14" x14ac:dyDescent="0.35">
      <c r="F3839" s="1"/>
      <c r="K3839" s="8" t="s">
        <v>2098</v>
      </c>
      <c r="L3839" s="8" t="s">
        <v>486</v>
      </c>
      <c r="M3839" s="8">
        <v>0</v>
      </c>
      <c r="N3839" s="8"/>
    </row>
    <row r="3840" spans="6:14" x14ac:dyDescent="0.35">
      <c r="F3840" s="1"/>
      <c r="K3840" s="8" t="s">
        <v>2098</v>
      </c>
      <c r="L3840" s="8" t="s">
        <v>487</v>
      </c>
      <c r="M3840" s="8">
        <v>0</v>
      </c>
      <c r="N3840" s="8"/>
    </row>
    <row r="3841" spans="6:14" x14ac:dyDescent="0.35">
      <c r="F3841" s="1"/>
      <c r="K3841" s="8" t="s">
        <v>2098</v>
      </c>
      <c r="L3841" s="8" t="s">
        <v>488</v>
      </c>
      <c r="M3841" s="8">
        <v>0</v>
      </c>
      <c r="N3841" s="8"/>
    </row>
    <row r="3842" spans="6:14" x14ac:dyDescent="0.35">
      <c r="F3842" s="1"/>
      <c r="K3842" s="8" t="s">
        <v>2098</v>
      </c>
      <c r="L3842" s="8" t="s">
        <v>489</v>
      </c>
      <c r="M3842" s="8">
        <v>0</v>
      </c>
      <c r="N3842" s="8"/>
    </row>
    <row r="3843" spans="6:14" x14ac:dyDescent="0.35">
      <c r="F3843" s="1"/>
      <c r="K3843" s="8" t="s">
        <v>2098</v>
      </c>
      <c r="L3843" s="8" t="s">
        <v>490</v>
      </c>
      <c r="M3843" s="8">
        <v>0</v>
      </c>
      <c r="N3843" s="8"/>
    </row>
    <row r="3844" spans="6:14" x14ac:dyDescent="0.35">
      <c r="F3844" s="1"/>
      <c r="K3844" s="8" t="s">
        <v>2098</v>
      </c>
      <c r="L3844" s="8" t="s">
        <v>491</v>
      </c>
      <c r="M3844" s="8">
        <v>0</v>
      </c>
      <c r="N3844" s="8"/>
    </row>
    <row r="3845" spans="6:14" x14ac:dyDescent="0.35">
      <c r="F3845" s="1"/>
      <c r="K3845" s="8" t="s">
        <v>2098</v>
      </c>
      <c r="L3845" s="8" t="s">
        <v>492</v>
      </c>
      <c r="M3845" s="8">
        <v>0</v>
      </c>
      <c r="N3845" s="8"/>
    </row>
    <row r="3846" spans="6:14" x14ac:dyDescent="0.35">
      <c r="F3846" s="1"/>
      <c r="K3846" s="8" t="s">
        <v>2098</v>
      </c>
      <c r="L3846" s="8" t="s">
        <v>493</v>
      </c>
      <c r="M3846" s="8">
        <v>0</v>
      </c>
      <c r="N3846" s="8"/>
    </row>
    <row r="3847" spans="6:14" x14ac:dyDescent="0.35">
      <c r="F3847" s="1"/>
      <c r="K3847" s="8" t="s">
        <v>2099</v>
      </c>
      <c r="L3847" s="8" t="s">
        <v>2409</v>
      </c>
      <c r="M3847" s="8">
        <v>0</v>
      </c>
      <c r="N3847" s="8"/>
    </row>
    <row r="3848" spans="6:14" x14ac:dyDescent="0.35">
      <c r="F3848" s="1"/>
      <c r="K3848" s="8" t="s">
        <v>2099</v>
      </c>
      <c r="L3848" s="8" t="s">
        <v>2410</v>
      </c>
      <c r="M3848" s="8">
        <v>0</v>
      </c>
      <c r="N3848" s="8"/>
    </row>
    <row r="3849" spans="6:14" x14ac:dyDescent="0.35">
      <c r="F3849" s="1"/>
      <c r="K3849" s="8" t="s">
        <v>2099</v>
      </c>
      <c r="L3849" s="8" t="s">
        <v>2411</v>
      </c>
      <c r="M3849" s="8">
        <v>0</v>
      </c>
      <c r="N3849" s="8"/>
    </row>
    <row r="3850" spans="6:14" x14ac:dyDescent="0.35">
      <c r="F3850" s="1"/>
      <c r="K3850" s="8" t="s">
        <v>2099</v>
      </c>
      <c r="L3850" s="8" t="s">
        <v>2412</v>
      </c>
      <c r="M3850" s="8">
        <v>0</v>
      </c>
      <c r="N3850" s="8"/>
    </row>
    <row r="3851" spans="6:14" x14ac:dyDescent="0.35">
      <c r="F3851" s="1"/>
      <c r="K3851" s="8" t="s">
        <v>2099</v>
      </c>
      <c r="L3851" s="8" t="s">
        <v>2413</v>
      </c>
      <c r="M3851" s="8">
        <v>0</v>
      </c>
      <c r="N3851" s="8"/>
    </row>
    <row r="3852" spans="6:14" x14ac:dyDescent="0.35">
      <c r="F3852" s="1"/>
      <c r="K3852" s="8" t="s">
        <v>2099</v>
      </c>
      <c r="L3852" s="8" t="s">
        <v>2414</v>
      </c>
      <c r="M3852" s="8">
        <v>0</v>
      </c>
      <c r="N3852" s="8"/>
    </row>
    <row r="3853" spans="6:14" x14ac:dyDescent="0.35">
      <c r="F3853" s="1"/>
      <c r="K3853" s="8" t="s">
        <v>2099</v>
      </c>
      <c r="L3853" s="8" t="s">
        <v>2415</v>
      </c>
      <c r="M3853" s="8">
        <v>0</v>
      </c>
      <c r="N3853" s="8"/>
    </row>
    <row r="3854" spans="6:14" x14ac:dyDescent="0.35">
      <c r="F3854" s="1"/>
      <c r="K3854" s="8" t="s">
        <v>2099</v>
      </c>
      <c r="L3854" s="8" t="s">
        <v>2416</v>
      </c>
      <c r="M3854" s="8">
        <v>0</v>
      </c>
      <c r="N3854" s="8"/>
    </row>
    <row r="3855" spans="6:14" x14ac:dyDescent="0.35">
      <c r="F3855" s="1"/>
      <c r="K3855" s="8" t="s">
        <v>2099</v>
      </c>
      <c r="L3855" s="8" t="s">
        <v>2417</v>
      </c>
      <c r="M3855" s="8">
        <v>0</v>
      </c>
      <c r="N3855" s="8"/>
    </row>
    <row r="3856" spans="6:14" x14ac:dyDescent="0.35">
      <c r="F3856" s="1"/>
      <c r="K3856" s="8" t="s">
        <v>2099</v>
      </c>
      <c r="L3856" s="8" t="s">
        <v>2418</v>
      </c>
      <c r="M3856" s="8">
        <v>0</v>
      </c>
      <c r="N3856" s="8"/>
    </row>
    <row r="3857" spans="6:14" x14ac:dyDescent="0.35">
      <c r="F3857" s="1"/>
      <c r="K3857" s="8" t="s">
        <v>2099</v>
      </c>
      <c r="L3857" s="8" t="s">
        <v>2419</v>
      </c>
      <c r="M3857" s="8">
        <v>0</v>
      </c>
      <c r="N3857" s="8"/>
    </row>
    <row r="3858" spans="6:14" x14ac:dyDescent="0.35">
      <c r="F3858" s="1"/>
      <c r="K3858" s="8" t="s">
        <v>2099</v>
      </c>
      <c r="L3858" s="8" t="s">
        <v>2420</v>
      </c>
      <c r="M3858" s="8">
        <v>0</v>
      </c>
      <c r="N3858" s="8"/>
    </row>
    <row r="3859" spans="6:14" x14ac:dyDescent="0.35">
      <c r="F3859" s="1"/>
      <c r="K3859" s="8" t="s">
        <v>2099</v>
      </c>
      <c r="L3859" s="8" t="s">
        <v>2421</v>
      </c>
      <c r="M3859" s="8">
        <v>0</v>
      </c>
      <c r="N3859" s="8"/>
    </row>
    <row r="3860" spans="6:14" x14ac:dyDescent="0.35">
      <c r="F3860" s="1"/>
      <c r="K3860" s="8" t="s">
        <v>2099</v>
      </c>
      <c r="L3860" s="8" t="s">
        <v>2422</v>
      </c>
      <c r="M3860" s="8">
        <v>0</v>
      </c>
      <c r="N3860" s="8"/>
    </row>
    <row r="3861" spans="6:14" x14ac:dyDescent="0.35">
      <c r="F3861" s="1"/>
      <c r="K3861" s="8" t="s">
        <v>2099</v>
      </c>
      <c r="L3861" s="8" t="s">
        <v>2423</v>
      </c>
      <c r="M3861" s="8">
        <v>0</v>
      </c>
      <c r="N3861" s="8"/>
    </row>
    <row r="3862" spans="6:14" x14ac:dyDescent="0.35">
      <c r="F3862" s="1"/>
      <c r="K3862" s="8" t="s">
        <v>2099</v>
      </c>
      <c r="L3862" s="8" t="s">
        <v>2424</v>
      </c>
      <c r="M3862" s="8">
        <v>0</v>
      </c>
      <c r="N3862" s="8"/>
    </row>
    <row r="3863" spans="6:14" x14ac:dyDescent="0.35">
      <c r="F3863" s="1"/>
      <c r="K3863" s="8" t="s">
        <v>2099</v>
      </c>
      <c r="L3863" s="8" t="s">
        <v>350</v>
      </c>
      <c r="M3863" s="8">
        <v>1</v>
      </c>
      <c r="N3863" s="8"/>
    </row>
    <row r="3864" spans="6:14" x14ac:dyDescent="0.35">
      <c r="F3864" s="1"/>
      <c r="K3864" s="8" t="s">
        <v>2099</v>
      </c>
      <c r="L3864" s="8" t="s">
        <v>480</v>
      </c>
      <c r="M3864" s="8">
        <v>0</v>
      </c>
      <c r="N3864" s="8"/>
    </row>
    <row r="3865" spans="6:14" x14ac:dyDescent="0.35">
      <c r="F3865" s="1"/>
      <c r="K3865" s="8" t="s">
        <v>2099</v>
      </c>
      <c r="L3865" s="8" t="s">
        <v>481</v>
      </c>
      <c r="M3865" s="8">
        <v>0</v>
      </c>
      <c r="N3865" s="8"/>
    </row>
    <row r="3866" spans="6:14" x14ac:dyDescent="0.35">
      <c r="F3866" s="1"/>
      <c r="K3866" s="8" t="s">
        <v>2099</v>
      </c>
      <c r="L3866" s="8" t="s">
        <v>482</v>
      </c>
      <c r="M3866" s="8">
        <v>0</v>
      </c>
      <c r="N3866" s="8"/>
    </row>
    <row r="3867" spans="6:14" x14ac:dyDescent="0.35">
      <c r="F3867" s="1"/>
      <c r="K3867" s="8" t="s">
        <v>2099</v>
      </c>
      <c r="L3867" s="8" t="s">
        <v>483</v>
      </c>
      <c r="M3867" s="8">
        <v>0</v>
      </c>
      <c r="N3867" s="8"/>
    </row>
    <row r="3868" spans="6:14" x14ac:dyDescent="0.35">
      <c r="F3868" s="1"/>
      <c r="K3868" s="8" t="s">
        <v>2099</v>
      </c>
      <c r="L3868" s="8" t="s">
        <v>484</v>
      </c>
      <c r="M3868" s="8">
        <v>0</v>
      </c>
      <c r="N3868" s="8"/>
    </row>
    <row r="3869" spans="6:14" x14ac:dyDescent="0.35">
      <c r="F3869" s="1"/>
      <c r="K3869" s="8" t="s">
        <v>2099</v>
      </c>
      <c r="L3869" s="8" t="s">
        <v>2425</v>
      </c>
      <c r="M3869" s="8">
        <v>0</v>
      </c>
      <c r="N3869" s="8"/>
    </row>
    <row r="3870" spans="6:14" x14ac:dyDescent="0.35">
      <c r="F3870" s="1"/>
      <c r="K3870" s="8" t="s">
        <v>2099</v>
      </c>
      <c r="L3870" s="8" t="s">
        <v>2426</v>
      </c>
      <c r="M3870" s="8">
        <v>0</v>
      </c>
      <c r="N3870" s="8"/>
    </row>
    <row r="3871" spans="6:14" x14ac:dyDescent="0.35">
      <c r="F3871" s="1"/>
      <c r="K3871" s="8" t="s">
        <v>2099</v>
      </c>
      <c r="L3871" s="8" t="s">
        <v>2427</v>
      </c>
      <c r="M3871" s="8">
        <v>0</v>
      </c>
      <c r="N3871" s="8"/>
    </row>
    <row r="3872" spans="6:14" x14ac:dyDescent="0.35">
      <c r="F3872" s="1"/>
      <c r="K3872" s="8" t="s">
        <v>2099</v>
      </c>
      <c r="L3872" s="8" t="s">
        <v>2428</v>
      </c>
      <c r="M3872" s="8">
        <v>0</v>
      </c>
      <c r="N3872" s="8"/>
    </row>
    <row r="3873" spans="6:14" x14ac:dyDescent="0.35">
      <c r="F3873" s="1"/>
      <c r="K3873" s="8" t="s">
        <v>2099</v>
      </c>
      <c r="L3873" s="8" t="s">
        <v>2429</v>
      </c>
      <c r="M3873" s="8">
        <v>0</v>
      </c>
      <c r="N3873" s="8"/>
    </row>
    <row r="3874" spans="6:14" x14ac:dyDescent="0.35">
      <c r="F3874" s="1"/>
      <c r="K3874" s="8" t="s">
        <v>2099</v>
      </c>
      <c r="L3874" s="8" t="s">
        <v>2430</v>
      </c>
      <c r="M3874" s="8">
        <v>0</v>
      </c>
      <c r="N3874" s="8"/>
    </row>
    <row r="3875" spans="6:14" x14ac:dyDescent="0.35">
      <c r="F3875" s="1"/>
      <c r="K3875" s="8" t="s">
        <v>2099</v>
      </c>
      <c r="L3875" s="8" t="s">
        <v>2431</v>
      </c>
      <c r="M3875" s="8">
        <v>0</v>
      </c>
      <c r="N3875" s="8"/>
    </row>
    <row r="3876" spans="6:14" x14ac:dyDescent="0.35">
      <c r="F3876" s="1"/>
      <c r="K3876" s="8" t="s">
        <v>2099</v>
      </c>
      <c r="L3876" s="8" t="s">
        <v>2432</v>
      </c>
      <c r="M3876" s="8">
        <v>0</v>
      </c>
      <c r="N3876" s="8"/>
    </row>
    <row r="3877" spans="6:14" x14ac:dyDescent="0.35">
      <c r="F3877" s="1"/>
      <c r="K3877" s="8" t="s">
        <v>2099</v>
      </c>
      <c r="L3877" s="8" t="s">
        <v>2433</v>
      </c>
      <c r="M3877" s="8">
        <v>0</v>
      </c>
      <c r="N3877" s="8"/>
    </row>
    <row r="3878" spans="6:14" x14ac:dyDescent="0.35">
      <c r="F3878" s="1"/>
      <c r="K3878" s="8" t="s">
        <v>2099</v>
      </c>
      <c r="L3878" s="8" t="s">
        <v>2434</v>
      </c>
      <c r="M3878" s="8">
        <v>0</v>
      </c>
      <c r="N3878" s="8"/>
    </row>
    <row r="3879" spans="6:14" x14ac:dyDescent="0.35">
      <c r="F3879" s="1"/>
      <c r="K3879" s="8" t="s">
        <v>2099</v>
      </c>
      <c r="L3879" s="8" t="s">
        <v>2435</v>
      </c>
      <c r="M3879" s="8">
        <v>0</v>
      </c>
      <c r="N3879" s="8"/>
    </row>
    <row r="3880" spans="6:14" x14ac:dyDescent="0.35">
      <c r="F3880" s="1"/>
      <c r="K3880" s="8" t="s">
        <v>2099</v>
      </c>
      <c r="L3880" s="8" t="s">
        <v>2436</v>
      </c>
      <c r="M3880" s="8">
        <v>0</v>
      </c>
      <c r="N3880" s="8"/>
    </row>
    <row r="3881" spans="6:14" x14ac:dyDescent="0.35">
      <c r="F3881" s="1"/>
      <c r="K3881" s="8" t="s">
        <v>2099</v>
      </c>
      <c r="L3881" s="8" t="s">
        <v>2437</v>
      </c>
      <c r="M3881" s="8">
        <v>0</v>
      </c>
      <c r="N3881" s="8"/>
    </row>
    <row r="3882" spans="6:14" x14ac:dyDescent="0.35">
      <c r="F3882" s="1"/>
      <c r="K3882" s="8" t="s">
        <v>2099</v>
      </c>
      <c r="L3882" s="8" t="s">
        <v>2438</v>
      </c>
      <c r="M3882" s="8">
        <v>0</v>
      </c>
      <c r="N3882" s="8"/>
    </row>
    <row r="3883" spans="6:14" x14ac:dyDescent="0.35">
      <c r="F3883" s="1"/>
      <c r="K3883" s="8" t="s">
        <v>2099</v>
      </c>
      <c r="L3883" s="8" t="s">
        <v>2439</v>
      </c>
      <c r="M3883" s="8">
        <v>0</v>
      </c>
      <c r="N3883" s="8"/>
    </row>
    <row r="3884" spans="6:14" x14ac:dyDescent="0.35">
      <c r="F3884" s="1"/>
      <c r="K3884" s="8" t="s">
        <v>2099</v>
      </c>
      <c r="L3884" s="8" t="s">
        <v>2440</v>
      </c>
      <c r="M3884" s="8">
        <v>0</v>
      </c>
      <c r="N3884" s="8"/>
    </row>
    <row r="3885" spans="6:14" x14ac:dyDescent="0.35">
      <c r="F3885" s="1"/>
      <c r="K3885" s="8" t="s">
        <v>2099</v>
      </c>
      <c r="L3885" s="8" t="s">
        <v>486</v>
      </c>
      <c r="M3885" s="8">
        <v>0</v>
      </c>
      <c r="N3885" s="8"/>
    </row>
    <row r="3886" spans="6:14" x14ac:dyDescent="0.35">
      <c r="F3886" s="1"/>
      <c r="K3886" s="8" t="s">
        <v>2099</v>
      </c>
      <c r="L3886" s="8" t="s">
        <v>487</v>
      </c>
      <c r="M3886" s="8">
        <v>0</v>
      </c>
      <c r="N3886" s="8"/>
    </row>
    <row r="3887" spans="6:14" x14ac:dyDescent="0.35">
      <c r="F3887" s="1"/>
      <c r="K3887" s="8" t="s">
        <v>2099</v>
      </c>
      <c r="L3887" s="8" t="s">
        <v>488</v>
      </c>
      <c r="M3887" s="8">
        <v>0</v>
      </c>
      <c r="N3887" s="8"/>
    </row>
    <row r="3888" spans="6:14" x14ac:dyDescent="0.35">
      <c r="F3888" s="1"/>
      <c r="K3888" s="8" t="s">
        <v>2099</v>
      </c>
      <c r="L3888" s="8" t="s">
        <v>489</v>
      </c>
      <c r="M3888" s="8">
        <v>0</v>
      </c>
      <c r="N3888" s="8"/>
    </row>
    <row r="3889" spans="6:14" x14ac:dyDescent="0.35">
      <c r="F3889" s="1"/>
      <c r="K3889" s="8" t="s">
        <v>2099</v>
      </c>
      <c r="L3889" s="8" t="s">
        <v>490</v>
      </c>
      <c r="M3889" s="8">
        <v>0</v>
      </c>
      <c r="N3889" s="8"/>
    </row>
    <row r="3890" spans="6:14" x14ac:dyDescent="0.35">
      <c r="F3890" s="1"/>
      <c r="K3890" s="8" t="s">
        <v>2099</v>
      </c>
      <c r="L3890" s="8" t="s">
        <v>491</v>
      </c>
      <c r="M3890" s="8">
        <v>0</v>
      </c>
      <c r="N3890" s="8"/>
    </row>
    <row r="3891" spans="6:14" x14ac:dyDescent="0.35">
      <c r="F3891" s="1"/>
      <c r="K3891" s="8" t="s">
        <v>2099</v>
      </c>
      <c r="L3891" s="8" t="s">
        <v>492</v>
      </c>
      <c r="M3891" s="8">
        <v>0</v>
      </c>
      <c r="N3891" s="8"/>
    </row>
    <row r="3892" spans="6:14" x14ac:dyDescent="0.35">
      <c r="F3892" s="1"/>
      <c r="K3892" s="8" t="s">
        <v>2099</v>
      </c>
      <c r="L3892" s="8" t="s">
        <v>493</v>
      </c>
      <c r="M3892" s="8">
        <v>0</v>
      </c>
      <c r="N3892" s="8"/>
    </row>
    <row r="3893" spans="6:14" x14ac:dyDescent="0.35">
      <c r="F3893" s="1"/>
      <c r="K3893" s="8" t="s">
        <v>2099</v>
      </c>
      <c r="L3893" s="8" t="s">
        <v>494</v>
      </c>
      <c r="M3893" s="8">
        <v>0</v>
      </c>
      <c r="N3893" s="8"/>
    </row>
    <row r="3894" spans="6:14" x14ac:dyDescent="0.35">
      <c r="F3894" s="1"/>
      <c r="K3894" s="8" t="s">
        <v>2099</v>
      </c>
      <c r="L3894" s="8" t="s">
        <v>495</v>
      </c>
      <c r="M3894" s="8">
        <v>0</v>
      </c>
      <c r="N3894" s="8"/>
    </row>
    <row r="3895" spans="6:14" x14ac:dyDescent="0.35">
      <c r="F3895" s="1"/>
      <c r="K3895" s="8" t="s">
        <v>2100</v>
      </c>
      <c r="L3895" s="8" t="s">
        <v>2441</v>
      </c>
      <c r="M3895" s="8">
        <v>0</v>
      </c>
      <c r="N3895" s="8"/>
    </row>
    <row r="3896" spans="6:14" x14ac:dyDescent="0.35">
      <c r="F3896" s="1"/>
      <c r="K3896" s="8" t="s">
        <v>2100</v>
      </c>
      <c r="L3896" s="8" t="s">
        <v>2442</v>
      </c>
      <c r="M3896" s="8">
        <v>0</v>
      </c>
      <c r="N3896" s="8"/>
    </row>
    <row r="3897" spans="6:14" x14ac:dyDescent="0.35">
      <c r="F3897" s="1"/>
      <c r="K3897" s="8" t="s">
        <v>2100</v>
      </c>
      <c r="L3897" s="8" t="s">
        <v>2443</v>
      </c>
      <c r="M3897" s="8">
        <v>0</v>
      </c>
      <c r="N3897" s="8"/>
    </row>
    <row r="3898" spans="6:14" x14ac:dyDescent="0.35">
      <c r="F3898" s="1"/>
      <c r="K3898" s="8" t="s">
        <v>2100</v>
      </c>
      <c r="L3898" s="8" t="s">
        <v>2444</v>
      </c>
      <c r="M3898" s="8">
        <v>0</v>
      </c>
      <c r="N3898" s="8"/>
    </row>
    <row r="3899" spans="6:14" x14ac:dyDescent="0.35">
      <c r="F3899" s="1"/>
      <c r="K3899" s="8" t="s">
        <v>2100</v>
      </c>
      <c r="L3899" s="8" t="s">
        <v>2445</v>
      </c>
      <c r="M3899" s="8">
        <v>0</v>
      </c>
      <c r="N3899" s="8"/>
    </row>
    <row r="3900" spans="6:14" x14ac:dyDescent="0.35">
      <c r="F3900" s="1"/>
      <c r="K3900" s="8" t="s">
        <v>2100</v>
      </c>
      <c r="L3900" s="8" t="s">
        <v>2446</v>
      </c>
      <c r="M3900" s="8">
        <v>0</v>
      </c>
      <c r="N3900" s="8"/>
    </row>
    <row r="3901" spans="6:14" x14ac:dyDescent="0.35">
      <c r="F3901" s="1"/>
      <c r="K3901" s="8" t="s">
        <v>2100</v>
      </c>
      <c r="L3901" s="8" t="s">
        <v>2447</v>
      </c>
      <c r="M3901" s="8">
        <v>0</v>
      </c>
      <c r="N3901" s="8"/>
    </row>
    <row r="3902" spans="6:14" x14ac:dyDescent="0.35">
      <c r="F3902" s="1"/>
      <c r="K3902" s="8" t="s">
        <v>2100</v>
      </c>
      <c r="L3902" s="8" t="s">
        <v>2448</v>
      </c>
      <c r="M3902" s="8">
        <v>0</v>
      </c>
      <c r="N3902" s="8"/>
    </row>
    <row r="3903" spans="6:14" x14ac:dyDescent="0.35">
      <c r="F3903" s="1"/>
      <c r="K3903" s="8" t="s">
        <v>2100</v>
      </c>
      <c r="L3903" s="8" t="s">
        <v>2449</v>
      </c>
      <c r="M3903" s="8">
        <v>0</v>
      </c>
      <c r="N3903" s="8"/>
    </row>
    <row r="3904" spans="6:14" x14ac:dyDescent="0.35">
      <c r="F3904" s="1"/>
      <c r="K3904" s="8" t="s">
        <v>2100</v>
      </c>
      <c r="L3904" s="8" t="s">
        <v>2450</v>
      </c>
      <c r="M3904" s="8">
        <v>0</v>
      </c>
      <c r="N3904" s="8"/>
    </row>
    <row r="3905" spans="6:14" x14ac:dyDescent="0.35">
      <c r="F3905" s="1"/>
      <c r="K3905" s="8" t="s">
        <v>2100</v>
      </c>
      <c r="L3905" s="8" t="s">
        <v>2451</v>
      </c>
      <c r="M3905" s="8">
        <v>0</v>
      </c>
      <c r="N3905" s="8"/>
    </row>
    <row r="3906" spans="6:14" x14ac:dyDescent="0.35">
      <c r="F3906" s="1"/>
      <c r="K3906" s="8" t="s">
        <v>2100</v>
      </c>
      <c r="L3906" s="8" t="s">
        <v>2452</v>
      </c>
      <c r="M3906" s="8">
        <v>0</v>
      </c>
      <c r="N3906" s="8"/>
    </row>
    <row r="3907" spans="6:14" x14ac:dyDescent="0.35">
      <c r="F3907" s="1"/>
      <c r="K3907" s="8" t="s">
        <v>2100</v>
      </c>
      <c r="L3907" s="8" t="s">
        <v>2453</v>
      </c>
      <c r="M3907" s="8">
        <v>0</v>
      </c>
      <c r="N3907" s="8"/>
    </row>
    <row r="3908" spans="6:14" x14ac:dyDescent="0.35">
      <c r="F3908" s="1"/>
      <c r="K3908" s="8" t="s">
        <v>2100</v>
      </c>
      <c r="L3908" s="8" t="s">
        <v>2454</v>
      </c>
      <c r="M3908" s="8">
        <v>0</v>
      </c>
      <c r="N3908" s="8"/>
    </row>
    <row r="3909" spans="6:14" x14ac:dyDescent="0.35">
      <c r="F3909" s="1"/>
      <c r="K3909" s="8" t="s">
        <v>2100</v>
      </c>
      <c r="L3909" s="8" t="s">
        <v>2455</v>
      </c>
      <c r="M3909" s="8">
        <v>0</v>
      </c>
      <c r="N3909" s="8"/>
    </row>
    <row r="3910" spans="6:14" x14ac:dyDescent="0.35">
      <c r="F3910" s="1"/>
      <c r="K3910" s="8" t="s">
        <v>2100</v>
      </c>
      <c r="L3910" s="8" t="s">
        <v>2456</v>
      </c>
      <c r="M3910" s="8">
        <v>0</v>
      </c>
      <c r="N3910" s="8"/>
    </row>
    <row r="3911" spans="6:14" x14ac:dyDescent="0.35">
      <c r="F3911" s="1"/>
      <c r="K3911" s="8" t="s">
        <v>2100</v>
      </c>
      <c r="L3911" s="8" t="s">
        <v>480</v>
      </c>
      <c r="M3911" s="8">
        <v>0</v>
      </c>
      <c r="N3911" s="8"/>
    </row>
    <row r="3912" spans="6:14" x14ac:dyDescent="0.35">
      <c r="F3912" s="1"/>
      <c r="K3912" s="8" t="s">
        <v>2100</v>
      </c>
      <c r="L3912" s="8" t="s">
        <v>481</v>
      </c>
      <c r="M3912" s="8">
        <v>0</v>
      </c>
      <c r="N3912" s="8"/>
    </row>
    <row r="3913" spans="6:14" x14ac:dyDescent="0.35">
      <c r="F3913" s="1"/>
      <c r="K3913" s="8" t="s">
        <v>2100</v>
      </c>
      <c r="L3913" s="8" t="s">
        <v>482</v>
      </c>
      <c r="M3913" s="8">
        <v>0</v>
      </c>
      <c r="N3913" s="8"/>
    </row>
    <row r="3914" spans="6:14" x14ac:dyDescent="0.35">
      <c r="F3914" s="1"/>
      <c r="K3914" s="8" t="s">
        <v>2100</v>
      </c>
      <c r="L3914" s="8" t="s">
        <v>483</v>
      </c>
      <c r="M3914" s="8">
        <v>0</v>
      </c>
      <c r="N3914" s="8"/>
    </row>
    <row r="3915" spans="6:14" x14ac:dyDescent="0.35">
      <c r="F3915" s="1"/>
      <c r="K3915" s="8" t="s">
        <v>2100</v>
      </c>
      <c r="L3915" s="8" t="s">
        <v>484</v>
      </c>
      <c r="M3915" s="8">
        <v>0</v>
      </c>
      <c r="N3915" s="8"/>
    </row>
    <row r="3916" spans="6:14" x14ac:dyDescent="0.35">
      <c r="F3916" s="1"/>
      <c r="K3916" s="8" t="s">
        <v>2100</v>
      </c>
      <c r="L3916" s="8" t="s">
        <v>375</v>
      </c>
      <c r="M3916" s="8">
        <v>1</v>
      </c>
      <c r="N3916" s="8"/>
    </row>
    <row r="3917" spans="6:14" x14ac:dyDescent="0.35">
      <c r="F3917" s="1"/>
      <c r="K3917" s="8" t="s">
        <v>2100</v>
      </c>
      <c r="L3917" s="8" t="s">
        <v>2457</v>
      </c>
      <c r="M3917" s="8">
        <v>0</v>
      </c>
      <c r="N3917" s="8"/>
    </row>
    <row r="3918" spans="6:14" x14ac:dyDescent="0.35">
      <c r="F3918" s="1"/>
      <c r="K3918" s="8" t="s">
        <v>2100</v>
      </c>
      <c r="L3918" s="8" t="s">
        <v>2458</v>
      </c>
      <c r="M3918" s="8">
        <v>0</v>
      </c>
      <c r="N3918" s="8"/>
    </row>
    <row r="3919" spans="6:14" x14ac:dyDescent="0.35">
      <c r="F3919" s="1"/>
      <c r="K3919" s="8" t="s">
        <v>2100</v>
      </c>
      <c r="L3919" s="8" t="s">
        <v>2459</v>
      </c>
      <c r="M3919" s="8">
        <v>0</v>
      </c>
      <c r="N3919" s="8"/>
    </row>
    <row r="3920" spans="6:14" x14ac:dyDescent="0.35">
      <c r="F3920" s="1"/>
      <c r="K3920" s="8" t="s">
        <v>2100</v>
      </c>
      <c r="L3920" s="8" t="s">
        <v>2460</v>
      </c>
      <c r="M3920" s="8">
        <v>0</v>
      </c>
      <c r="N3920" s="8"/>
    </row>
    <row r="3921" spans="6:14" x14ac:dyDescent="0.35">
      <c r="F3921" s="1"/>
      <c r="K3921" s="8" t="s">
        <v>2100</v>
      </c>
      <c r="L3921" s="8" t="s">
        <v>2461</v>
      </c>
      <c r="M3921" s="8">
        <v>0</v>
      </c>
      <c r="N3921" s="8"/>
    </row>
    <row r="3922" spans="6:14" x14ac:dyDescent="0.35">
      <c r="F3922" s="1"/>
      <c r="K3922" s="8" t="s">
        <v>2100</v>
      </c>
      <c r="L3922" s="8" t="s">
        <v>2462</v>
      </c>
      <c r="M3922" s="8">
        <v>0</v>
      </c>
      <c r="N3922" s="8"/>
    </row>
    <row r="3923" spans="6:14" x14ac:dyDescent="0.35">
      <c r="F3923" s="1"/>
      <c r="K3923" s="8" t="s">
        <v>2100</v>
      </c>
      <c r="L3923" s="8" t="s">
        <v>2463</v>
      </c>
      <c r="M3923" s="8">
        <v>0</v>
      </c>
      <c r="N3923" s="8"/>
    </row>
    <row r="3924" spans="6:14" x14ac:dyDescent="0.35">
      <c r="F3924" s="1"/>
      <c r="K3924" s="8" t="s">
        <v>2100</v>
      </c>
      <c r="L3924" s="8" t="s">
        <v>2464</v>
      </c>
      <c r="M3924" s="8">
        <v>0</v>
      </c>
      <c r="N3924" s="8"/>
    </row>
    <row r="3925" spans="6:14" x14ac:dyDescent="0.35">
      <c r="F3925" s="1"/>
      <c r="K3925" s="8" t="s">
        <v>2100</v>
      </c>
      <c r="L3925" s="8" t="s">
        <v>2465</v>
      </c>
      <c r="M3925" s="8">
        <v>0</v>
      </c>
      <c r="N3925" s="8"/>
    </row>
    <row r="3926" spans="6:14" x14ac:dyDescent="0.35">
      <c r="F3926" s="1"/>
      <c r="K3926" s="8" t="s">
        <v>2100</v>
      </c>
      <c r="L3926" s="8" t="s">
        <v>2466</v>
      </c>
      <c r="M3926" s="8">
        <v>0</v>
      </c>
      <c r="N3926" s="8"/>
    </row>
    <row r="3927" spans="6:14" x14ac:dyDescent="0.35">
      <c r="F3927" s="1"/>
      <c r="K3927" s="8" t="s">
        <v>2100</v>
      </c>
      <c r="L3927" s="8" t="s">
        <v>2467</v>
      </c>
      <c r="M3927" s="8">
        <v>0</v>
      </c>
      <c r="N3927" s="8"/>
    </row>
    <row r="3928" spans="6:14" x14ac:dyDescent="0.35">
      <c r="F3928" s="1"/>
      <c r="K3928" s="8" t="s">
        <v>2100</v>
      </c>
      <c r="L3928" s="8" t="s">
        <v>2468</v>
      </c>
      <c r="M3928" s="8">
        <v>0</v>
      </c>
      <c r="N3928" s="8"/>
    </row>
    <row r="3929" spans="6:14" x14ac:dyDescent="0.35">
      <c r="F3929" s="1"/>
      <c r="K3929" s="8" t="s">
        <v>2100</v>
      </c>
      <c r="L3929" s="8" t="s">
        <v>2469</v>
      </c>
      <c r="M3929" s="8">
        <v>0</v>
      </c>
      <c r="N3929" s="8"/>
    </row>
    <row r="3930" spans="6:14" x14ac:dyDescent="0.35">
      <c r="F3930" s="1"/>
      <c r="K3930" s="8" t="s">
        <v>2100</v>
      </c>
      <c r="L3930" s="8" t="s">
        <v>2470</v>
      </c>
      <c r="M3930" s="8">
        <v>0</v>
      </c>
      <c r="N3930" s="8"/>
    </row>
    <row r="3931" spans="6:14" x14ac:dyDescent="0.35">
      <c r="F3931" s="1"/>
      <c r="K3931" s="8" t="s">
        <v>2100</v>
      </c>
      <c r="L3931" s="8" t="s">
        <v>2471</v>
      </c>
      <c r="M3931" s="8">
        <v>0</v>
      </c>
      <c r="N3931" s="8"/>
    </row>
    <row r="3932" spans="6:14" x14ac:dyDescent="0.35">
      <c r="F3932" s="1"/>
      <c r="K3932" s="8" t="s">
        <v>2100</v>
      </c>
      <c r="L3932" s="8" t="s">
        <v>2472</v>
      </c>
      <c r="M3932" s="8">
        <v>0</v>
      </c>
      <c r="N3932" s="8"/>
    </row>
    <row r="3933" spans="6:14" x14ac:dyDescent="0.35">
      <c r="F3933" s="1"/>
      <c r="K3933" s="8" t="s">
        <v>2100</v>
      </c>
      <c r="L3933" s="8" t="s">
        <v>376</v>
      </c>
      <c r="M3933" s="8">
        <v>1</v>
      </c>
      <c r="N3933" s="8"/>
    </row>
    <row r="3934" spans="6:14" x14ac:dyDescent="0.35">
      <c r="F3934" s="1"/>
      <c r="K3934" s="8" t="s">
        <v>2100</v>
      </c>
      <c r="L3934" s="8" t="s">
        <v>486</v>
      </c>
      <c r="M3934" s="8">
        <v>0</v>
      </c>
      <c r="N3934" s="8"/>
    </row>
    <row r="3935" spans="6:14" x14ac:dyDescent="0.35">
      <c r="F3935" s="1"/>
      <c r="K3935" s="8" t="s">
        <v>2100</v>
      </c>
      <c r="L3935" s="8" t="s">
        <v>487</v>
      </c>
      <c r="M3935" s="8">
        <v>0</v>
      </c>
      <c r="N3935" s="8"/>
    </row>
    <row r="3936" spans="6:14" x14ac:dyDescent="0.35">
      <c r="F3936" s="1"/>
      <c r="K3936" s="8" t="s">
        <v>2100</v>
      </c>
      <c r="L3936" s="8" t="s">
        <v>488</v>
      </c>
      <c r="M3936" s="8">
        <v>0</v>
      </c>
      <c r="N3936" s="8"/>
    </row>
    <row r="3937" spans="6:14" x14ac:dyDescent="0.35">
      <c r="F3937" s="1"/>
      <c r="K3937" s="8" t="s">
        <v>2100</v>
      </c>
      <c r="L3937" s="8" t="s">
        <v>489</v>
      </c>
      <c r="M3937" s="8">
        <v>0</v>
      </c>
      <c r="N3937" s="8"/>
    </row>
    <row r="3938" spans="6:14" x14ac:dyDescent="0.35">
      <c r="F3938" s="1"/>
      <c r="K3938" s="8" t="s">
        <v>2100</v>
      </c>
      <c r="L3938" s="8" t="s">
        <v>490</v>
      </c>
      <c r="M3938" s="8">
        <v>0</v>
      </c>
      <c r="N3938" s="8"/>
    </row>
    <row r="3939" spans="6:14" x14ac:dyDescent="0.35">
      <c r="F3939" s="1"/>
      <c r="K3939" s="8" t="s">
        <v>2100</v>
      </c>
      <c r="L3939" s="8" t="s">
        <v>491</v>
      </c>
      <c r="M3939" s="8">
        <v>0</v>
      </c>
      <c r="N3939" s="8"/>
    </row>
    <row r="3940" spans="6:14" x14ac:dyDescent="0.35">
      <c r="F3940" s="1"/>
      <c r="K3940" s="8" t="s">
        <v>2100</v>
      </c>
      <c r="L3940" s="8" t="s">
        <v>492</v>
      </c>
      <c r="M3940" s="8">
        <v>0</v>
      </c>
      <c r="N3940" s="8"/>
    </row>
    <row r="3941" spans="6:14" x14ac:dyDescent="0.35">
      <c r="F3941" s="1"/>
      <c r="K3941" s="8" t="s">
        <v>2100</v>
      </c>
      <c r="L3941" s="8" t="s">
        <v>493</v>
      </c>
      <c r="M3941" s="8">
        <v>0</v>
      </c>
      <c r="N3941" s="8"/>
    </row>
    <row r="3942" spans="6:14" x14ac:dyDescent="0.35">
      <c r="F3942" s="1"/>
      <c r="K3942" s="8" t="s">
        <v>2100</v>
      </c>
      <c r="L3942" s="8" t="s">
        <v>494</v>
      </c>
      <c r="M3942" s="8">
        <v>0</v>
      </c>
      <c r="N3942" s="8"/>
    </row>
    <row r="3943" spans="6:14" x14ac:dyDescent="0.35">
      <c r="F3943" s="1"/>
      <c r="K3943" s="8" t="s">
        <v>2100</v>
      </c>
      <c r="L3943" s="8" t="s">
        <v>495</v>
      </c>
      <c r="M3943" s="8">
        <v>0</v>
      </c>
      <c r="N3943" s="8"/>
    </row>
    <row r="3944" spans="6:14" x14ac:dyDescent="0.35">
      <c r="F3944" s="1"/>
      <c r="K3944" s="8" t="s">
        <v>2101</v>
      </c>
      <c r="L3944" s="8" t="s">
        <v>2345</v>
      </c>
      <c r="M3944" s="8">
        <v>0</v>
      </c>
      <c r="N3944" s="8"/>
    </row>
    <row r="3945" spans="6:14" x14ac:dyDescent="0.35">
      <c r="F3945" s="1"/>
      <c r="K3945" s="8" t="s">
        <v>2101</v>
      </c>
      <c r="L3945" s="8" t="s">
        <v>2346</v>
      </c>
      <c r="M3945" s="8">
        <v>0</v>
      </c>
      <c r="N3945" s="8"/>
    </row>
    <row r="3946" spans="6:14" x14ac:dyDescent="0.35">
      <c r="F3946" s="1"/>
      <c r="K3946" s="8" t="s">
        <v>2101</v>
      </c>
      <c r="L3946" s="8" t="s">
        <v>2347</v>
      </c>
      <c r="M3946" s="8">
        <v>0</v>
      </c>
      <c r="N3946" s="8"/>
    </row>
    <row r="3947" spans="6:14" x14ac:dyDescent="0.35">
      <c r="F3947" s="1"/>
      <c r="K3947" s="8" t="s">
        <v>2101</v>
      </c>
      <c r="L3947" s="8" t="s">
        <v>2348</v>
      </c>
      <c r="M3947" s="8">
        <v>0</v>
      </c>
      <c r="N3947" s="8"/>
    </row>
    <row r="3948" spans="6:14" x14ac:dyDescent="0.35">
      <c r="F3948" s="1"/>
      <c r="K3948" s="8" t="s">
        <v>2101</v>
      </c>
      <c r="L3948" s="8" t="s">
        <v>2349</v>
      </c>
      <c r="M3948" s="8">
        <v>0</v>
      </c>
      <c r="N3948" s="8"/>
    </row>
    <row r="3949" spans="6:14" x14ac:dyDescent="0.35">
      <c r="F3949" s="1"/>
      <c r="K3949" s="8" t="s">
        <v>2101</v>
      </c>
      <c r="L3949" s="8" t="s">
        <v>2350</v>
      </c>
      <c r="M3949" s="8">
        <v>0</v>
      </c>
      <c r="N3949" s="8"/>
    </row>
    <row r="3950" spans="6:14" x14ac:dyDescent="0.35">
      <c r="F3950" s="1"/>
      <c r="K3950" s="8" t="s">
        <v>2101</v>
      </c>
      <c r="L3950" s="8" t="s">
        <v>2351</v>
      </c>
      <c r="M3950" s="8">
        <v>0</v>
      </c>
      <c r="N3950" s="8"/>
    </row>
    <row r="3951" spans="6:14" x14ac:dyDescent="0.35">
      <c r="F3951" s="1"/>
      <c r="K3951" s="8" t="s">
        <v>2101</v>
      </c>
      <c r="L3951" s="8" t="s">
        <v>2352</v>
      </c>
      <c r="M3951" s="8">
        <v>0</v>
      </c>
      <c r="N3951" s="8"/>
    </row>
    <row r="3952" spans="6:14" x14ac:dyDescent="0.35">
      <c r="F3952" s="1"/>
      <c r="K3952" s="8" t="s">
        <v>2101</v>
      </c>
      <c r="L3952" s="8" t="s">
        <v>2353</v>
      </c>
      <c r="M3952" s="8">
        <v>0</v>
      </c>
      <c r="N3952" s="8"/>
    </row>
    <row r="3953" spans="6:14" x14ac:dyDescent="0.35">
      <c r="F3953" s="1"/>
      <c r="K3953" s="8" t="s">
        <v>2101</v>
      </c>
      <c r="L3953" s="8" t="s">
        <v>2354</v>
      </c>
      <c r="M3953" s="8">
        <v>0</v>
      </c>
      <c r="N3953" s="8"/>
    </row>
    <row r="3954" spans="6:14" x14ac:dyDescent="0.35">
      <c r="F3954" s="1"/>
      <c r="K3954" s="8" t="s">
        <v>2101</v>
      </c>
      <c r="L3954" s="8" t="s">
        <v>2355</v>
      </c>
      <c r="M3954" s="8">
        <v>0</v>
      </c>
      <c r="N3954" s="8"/>
    </row>
    <row r="3955" spans="6:14" x14ac:dyDescent="0.35">
      <c r="F3955" s="1"/>
      <c r="K3955" s="8" t="s">
        <v>2101</v>
      </c>
      <c r="L3955" s="8" t="s">
        <v>2356</v>
      </c>
      <c r="M3955" s="8">
        <v>0</v>
      </c>
      <c r="N3955" s="8"/>
    </row>
    <row r="3956" spans="6:14" x14ac:dyDescent="0.35">
      <c r="F3956" s="1"/>
      <c r="K3956" s="8" t="s">
        <v>2101</v>
      </c>
      <c r="L3956" s="8" t="s">
        <v>2357</v>
      </c>
      <c r="M3956" s="8">
        <v>0</v>
      </c>
      <c r="N3956" s="8"/>
    </row>
    <row r="3957" spans="6:14" x14ac:dyDescent="0.35">
      <c r="F3957" s="1"/>
      <c r="K3957" s="8" t="s">
        <v>2101</v>
      </c>
      <c r="L3957" s="8" t="s">
        <v>2358</v>
      </c>
      <c r="M3957" s="8">
        <v>0</v>
      </c>
      <c r="N3957" s="8"/>
    </row>
    <row r="3958" spans="6:14" x14ac:dyDescent="0.35">
      <c r="F3958" s="1"/>
      <c r="K3958" s="8" t="s">
        <v>2101</v>
      </c>
      <c r="L3958" s="8" t="s">
        <v>2359</v>
      </c>
      <c r="M3958" s="8">
        <v>0</v>
      </c>
      <c r="N3958" s="8"/>
    </row>
    <row r="3959" spans="6:14" x14ac:dyDescent="0.35">
      <c r="F3959" s="1"/>
      <c r="K3959" s="8" t="s">
        <v>2101</v>
      </c>
      <c r="L3959" s="8" t="s">
        <v>2360</v>
      </c>
      <c r="M3959" s="8">
        <v>0</v>
      </c>
      <c r="N3959" s="8"/>
    </row>
    <row r="3960" spans="6:14" x14ac:dyDescent="0.35">
      <c r="F3960" s="1"/>
      <c r="K3960" s="8" t="s">
        <v>2101</v>
      </c>
      <c r="L3960" s="8" t="s">
        <v>480</v>
      </c>
      <c r="M3960" s="8">
        <v>0</v>
      </c>
      <c r="N3960" s="8"/>
    </row>
    <row r="3961" spans="6:14" x14ac:dyDescent="0.35">
      <c r="F3961" s="1"/>
      <c r="K3961" s="8" t="s">
        <v>2101</v>
      </c>
      <c r="L3961" s="8" t="s">
        <v>481</v>
      </c>
      <c r="M3961" s="8">
        <v>0</v>
      </c>
      <c r="N3961" s="8"/>
    </row>
    <row r="3962" spans="6:14" x14ac:dyDescent="0.35">
      <c r="F3962" s="1"/>
      <c r="K3962" s="8" t="s">
        <v>2101</v>
      </c>
      <c r="L3962" s="8" t="s">
        <v>482</v>
      </c>
      <c r="M3962" s="8">
        <v>0</v>
      </c>
      <c r="N3962" s="8"/>
    </row>
    <row r="3963" spans="6:14" x14ac:dyDescent="0.35">
      <c r="F3963" s="1"/>
      <c r="K3963" s="8" t="s">
        <v>2101</v>
      </c>
      <c r="L3963" s="8" t="s">
        <v>483</v>
      </c>
      <c r="M3963" s="8">
        <v>0</v>
      </c>
      <c r="N3963" s="8"/>
    </row>
    <row r="3964" spans="6:14" x14ac:dyDescent="0.35">
      <c r="F3964" s="1"/>
      <c r="K3964" s="8" t="s">
        <v>2101</v>
      </c>
      <c r="L3964" s="8" t="s">
        <v>484</v>
      </c>
      <c r="M3964" s="8">
        <v>0</v>
      </c>
      <c r="N3964" s="8"/>
    </row>
    <row r="3965" spans="6:14" x14ac:dyDescent="0.35">
      <c r="F3965" s="1"/>
      <c r="K3965" s="8" t="s">
        <v>2101</v>
      </c>
      <c r="L3965" s="8" t="s">
        <v>2361</v>
      </c>
      <c r="M3965" s="8">
        <v>0</v>
      </c>
      <c r="N3965" s="8"/>
    </row>
    <row r="3966" spans="6:14" x14ac:dyDescent="0.35">
      <c r="F3966" s="1"/>
      <c r="K3966" s="8" t="s">
        <v>2101</v>
      </c>
      <c r="L3966" s="8" t="s">
        <v>2362</v>
      </c>
      <c r="M3966" s="8">
        <v>0</v>
      </c>
      <c r="N3966" s="8"/>
    </row>
    <row r="3967" spans="6:14" x14ac:dyDescent="0.35">
      <c r="F3967" s="1"/>
      <c r="K3967" s="8" t="s">
        <v>2101</v>
      </c>
      <c r="L3967" s="8" t="s">
        <v>2363</v>
      </c>
      <c r="M3967" s="8">
        <v>0</v>
      </c>
      <c r="N3967" s="8"/>
    </row>
    <row r="3968" spans="6:14" x14ac:dyDescent="0.35">
      <c r="F3968" s="1"/>
      <c r="K3968" s="8" t="s">
        <v>2101</v>
      </c>
      <c r="L3968" s="8" t="s">
        <v>2364</v>
      </c>
      <c r="M3968" s="8">
        <v>0</v>
      </c>
      <c r="N3968" s="8"/>
    </row>
    <row r="3969" spans="6:14" x14ac:dyDescent="0.35">
      <c r="F3969" s="1"/>
      <c r="K3969" s="8" t="s">
        <v>2101</v>
      </c>
      <c r="L3969" s="8" t="s">
        <v>2365</v>
      </c>
      <c r="M3969" s="8">
        <v>0</v>
      </c>
      <c r="N3969" s="8"/>
    </row>
    <row r="3970" spans="6:14" x14ac:dyDescent="0.35">
      <c r="F3970" s="1"/>
      <c r="K3970" s="8" t="s">
        <v>2101</v>
      </c>
      <c r="L3970" s="8" t="s">
        <v>2366</v>
      </c>
      <c r="M3970" s="8">
        <v>0</v>
      </c>
      <c r="N3970" s="8"/>
    </row>
    <row r="3971" spans="6:14" x14ac:dyDescent="0.35">
      <c r="F3971" s="1"/>
      <c r="K3971" s="8" t="s">
        <v>2101</v>
      </c>
      <c r="L3971" s="8" t="s">
        <v>2367</v>
      </c>
      <c r="M3971" s="8">
        <v>0</v>
      </c>
      <c r="N3971" s="8"/>
    </row>
    <row r="3972" spans="6:14" x14ac:dyDescent="0.35">
      <c r="F3972" s="1"/>
      <c r="K3972" s="8" t="s">
        <v>2101</v>
      </c>
      <c r="L3972" s="8" t="s">
        <v>2368</v>
      </c>
      <c r="M3972" s="8">
        <v>0</v>
      </c>
      <c r="N3972" s="8"/>
    </row>
    <row r="3973" spans="6:14" x14ac:dyDescent="0.35">
      <c r="F3973" s="1"/>
      <c r="K3973" s="8" t="s">
        <v>2101</v>
      </c>
      <c r="L3973" s="8" t="s">
        <v>2369</v>
      </c>
      <c r="M3973" s="8">
        <v>0</v>
      </c>
      <c r="N3973" s="8"/>
    </row>
    <row r="3974" spans="6:14" x14ac:dyDescent="0.35">
      <c r="F3974" s="1"/>
      <c r="K3974" s="8" t="s">
        <v>2101</v>
      </c>
      <c r="L3974" s="8" t="s">
        <v>2370</v>
      </c>
      <c r="M3974" s="8">
        <v>0</v>
      </c>
      <c r="N3974" s="8"/>
    </row>
    <row r="3975" spans="6:14" x14ac:dyDescent="0.35">
      <c r="F3975" s="1"/>
      <c r="K3975" s="8" t="s">
        <v>2101</v>
      </c>
      <c r="L3975" s="8" t="s">
        <v>2371</v>
      </c>
      <c r="M3975" s="8">
        <v>0</v>
      </c>
      <c r="N3975" s="8"/>
    </row>
    <row r="3976" spans="6:14" x14ac:dyDescent="0.35">
      <c r="F3976" s="1"/>
      <c r="K3976" s="8" t="s">
        <v>2101</v>
      </c>
      <c r="L3976" s="8" t="s">
        <v>2372</v>
      </c>
      <c r="M3976" s="8">
        <v>0</v>
      </c>
      <c r="N3976" s="8"/>
    </row>
    <row r="3977" spans="6:14" x14ac:dyDescent="0.35">
      <c r="F3977" s="1"/>
      <c r="K3977" s="8" t="s">
        <v>2101</v>
      </c>
      <c r="L3977" s="8" t="s">
        <v>2373</v>
      </c>
      <c r="M3977" s="8">
        <v>0</v>
      </c>
      <c r="N3977" s="8"/>
    </row>
    <row r="3978" spans="6:14" x14ac:dyDescent="0.35">
      <c r="F3978" s="1"/>
      <c r="K3978" s="8" t="s">
        <v>2101</v>
      </c>
      <c r="L3978" s="8" t="s">
        <v>2374</v>
      </c>
      <c r="M3978" s="8">
        <v>0</v>
      </c>
      <c r="N3978" s="8"/>
    </row>
    <row r="3979" spans="6:14" x14ac:dyDescent="0.35">
      <c r="F3979" s="1"/>
      <c r="K3979" s="8" t="s">
        <v>2101</v>
      </c>
      <c r="L3979" s="8" t="s">
        <v>2375</v>
      </c>
      <c r="M3979" s="8">
        <v>0</v>
      </c>
      <c r="N3979" s="8"/>
    </row>
    <row r="3980" spans="6:14" x14ac:dyDescent="0.35">
      <c r="F3980" s="1"/>
      <c r="K3980" s="8" t="s">
        <v>2101</v>
      </c>
      <c r="L3980" s="8" t="s">
        <v>2376</v>
      </c>
      <c r="M3980" s="8">
        <v>0</v>
      </c>
      <c r="N3980" s="8"/>
    </row>
    <row r="3981" spans="6:14" x14ac:dyDescent="0.35">
      <c r="F3981" s="1"/>
      <c r="K3981" s="8" t="s">
        <v>2101</v>
      </c>
      <c r="L3981" s="8" t="s">
        <v>439</v>
      </c>
      <c r="M3981" s="8">
        <v>1</v>
      </c>
      <c r="N3981" s="8"/>
    </row>
    <row r="3982" spans="6:14" x14ac:dyDescent="0.35">
      <c r="F3982" s="1"/>
      <c r="K3982" s="8" t="s">
        <v>2101</v>
      </c>
      <c r="L3982" s="8" t="s">
        <v>486</v>
      </c>
      <c r="M3982" s="8">
        <v>0</v>
      </c>
      <c r="N3982" s="8"/>
    </row>
    <row r="3983" spans="6:14" x14ac:dyDescent="0.35">
      <c r="F3983" s="1"/>
      <c r="K3983" s="8" t="s">
        <v>2101</v>
      </c>
      <c r="L3983" s="8" t="s">
        <v>487</v>
      </c>
      <c r="M3983" s="8">
        <v>0</v>
      </c>
      <c r="N3983" s="8"/>
    </row>
    <row r="3984" spans="6:14" x14ac:dyDescent="0.35">
      <c r="F3984" s="1"/>
      <c r="K3984" s="8" t="s">
        <v>2101</v>
      </c>
      <c r="L3984" s="8" t="s">
        <v>488</v>
      </c>
      <c r="M3984" s="8">
        <v>0</v>
      </c>
      <c r="N3984" s="8"/>
    </row>
    <row r="3985" spans="6:14" x14ac:dyDescent="0.35">
      <c r="F3985" s="1"/>
      <c r="K3985" s="8" t="s">
        <v>2101</v>
      </c>
      <c r="L3985" s="8" t="s">
        <v>489</v>
      </c>
      <c r="M3985" s="8">
        <v>0</v>
      </c>
      <c r="N3985" s="8"/>
    </row>
    <row r="3986" spans="6:14" x14ac:dyDescent="0.35">
      <c r="F3986" s="1"/>
      <c r="K3986" s="8" t="s">
        <v>2101</v>
      </c>
      <c r="L3986" s="8" t="s">
        <v>490</v>
      </c>
      <c r="M3986" s="8">
        <v>0</v>
      </c>
      <c r="N3986" s="8"/>
    </row>
    <row r="3987" spans="6:14" x14ac:dyDescent="0.35">
      <c r="F3987" s="1"/>
      <c r="K3987" s="8" t="s">
        <v>2101</v>
      </c>
      <c r="L3987" s="8" t="s">
        <v>491</v>
      </c>
      <c r="M3987" s="8">
        <v>0</v>
      </c>
      <c r="N3987" s="8"/>
    </row>
    <row r="3988" spans="6:14" x14ac:dyDescent="0.35">
      <c r="F3988" s="1"/>
      <c r="K3988" s="8" t="s">
        <v>2101</v>
      </c>
      <c r="L3988" s="8" t="s">
        <v>492</v>
      </c>
      <c r="M3988" s="8">
        <v>0</v>
      </c>
      <c r="N3988" s="8"/>
    </row>
    <row r="3989" spans="6:14" x14ac:dyDescent="0.35">
      <c r="F3989" s="1"/>
      <c r="K3989" s="8" t="s">
        <v>2101</v>
      </c>
      <c r="L3989" s="8" t="s">
        <v>493</v>
      </c>
      <c r="M3989" s="8">
        <v>0</v>
      </c>
      <c r="N3989" s="8"/>
    </row>
    <row r="3990" spans="6:14" x14ac:dyDescent="0.35">
      <c r="F3990" s="1"/>
      <c r="K3990" s="8" t="s">
        <v>2101</v>
      </c>
      <c r="L3990" s="8" t="s">
        <v>494</v>
      </c>
      <c r="M3990" s="8">
        <v>0</v>
      </c>
      <c r="N3990" s="8"/>
    </row>
    <row r="3991" spans="6:14" x14ac:dyDescent="0.35">
      <c r="F3991" s="1"/>
      <c r="K3991" s="8" t="s">
        <v>2101</v>
      </c>
      <c r="L3991" s="8" t="s">
        <v>495</v>
      </c>
      <c r="M3991" s="8">
        <v>0</v>
      </c>
      <c r="N3991" s="8"/>
    </row>
    <row r="3992" spans="6:14" x14ac:dyDescent="0.35">
      <c r="F3992" s="1"/>
      <c r="K3992" s="8" t="s">
        <v>2102</v>
      </c>
      <c r="L3992" s="8" t="s">
        <v>2377</v>
      </c>
      <c r="M3992" s="8">
        <v>0</v>
      </c>
      <c r="N3992" s="8"/>
    </row>
    <row r="3993" spans="6:14" x14ac:dyDescent="0.35">
      <c r="F3993" s="1"/>
      <c r="K3993" s="8" t="s">
        <v>2102</v>
      </c>
      <c r="L3993" s="8" t="s">
        <v>2378</v>
      </c>
      <c r="M3993" s="8">
        <v>0</v>
      </c>
      <c r="N3993" s="8"/>
    </row>
    <row r="3994" spans="6:14" x14ac:dyDescent="0.35">
      <c r="F3994" s="1"/>
      <c r="K3994" s="8" t="s">
        <v>2102</v>
      </c>
      <c r="L3994" s="8" t="s">
        <v>2379</v>
      </c>
      <c r="M3994" s="8">
        <v>0</v>
      </c>
      <c r="N3994" s="8"/>
    </row>
    <row r="3995" spans="6:14" x14ac:dyDescent="0.35">
      <c r="F3995" s="1"/>
      <c r="K3995" s="8" t="s">
        <v>2102</v>
      </c>
      <c r="L3995" s="8" t="s">
        <v>2380</v>
      </c>
      <c r="M3995" s="8">
        <v>0</v>
      </c>
      <c r="N3995" s="8"/>
    </row>
    <row r="3996" spans="6:14" x14ac:dyDescent="0.35">
      <c r="F3996" s="1"/>
      <c r="K3996" s="8" t="s">
        <v>2102</v>
      </c>
      <c r="L3996" s="8" t="s">
        <v>2381</v>
      </c>
      <c r="M3996" s="8">
        <v>0</v>
      </c>
      <c r="N3996" s="8"/>
    </row>
    <row r="3997" spans="6:14" x14ac:dyDescent="0.35">
      <c r="F3997" s="1"/>
      <c r="K3997" s="8" t="s">
        <v>2102</v>
      </c>
      <c r="L3997" s="8" t="s">
        <v>2382</v>
      </c>
      <c r="M3997" s="8">
        <v>0</v>
      </c>
      <c r="N3997" s="8"/>
    </row>
    <row r="3998" spans="6:14" x14ac:dyDescent="0.35">
      <c r="F3998" s="1"/>
      <c r="K3998" s="8" t="s">
        <v>2102</v>
      </c>
      <c r="L3998" s="8" t="s">
        <v>2383</v>
      </c>
      <c r="M3998" s="8">
        <v>0</v>
      </c>
      <c r="N3998" s="8"/>
    </row>
    <row r="3999" spans="6:14" x14ac:dyDescent="0.35">
      <c r="F3999" s="1"/>
      <c r="K3999" s="8" t="s">
        <v>2102</v>
      </c>
      <c r="L3999" s="8" t="s">
        <v>2384</v>
      </c>
      <c r="M3999" s="8">
        <v>0</v>
      </c>
      <c r="N3999" s="8"/>
    </row>
    <row r="4000" spans="6:14" x14ac:dyDescent="0.35">
      <c r="F4000" s="1"/>
      <c r="K4000" s="8" t="s">
        <v>2102</v>
      </c>
      <c r="L4000" s="8" t="s">
        <v>2385</v>
      </c>
      <c r="M4000" s="8">
        <v>0</v>
      </c>
      <c r="N4000" s="8"/>
    </row>
    <row r="4001" spans="6:14" x14ac:dyDescent="0.35">
      <c r="F4001" s="1"/>
      <c r="K4001" s="8" t="s">
        <v>2102</v>
      </c>
      <c r="L4001" s="8" t="s">
        <v>2386</v>
      </c>
      <c r="M4001" s="8">
        <v>0</v>
      </c>
      <c r="N4001" s="8"/>
    </row>
    <row r="4002" spans="6:14" x14ac:dyDescent="0.35">
      <c r="F4002" s="1"/>
      <c r="K4002" s="8" t="s">
        <v>2102</v>
      </c>
      <c r="L4002" s="8" t="s">
        <v>2387</v>
      </c>
      <c r="M4002" s="8">
        <v>0</v>
      </c>
      <c r="N4002" s="8"/>
    </row>
    <row r="4003" spans="6:14" x14ac:dyDescent="0.35">
      <c r="F4003" s="1"/>
      <c r="K4003" s="8" t="s">
        <v>2102</v>
      </c>
      <c r="L4003" s="8" t="s">
        <v>2388</v>
      </c>
      <c r="M4003" s="8">
        <v>0</v>
      </c>
      <c r="N4003" s="8"/>
    </row>
    <row r="4004" spans="6:14" x14ac:dyDescent="0.35">
      <c r="F4004" s="1"/>
      <c r="K4004" s="8" t="s">
        <v>2102</v>
      </c>
      <c r="L4004" s="8" t="s">
        <v>2389</v>
      </c>
      <c r="M4004" s="8">
        <v>0</v>
      </c>
      <c r="N4004" s="8"/>
    </row>
    <row r="4005" spans="6:14" x14ac:dyDescent="0.35">
      <c r="F4005" s="1"/>
      <c r="K4005" s="8" t="s">
        <v>2102</v>
      </c>
      <c r="L4005" s="8" t="s">
        <v>2390</v>
      </c>
      <c r="M4005" s="8">
        <v>0</v>
      </c>
      <c r="N4005" s="8"/>
    </row>
    <row r="4006" spans="6:14" x14ac:dyDescent="0.35">
      <c r="F4006" s="1"/>
      <c r="K4006" s="8" t="s">
        <v>2102</v>
      </c>
      <c r="L4006" s="8" t="s">
        <v>2391</v>
      </c>
      <c r="M4006" s="8">
        <v>0</v>
      </c>
      <c r="N4006" s="8"/>
    </row>
    <row r="4007" spans="6:14" x14ac:dyDescent="0.35">
      <c r="F4007" s="1"/>
      <c r="K4007" s="8" t="s">
        <v>2102</v>
      </c>
      <c r="L4007" s="8" t="s">
        <v>2392</v>
      </c>
      <c r="M4007" s="8">
        <v>0</v>
      </c>
      <c r="N4007" s="8"/>
    </row>
    <row r="4008" spans="6:14" x14ac:dyDescent="0.35">
      <c r="F4008" s="1"/>
      <c r="K4008" s="8" t="s">
        <v>2102</v>
      </c>
      <c r="L4008" s="8" t="s">
        <v>480</v>
      </c>
      <c r="M4008" s="8">
        <v>0</v>
      </c>
      <c r="N4008" s="8"/>
    </row>
    <row r="4009" spans="6:14" x14ac:dyDescent="0.35">
      <c r="F4009" s="1"/>
      <c r="K4009" s="8" t="s">
        <v>2102</v>
      </c>
      <c r="L4009" s="8" t="s">
        <v>481</v>
      </c>
      <c r="M4009" s="8">
        <v>0</v>
      </c>
      <c r="N4009" s="8"/>
    </row>
    <row r="4010" spans="6:14" x14ac:dyDescent="0.35">
      <c r="F4010" s="1"/>
      <c r="K4010" s="8" t="s">
        <v>2102</v>
      </c>
      <c r="L4010" s="8" t="s">
        <v>482</v>
      </c>
      <c r="M4010" s="8">
        <v>0</v>
      </c>
      <c r="N4010" s="8"/>
    </row>
    <row r="4011" spans="6:14" x14ac:dyDescent="0.35">
      <c r="F4011" s="1"/>
      <c r="K4011" s="8" t="s">
        <v>2102</v>
      </c>
      <c r="L4011" s="8" t="s">
        <v>483</v>
      </c>
      <c r="M4011" s="8">
        <v>0</v>
      </c>
      <c r="N4011" s="8"/>
    </row>
    <row r="4012" spans="6:14" x14ac:dyDescent="0.35">
      <c r="F4012" s="1"/>
      <c r="K4012" s="8" t="s">
        <v>2102</v>
      </c>
      <c r="L4012" s="8" t="s">
        <v>484</v>
      </c>
      <c r="M4012" s="8">
        <v>0</v>
      </c>
      <c r="N4012" s="8"/>
    </row>
    <row r="4013" spans="6:14" x14ac:dyDescent="0.35">
      <c r="F4013" s="1"/>
      <c r="K4013" s="8" t="s">
        <v>2102</v>
      </c>
      <c r="L4013" s="8" t="s">
        <v>2393</v>
      </c>
      <c r="M4013" s="8">
        <v>0</v>
      </c>
      <c r="N4013" s="8"/>
    </row>
    <row r="4014" spans="6:14" x14ac:dyDescent="0.35">
      <c r="F4014" s="1"/>
      <c r="K4014" s="8" t="s">
        <v>2102</v>
      </c>
      <c r="L4014" s="8" t="s">
        <v>2394</v>
      </c>
      <c r="M4014" s="8">
        <v>0</v>
      </c>
      <c r="N4014" s="8"/>
    </row>
    <row r="4015" spans="6:14" x14ac:dyDescent="0.35">
      <c r="F4015" s="1"/>
      <c r="K4015" s="8" t="s">
        <v>2102</v>
      </c>
      <c r="L4015" s="8" t="s">
        <v>2395</v>
      </c>
      <c r="M4015" s="8">
        <v>0</v>
      </c>
      <c r="N4015" s="8"/>
    </row>
    <row r="4016" spans="6:14" x14ac:dyDescent="0.35">
      <c r="F4016" s="1"/>
      <c r="K4016" s="8" t="s">
        <v>2102</v>
      </c>
      <c r="L4016" s="8" t="s">
        <v>2396</v>
      </c>
      <c r="M4016" s="8">
        <v>0</v>
      </c>
      <c r="N4016" s="8"/>
    </row>
    <row r="4017" spans="6:14" x14ac:dyDescent="0.35">
      <c r="F4017" s="1"/>
      <c r="K4017" s="8" t="s">
        <v>2102</v>
      </c>
      <c r="L4017" s="8" t="s">
        <v>2397</v>
      </c>
      <c r="M4017" s="8">
        <v>0</v>
      </c>
      <c r="N4017" s="8"/>
    </row>
    <row r="4018" spans="6:14" x14ac:dyDescent="0.35">
      <c r="F4018" s="1"/>
      <c r="K4018" s="8" t="s">
        <v>2102</v>
      </c>
      <c r="L4018" s="8" t="s">
        <v>2398</v>
      </c>
      <c r="M4018" s="8">
        <v>0</v>
      </c>
      <c r="N4018" s="8"/>
    </row>
    <row r="4019" spans="6:14" x14ac:dyDescent="0.35">
      <c r="F4019" s="1"/>
      <c r="K4019" s="8" t="s">
        <v>2102</v>
      </c>
      <c r="L4019" s="8" t="s">
        <v>2399</v>
      </c>
      <c r="M4019" s="8">
        <v>0</v>
      </c>
      <c r="N4019" s="8"/>
    </row>
    <row r="4020" spans="6:14" x14ac:dyDescent="0.35">
      <c r="F4020" s="1"/>
      <c r="K4020" s="8" t="s">
        <v>2102</v>
      </c>
      <c r="L4020" s="8" t="s">
        <v>2400</v>
      </c>
      <c r="M4020" s="8">
        <v>0</v>
      </c>
      <c r="N4020" s="8"/>
    </row>
    <row r="4021" spans="6:14" x14ac:dyDescent="0.35">
      <c r="F4021" s="1"/>
      <c r="K4021" s="8" t="s">
        <v>2102</v>
      </c>
      <c r="L4021" s="8" t="s">
        <v>2401</v>
      </c>
      <c r="M4021" s="8">
        <v>0</v>
      </c>
      <c r="N4021" s="8"/>
    </row>
    <row r="4022" spans="6:14" x14ac:dyDescent="0.35">
      <c r="F4022" s="1"/>
      <c r="K4022" s="8" t="s">
        <v>2102</v>
      </c>
      <c r="L4022" s="8" t="s">
        <v>2402</v>
      </c>
      <c r="M4022" s="8">
        <v>0</v>
      </c>
      <c r="N4022" s="8"/>
    </row>
    <row r="4023" spans="6:14" x14ac:dyDescent="0.35">
      <c r="F4023" s="1"/>
      <c r="K4023" s="8" t="s">
        <v>2102</v>
      </c>
      <c r="L4023" s="8" t="s">
        <v>2403</v>
      </c>
      <c r="M4023" s="8">
        <v>0</v>
      </c>
      <c r="N4023" s="8"/>
    </row>
    <row r="4024" spans="6:14" x14ac:dyDescent="0.35">
      <c r="F4024" s="1"/>
      <c r="K4024" s="8" t="s">
        <v>2102</v>
      </c>
      <c r="L4024" s="8" t="s">
        <v>2404</v>
      </c>
      <c r="M4024" s="8">
        <v>0</v>
      </c>
      <c r="N4024" s="8"/>
    </row>
    <row r="4025" spans="6:14" x14ac:dyDescent="0.35">
      <c r="F4025" s="1"/>
      <c r="K4025" s="8" t="s">
        <v>2102</v>
      </c>
      <c r="L4025" s="8" t="s">
        <v>2405</v>
      </c>
      <c r="M4025" s="8">
        <v>0</v>
      </c>
      <c r="N4025" s="8"/>
    </row>
    <row r="4026" spans="6:14" x14ac:dyDescent="0.35">
      <c r="F4026" s="1"/>
      <c r="K4026" s="8" t="s">
        <v>2102</v>
      </c>
      <c r="L4026" s="8" t="s">
        <v>2406</v>
      </c>
      <c r="M4026" s="8">
        <v>0</v>
      </c>
      <c r="N4026" s="8"/>
    </row>
    <row r="4027" spans="6:14" x14ac:dyDescent="0.35">
      <c r="F4027" s="1"/>
      <c r="K4027" s="8" t="s">
        <v>2102</v>
      </c>
      <c r="L4027" s="8" t="s">
        <v>2407</v>
      </c>
      <c r="M4027" s="8">
        <v>0</v>
      </c>
      <c r="N4027" s="8"/>
    </row>
    <row r="4028" spans="6:14" x14ac:dyDescent="0.35">
      <c r="F4028" s="1"/>
      <c r="K4028" s="8" t="s">
        <v>2102</v>
      </c>
      <c r="L4028" s="8" t="s">
        <v>2408</v>
      </c>
      <c r="M4028" s="8">
        <v>0</v>
      </c>
      <c r="N4028" s="8"/>
    </row>
    <row r="4029" spans="6:14" x14ac:dyDescent="0.35">
      <c r="F4029" s="1"/>
      <c r="K4029" s="8" t="s">
        <v>2102</v>
      </c>
      <c r="L4029" s="8" t="s">
        <v>486</v>
      </c>
      <c r="M4029" s="8">
        <v>0</v>
      </c>
      <c r="N4029" s="8"/>
    </row>
    <row r="4030" spans="6:14" x14ac:dyDescent="0.35">
      <c r="F4030" s="1"/>
      <c r="K4030" s="8" t="s">
        <v>2102</v>
      </c>
      <c r="L4030" s="8" t="s">
        <v>487</v>
      </c>
      <c r="M4030" s="8">
        <v>0</v>
      </c>
      <c r="N4030" s="8"/>
    </row>
    <row r="4031" spans="6:14" x14ac:dyDescent="0.35">
      <c r="F4031" s="1"/>
      <c r="K4031" s="8" t="s">
        <v>2102</v>
      </c>
      <c r="L4031" s="8" t="s">
        <v>488</v>
      </c>
      <c r="M4031" s="8">
        <v>0</v>
      </c>
      <c r="N4031" s="8"/>
    </row>
    <row r="4032" spans="6:14" x14ac:dyDescent="0.35">
      <c r="F4032" s="1"/>
      <c r="K4032" s="8" t="s">
        <v>2102</v>
      </c>
      <c r="L4032" s="8" t="s">
        <v>489</v>
      </c>
      <c r="M4032" s="8">
        <v>0</v>
      </c>
      <c r="N4032" s="8"/>
    </row>
    <row r="4033" spans="6:14" x14ac:dyDescent="0.35">
      <c r="F4033" s="1"/>
      <c r="K4033" s="8" t="s">
        <v>2102</v>
      </c>
      <c r="L4033" s="8" t="s">
        <v>490</v>
      </c>
      <c r="M4033" s="8">
        <v>0</v>
      </c>
      <c r="N4033" s="8"/>
    </row>
    <row r="4034" spans="6:14" x14ac:dyDescent="0.35">
      <c r="F4034" s="1"/>
      <c r="K4034" s="8" t="s">
        <v>2102</v>
      </c>
      <c r="L4034" s="8" t="s">
        <v>373</v>
      </c>
      <c r="M4034" s="8">
        <v>1</v>
      </c>
      <c r="N4034" s="8"/>
    </row>
    <row r="4035" spans="6:14" x14ac:dyDescent="0.35">
      <c r="F4035" s="1"/>
      <c r="K4035" s="8" t="s">
        <v>2102</v>
      </c>
      <c r="L4035" s="8" t="s">
        <v>491</v>
      </c>
      <c r="M4035" s="8">
        <v>0</v>
      </c>
      <c r="N4035" s="8"/>
    </row>
    <row r="4036" spans="6:14" x14ac:dyDescent="0.35">
      <c r="F4036" s="1"/>
      <c r="K4036" s="8" t="s">
        <v>2102</v>
      </c>
      <c r="L4036" s="8" t="s">
        <v>492</v>
      </c>
      <c r="M4036" s="8">
        <v>0</v>
      </c>
      <c r="N4036" s="8"/>
    </row>
    <row r="4037" spans="6:14" x14ac:dyDescent="0.35">
      <c r="F4037" s="1"/>
      <c r="K4037" s="8" t="s">
        <v>2102</v>
      </c>
      <c r="L4037" s="8" t="s">
        <v>493</v>
      </c>
      <c r="M4037" s="8">
        <v>0</v>
      </c>
      <c r="N4037" s="8"/>
    </row>
    <row r="4038" spans="6:14" x14ac:dyDescent="0.35">
      <c r="F4038" s="1"/>
      <c r="K4038" s="8" t="s">
        <v>2102</v>
      </c>
      <c r="L4038" s="8" t="s">
        <v>494</v>
      </c>
      <c r="M4038" s="8">
        <v>0</v>
      </c>
      <c r="N4038" s="8"/>
    </row>
    <row r="4039" spans="6:14" x14ac:dyDescent="0.35">
      <c r="F4039" s="1"/>
      <c r="K4039" s="8" t="s">
        <v>2102</v>
      </c>
      <c r="L4039" s="8" t="s">
        <v>495</v>
      </c>
      <c r="M4039" s="8">
        <v>0</v>
      </c>
      <c r="N4039" s="8"/>
    </row>
    <row r="4040" spans="6:14" x14ac:dyDescent="0.35">
      <c r="F4040" s="1"/>
      <c r="K4040" s="8" t="s">
        <v>2104</v>
      </c>
      <c r="L4040" s="8" t="s">
        <v>2262</v>
      </c>
      <c r="M4040" s="8">
        <v>1</v>
      </c>
      <c r="N4040" s="8" t="s">
        <v>476</v>
      </c>
    </row>
    <row r="4041" spans="6:14" x14ac:dyDescent="0.35">
      <c r="F4041" s="1"/>
      <c r="K4041" s="8" t="s">
        <v>2104</v>
      </c>
      <c r="L4041" s="8" t="s">
        <v>2263</v>
      </c>
      <c r="M4041" s="8">
        <v>0</v>
      </c>
      <c r="N4041" s="8"/>
    </row>
    <row r="4042" spans="6:14" x14ac:dyDescent="0.35">
      <c r="F4042" s="1"/>
      <c r="K4042" s="8" t="s">
        <v>2104</v>
      </c>
      <c r="L4042" s="8" t="s">
        <v>2264</v>
      </c>
      <c r="M4042" s="8">
        <v>0</v>
      </c>
      <c r="N4042" s="8"/>
    </row>
    <row r="4043" spans="6:14" x14ac:dyDescent="0.35">
      <c r="F4043" s="1"/>
      <c r="K4043" s="8" t="s">
        <v>2104</v>
      </c>
      <c r="L4043" s="8" t="s">
        <v>2265</v>
      </c>
      <c r="M4043" s="8">
        <v>0</v>
      </c>
      <c r="N4043" s="8"/>
    </row>
    <row r="4044" spans="6:14" x14ac:dyDescent="0.35">
      <c r="F4044" s="1"/>
      <c r="K4044" s="8" t="s">
        <v>2104</v>
      </c>
      <c r="L4044" s="8" t="s">
        <v>2266</v>
      </c>
      <c r="M4044" s="8">
        <v>0</v>
      </c>
      <c r="N4044" s="8"/>
    </row>
    <row r="4045" spans="6:14" x14ac:dyDescent="0.35">
      <c r="F4045" s="1"/>
      <c r="K4045" s="8" t="s">
        <v>2104</v>
      </c>
      <c r="L4045" s="8" t="s">
        <v>2217</v>
      </c>
      <c r="M4045" s="8">
        <v>1</v>
      </c>
      <c r="N4045" s="8"/>
    </row>
    <row r="4046" spans="6:14" x14ac:dyDescent="0.35">
      <c r="F4046" s="1"/>
      <c r="K4046" s="8" t="s">
        <v>2104</v>
      </c>
      <c r="L4046" s="8" t="s">
        <v>2218</v>
      </c>
      <c r="M4046" s="8">
        <v>1</v>
      </c>
      <c r="N4046" s="8"/>
    </row>
    <row r="4047" spans="6:14" x14ac:dyDescent="0.35">
      <c r="F4047" s="1"/>
      <c r="K4047" s="8" t="s">
        <v>2105</v>
      </c>
      <c r="L4047" s="8" t="s">
        <v>2252</v>
      </c>
      <c r="M4047" s="8">
        <v>0</v>
      </c>
      <c r="N4047" s="8"/>
    </row>
    <row r="4048" spans="6:14" x14ac:dyDescent="0.35">
      <c r="F4048" s="1"/>
      <c r="K4048" s="8" t="s">
        <v>2105</v>
      </c>
      <c r="L4048" s="8" t="s">
        <v>2253</v>
      </c>
      <c r="M4048" s="8">
        <v>0</v>
      </c>
      <c r="N4048" s="8"/>
    </row>
    <row r="4049" spans="6:14" x14ac:dyDescent="0.35">
      <c r="F4049" s="1"/>
      <c r="K4049" s="8" t="s">
        <v>2105</v>
      </c>
      <c r="L4049" s="8" t="s">
        <v>2254</v>
      </c>
      <c r="M4049" s="8">
        <v>0</v>
      </c>
      <c r="N4049" s="8"/>
    </row>
    <row r="4050" spans="6:14" x14ac:dyDescent="0.35">
      <c r="F4050" s="1"/>
      <c r="K4050" s="8" t="s">
        <v>2105</v>
      </c>
      <c r="L4050" s="8" t="s">
        <v>2255</v>
      </c>
      <c r="M4050" s="8">
        <v>0</v>
      </c>
      <c r="N4050" s="8"/>
    </row>
    <row r="4051" spans="6:14" x14ac:dyDescent="0.35">
      <c r="F4051" s="1"/>
      <c r="K4051" s="8" t="s">
        <v>2105</v>
      </c>
      <c r="L4051" s="8" t="s">
        <v>2217</v>
      </c>
      <c r="M4051" s="8">
        <v>1</v>
      </c>
      <c r="N4051" s="8"/>
    </row>
    <row r="4052" spans="6:14" x14ac:dyDescent="0.35">
      <c r="F4052" s="1"/>
      <c r="K4052" s="8" t="s">
        <v>2105</v>
      </c>
      <c r="L4052" s="8" t="s">
        <v>2256</v>
      </c>
      <c r="M4052" s="8">
        <v>0</v>
      </c>
      <c r="N4052" s="8"/>
    </row>
    <row r="4053" spans="6:14" x14ac:dyDescent="0.35">
      <c r="F4053" s="1"/>
      <c r="K4053" s="8" t="s">
        <v>2105</v>
      </c>
      <c r="L4053" s="8" t="s">
        <v>2257</v>
      </c>
      <c r="M4053" s="8">
        <v>0</v>
      </c>
      <c r="N4053" s="8"/>
    </row>
    <row r="4054" spans="6:14" x14ac:dyDescent="0.35">
      <c r="F4054" s="1"/>
      <c r="K4054" s="8" t="s">
        <v>2106</v>
      </c>
      <c r="L4054" s="8" t="s">
        <v>2219</v>
      </c>
      <c r="M4054" s="8">
        <v>1</v>
      </c>
      <c r="N4054" s="8"/>
    </row>
    <row r="4055" spans="6:14" x14ac:dyDescent="0.35">
      <c r="F4055" s="1"/>
      <c r="K4055" s="8" t="s">
        <v>2106</v>
      </c>
      <c r="L4055" s="8" t="s">
        <v>2220</v>
      </c>
      <c r="M4055" s="8">
        <v>1</v>
      </c>
      <c r="N4055" s="8"/>
    </row>
    <row r="4056" spans="6:14" x14ac:dyDescent="0.35">
      <c r="F4056" s="1"/>
      <c r="K4056" s="8" t="s">
        <v>2106</v>
      </c>
      <c r="L4056" s="8" t="s">
        <v>2258</v>
      </c>
      <c r="M4056" s="8">
        <v>0</v>
      </c>
      <c r="N4056" s="8"/>
    </row>
    <row r="4057" spans="6:14" x14ac:dyDescent="0.35">
      <c r="F4057" s="1"/>
      <c r="K4057" s="8" t="s">
        <v>2106</v>
      </c>
      <c r="L4057" s="8" t="s">
        <v>2259</v>
      </c>
      <c r="M4057" s="8">
        <v>0</v>
      </c>
      <c r="N4057" s="8"/>
    </row>
    <row r="4058" spans="6:14" x14ac:dyDescent="0.35">
      <c r="F4058" s="1"/>
      <c r="K4058" s="8" t="s">
        <v>2106</v>
      </c>
      <c r="L4058" s="8" t="s">
        <v>2260</v>
      </c>
      <c r="M4058" s="8">
        <v>0</v>
      </c>
      <c r="N4058" s="8"/>
    </row>
    <row r="4059" spans="6:14" x14ac:dyDescent="0.35">
      <c r="F4059" s="1"/>
      <c r="K4059" s="8" t="s">
        <v>2106</v>
      </c>
      <c r="L4059" s="8" t="s">
        <v>2261</v>
      </c>
      <c r="M4059" s="8">
        <v>0</v>
      </c>
      <c r="N4059" s="8"/>
    </row>
    <row r="4060" spans="6:14" x14ac:dyDescent="0.35">
      <c r="F4060" s="1"/>
      <c r="K4060" s="8" t="s">
        <v>2106</v>
      </c>
      <c r="L4060" s="8" t="s">
        <v>2217</v>
      </c>
      <c r="M4060" s="8">
        <v>1</v>
      </c>
      <c r="N4060" s="8"/>
    </row>
    <row r="4061" spans="6:14" x14ac:dyDescent="0.35">
      <c r="F4061" s="1"/>
      <c r="K4061" s="8" t="s">
        <v>2107</v>
      </c>
      <c r="L4061" s="8" t="s">
        <v>480</v>
      </c>
      <c r="M4061" s="8">
        <v>0</v>
      </c>
      <c r="N4061" s="8"/>
    </row>
    <row r="4062" spans="6:14" x14ac:dyDescent="0.35">
      <c r="F4062" s="1"/>
      <c r="K4062" s="8" t="s">
        <v>2107</v>
      </c>
      <c r="L4062" s="8" t="s">
        <v>481</v>
      </c>
      <c r="M4062" s="8">
        <v>0</v>
      </c>
      <c r="N4062" s="8"/>
    </row>
    <row r="4063" spans="6:14" x14ac:dyDescent="0.35">
      <c r="F4063" s="1"/>
      <c r="K4063" s="8" t="s">
        <v>2107</v>
      </c>
      <c r="L4063" s="8" t="s">
        <v>482</v>
      </c>
      <c r="M4063" s="8">
        <v>0</v>
      </c>
      <c r="N4063" s="8"/>
    </row>
    <row r="4064" spans="6:14" x14ac:dyDescent="0.35">
      <c r="F4064" s="1"/>
      <c r="K4064" s="8" t="s">
        <v>2107</v>
      </c>
      <c r="L4064" s="8" t="s">
        <v>483</v>
      </c>
      <c r="M4064" s="8">
        <v>0</v>
      </c>
      <c r="N4064" s="8"/>
    </row>
    <row r="4065" spans="6:14" x14ac:dyDescent="0.35">
      <c r="F4065" s="1"/>
      <c r="K4065" s="8" t="s">
        <v>2107</v>
      </c>
      <c r="L4065" s="8" t="s">
        <v>484</v>
      </c>
      <c r="M4065" s="8">
        <v>0</v>
      </c>
      <c r="N4065" s="8"/>
    </row>
    <row r="4066" spans="6:14" x14ac:dyDescent="0.35">
      <c r="F4066" s="1"/>
      <c r="K4066" s="8" t="s">
        <v>2107</v>
      </c>
      <c r="L4066" s="8" t="s">
        <v>375</v>
      </c>
      <c r="M4066" s="8">
        <v>1</v>
      </c>
      <c r="N4066" s="8"/>
    </row>
    <row r="4067" spans="6:14" x14ac:dyDescent="0.35">
      <c r="F4067" s="1"/>
      <c r="K4067" s="8" t="s">
        <v>2107</v>
      </c>
      <c r="L4067" s="8" t="s">
        <v>376</v>
      </c>
      <c r="M4067" s="8">
        <v>1</v>
      </c>
      <c r="N4067" s="8"/>
    </row>
    <row r="4068" spans="6:14" x14ac:dyDescent="0.35">
      <c r="F4068" s="1"/>
      <c r="K4068" s="8" t="s">
        <v>2107</v>
      </c>
      <c r="L4068" s="8" t="s">
        <v>355</v>
      </c>
      <c r="M4068" s="8">
        <v>1</v>
      </c>
      <c r="N4068" s="8"/>
    </row>
    <row r="4069" spans="6:14" x14ac:dyDescent="0.35">
      <c r="F4069" s="1"/>
      <c r="K4069" s="8" t="s">
        <v>2107</v>
      </c>
      <c r="L4069" s="8" t="s">
        <v>486</v>
      </c>
      <c r="M4069" s="8">
        <v>0</v>
      </c>
      <c r="N4069" s="8"/>
    </row>
    <row r="4070" spans="6:14" x14ac:dyDescent="0.35">
      <c r="F4070" s="1"/>
      <c r="K4070" s="8" t="s">
        <v>2107</v>
      </c>
      <c r="L4070" s="8" t="s">
        <v>487</v>
      </c>
      <c r="M4070" s="8">
        <v>0</v>
      </c>
      <c r="N4070" s="8"/>
    </row>
    <row r="4071" spans="6:14" x14ac:dyDescent="0.35">
      <c r="F4071" s="1"/>
      <c r="K4071" s="8" t="s">
        <v>2107</v>
      </c>
      <c r="L4071" s="8" t="s">
        <v>488</v>
      </c>
      <c r="M4071" s="8">
        <v>0</v>
      </c>
      <c r="N4071" s="8"/>
    </row>
    <row r="4072" spans="6:14" x14ac:dyDescent="0.35">
      <c r="F4072" s="1"/>
      <c r="K4072" s="8" t="s">
        <v>2107</v>
      </c>
      <c r="L4072" s="8" t="s">
        <v>489</v>
      </c>
      <c r="M4072" s="8">
        <v>0</v>
      </c>
      <c r="N4072" s="8"/>
    </row>
    <row r="4073" spans="6:14" x14ac:dyDescent="0.35">
      <c r="F4073" s="1"/>
      <c r="K4073" s="8" t="s">
        <v>2107</v>
      </c>
      <c r="L4073" s="8" t="s">
        <v>490</v>
      </c>
      <c r="M4073" s="8">
        <v>0</v>
      </c>
      <c r="N4073" s="8"/>
    </row>
    <row r="4074" spans="6:14" x14ac:dyDescent="0.35">
      <c r="F4074" s="1"/>
      <c r="K4074" s="8" t="s">
        <v>2107</v>
      </c>
      <c r="L4074" s="8" t="s">
        <v>2583</v>
      </c>
      <c r="M4074" s="8">
        <v>0</v>
      </c>
      <c r="N4074" s="8"/>
    </row>
    <row r="4075" spans="6:14" x14ac:dyDescent="0.35">
      <c r="F4075" s="1"/>
      <c r="K4075" s="8" t="s">
        <v>2107</v>
      </c>
      <c r="L4075" s="8" t="s">
        <v>2584</v>
      </c>
      <c r="M4075" s="8">
        <v>0</v>
      </c>
      <c r="N4075" s="8"/>
    </row>
    <row r="4076" spans="6:14" x14ac:dyDescent="0.35">
      <c r="F4076" s="1"/>
      <c r="K4076" s="8" t="s">
        <v>2107</v>
      </c>
      <c r="L4076" s="8" t="s">
        <v>2585</v>
      </c>
      <c r="M4076" s="8">
        <v>0</v>
      </c>
      <c r="N4076" s="8"/>
    </row>
    <row r="4077" spans="6:14" x14ac:dyDescent="0.35">
      <c r="F4077" s="1"/>
      <c r="K4077" s="8" t="s">
        <v>2107</v>
      </c>
      <c r="L4077" s="8" t="s">
        <v>2586</v>
      </c>
      <c r="M4077" s="8">
        <v>0</v>
      </c>
      <c r="N4077" s="8"/>
    </row>
    <row r="4078" spans="6:14" x14ac:dyDescent="0.35">
      <c r="F4078" s="1"/>
      <c r="K4078" s="8" t="s">
        <v>2107</v>
      </c>
      <c r="L4078" s="8" t="s">
        <v>2587</v>
      </c>
      <c r="M4078" s="8">
        <v>0</v>
      </c>
      <c r="N4078" s="8"/>
    </row>
    <row r="4079" spans="6:14" x14ac:dyDescent="0.35">
      <c r="F4079" s="1"/>
      <c r="K4079" s="8" t="s">
        <v>2107</v>
      </c>
      <c r="L4079" s="8" t="s">
        <v>2588</v>
      </c>
      <c r="M4079" s="8">
        <v>0</v>
      </c>
      <c r="N4079" s="8"/>
    </row>
    <row r="4080" spans="6:14" x14ac:dyDescent="0.35">
      <c r="F4080" s="1"/>
      <c r="K4080" s="8" t="s">
        <v>2107</v>
      </c>
      <c r="L4080" s="8" t="s">
        <v>491</v>
      </c>
      <c r="M4080" s="8">
        <v>0</v>
      </c>
      <c r="N4080" s="8"/>
    </row>
    <row r="4081" spans="6:14" x14ac:dyDescent="0.35">
      <c r="F4081" s="1"/>
      <c r="K4081" s="8" t="s">
        <v>2107</v>
      </c>
      <c r="L4081" s="8" t="s">
        <v>492</v>
      </c>
      <c r="M4081" s="8">
        <v>0</v>
      </c>
      <c r="N4081" s="8"/>
    </row>
    <row r="4082" spans="6:14" x14ac:dyDescent="0.35">
      <c r="F4082" s="1"/>
      <c r="K4082" s="8" t="s">
        <v>2107</v>
      </c>
      <c r="L4082" s="8" t="s">
        <v>493</v>
      </c>
      <c r="M4082" s="8">
        <v>0</v>
      </c>
      <c r="N4082" s="8"/>
    </row>
    <row r="4083" spans="6:14" x14ac:dyDescent="0.35">
      <c r="F4083" s="1"/>
      <c r="K4083" s="8" t="s">
        <v>2108</v>
      </c>
      <c r="L4083" s="8" t="s">
        <v>2489</v>
      </c>
      <c r="M4083" s="8">
        <v>1</v>
      </c>
      <c r="N4083" s="8" t="s">
        <v>2490</v>
      </c>
    </row>
    <row r="4084" spans="6:14" x14ac:dyDescent="0.35">
      <c r="F4084" s="1"/>
      <c r="K4084" s="8" t="s">
        <v>2108</v>
      </c>
      <c r="L4084" s="8" t="s">
        <v>2491</v>
      </c>
      <c r="M4084" s="8">
        <v>1</v>
      </c>
      <c r="N4084" s="8" t="s">
        <v>2492</v>
      </c>
    </row>
    <row r="4085" spans="6:14" x14ac:dyDescent="0.35">
      <c r="F4085" s="1"/>
      <c r="K4085" s="8" t="s">
        <v>2108</v>
      </c>
      <c r="L4085" s="8" t="s">
        <v>2493</v>
      </c>
      <c r="M4085" s="8">
        <v>1</v>
      </c>
      <c r="N4085" s="8" t="s">
        <v>2492</v>
      </c>
    </row>
    <row r="4086" spans="6:14" x14ac:dyDescent="0.35">
      <c r="F4086" s="1"/>
      <c r="K4086" s="8" t="s">
        <v>2108</v>
      </c>
      <c r="L4086" s="8" t="s">
        <v>2488</v>
      </c>
      <c r="M4086" s="8">
        <v>0</v>
      </c>
      <c r="N4086" s="8"/>
    </row>
    <row r="4087" spans="6:14" x14ac:dyDescent="0.35">
      <c r="F4087" s="1"/>
      <c r="K4087" s="8" t="s">
        <v>2108</v>
      </c>
      <c r="L4087" s="8" t="s">
        <v>375</v>
      </c>
      <c r="M4087" s="8">
        <v>1</v>
      </c>
      <c r="N4087" s="8"/>
    </row>
    <row r="4088" spans="6:14" x14ac:dyDescent="0.35">
      <c r="F4088" s="1"/>
      <c r="K4088" s="8" t="s">
        <v>2108</v>
      </c>
      <c r="L4088" s="8" t="s">
        <v>376</v>
      </c>
      <c r="M4088" s="8">
        <v>1</v>
      </c>
      <c r="N4088" s="8"/>
    </row>
    <row r="4089" spans="6:14" x14ac:dyDescent="0.35">
      <c r="F4089" s="1"/>
      <c r="K4089" s="8" t="s">
        <v>2108</v>
      </c>
      <c r="L4089" s="8" t="s">
        <v>2120</v>
      </c>
      <c r="M4089" s="8">
        <v>1</v>
      </c>
      <c r="N4089" s="8"/>
    </row>
    <row r="4090" spans="6:14" x14ac:dyDescent="0.35">
      <c r="F4090" s="1"/>
      <c r="K4090" s="8" t="s">
        <v>2110</v>
      </c>
      <c r="L4090" s="8" t="s">
        <v>354</v>
      </c>
      <c r="M4090" s="8">
        <v>0</v>
      </c>
      <c r="N4090" s="8"/>
    </row>
    <row r="4091" spans="6:14" x14ac:dyDescent="0.35">
      <c r="F4091" s="1"/>
      <c r="K4091" s="8" t="s">
        <v>2110</v>
      </c>
      <c r="L4091" s="8" t="s">
        <v>351</v>
      </c>
      <c r="M4091" s="8">
        <v>1</v>
      </c>
      <c r="N4091" s="8"/>
    </row>
    <row r="4092" spans="6:14" x14ac:dyDescent="0.35">
      <c r="F4092" s="1"/>
      <c r="K4092" s="8" t="s">
        <v>2110</v>
      </c>
      <c r="L4092" s="8" t="s">
        <v>353</v>
      </c>
      <c r="M4092" s="8">
        <v>0</v>
      </c>
      <c r="N4092" s="8"/>
    </row>
    <row r="4093" spans="6:14" x14ac:dyDescent="0.35">
      <c r="F4093" s="1"/>
      <c r="K4093" s="8" t="s">
        <v>2110</v>
      </c>
      <c r="L4093" s="8" t="s">
        <v>352</v>
      </c>
      <c r="M4093" s="8">
        <v>1</v>
      </c>
      <c r="N4093" s="8"/>
    </row>
    <row r="4094" spans="6:14" x14ac:dyDescent="0.35">
      <c r="F4094" s="1"/>
      <c r="K4094" s="8" t="s">
        <v>2110</v>
      </c>
      <c r="L4094" s="8" t="s">
        <v>2344</v>
      </c>
      <c r="M4094" s="8">
        <v>0</v>
      </c>
      <c r="N4094" s="8"/>
    </row>
    <row r="4095" spans="6:14" x14ac:dyDescent="0.35">
      <c r="F4095" s="1"/>
      <c r="K4095" s="8" t="s">
        <v>2110</v>
      </c>
      <c r="L4095" s="8" t="s">
        <v>349</v>
      </c>
      <c r="M4095" s="8">
        <v>1</v>
      </c>
      <c r="N4095" s="8"/>
    </row>
    <row r="4096" spans="6:14" x14ac:dyDescent="0.35">
      <c r="F4096" s="1"/>
      <c r="K4096" s="8" t="s">
        <v>2110</v>
      </c>
      <c r="L4096" s="8" t="s">
        <v>439</v>
      </c>
      <c r="M4096" s="8">
        <v>1</v>
      </c>
      <c r="N4096" s="8"/>
    </row>
    <row r="4097" spans="6:14" x14ac:dyDescent="0.35">
      <c r="F4097" s="1"/>
      <c r="K4097" s="8" t="s">
        <v>2111</v>
      </c>
      <c r="L4097" s="8" t="s">
        <v>2221</v>
      </c>
      <c r="M4097" s="8">
        <v>1</v>
      </c>
      <c r="N4097" s="8"/>
    </row>
    <row r="4098" spans="6:14" x14ac:dyDescent="0.35">
      <c r="F4098" s="1"/>
      <c r="K4098" s="8" t="s">
        <v>2111</v>
      </c>
      <c r="L4098" s="8" t="s">
        <v>2222</v>
      </c>
      <c r="M4098" s="8">
        <v>1</v>
      </c>
      <c r="N4098" s="8"/>
    </row>
    <row r="4099" spans="6:14" x14ac:dyDescent="0.35">
      <c r="F4099" s="1"/>
      <c r="K4099" s="8" t="s">
        <v>2111</v>
      </c>
      <c r="L4099" s="8" t="s">
        <v>2500</v>
      </c>
      <c r="M4099" s="8">
        <v>0</v>
      </c>
      <c r="N4099" s="8"/>
    </row>
    <row r="4100" spans="6:14" x14ac:dyDescent="0.35">
      <c r="F4100" s="1"/>
      <c r="K4100" s="8" t="s">
        <v>2111</v>
      </c>
      <c r="L4100" s="8" t="s">
        <v>375</v>
      </c>
      <c r="M4100" s="8">
        <v>1</v>
      </c>
      <c r="N4100" s="8"/>
    </row>
    <row r="4101" spans="6:14" x14ac:dyDescent="0.35">
      <c r="F4101" s="1"/>
      <c r="K4101" s="8" t="s">
        <v>2111</v>
      </c>
      <c r="L4101" s="8" t="s">
        <v>2501</v>
      </c>
      <c r="M4101" s="8">
        <v>0</v>
      </c>
      <c r="N4101" s="8" t="s">
        <v>619</v>
      </c>
    </row>
    <row r="4102" spans="6:14" x14ac:dyDescent="0.35">
      <c r="F4102" s="1"/>
      <c r="K4102" s="8" t="s">
        <v>2111</v>
      </c>
      <c r="L4102" s="8" t="s">
        <v>376</v>
      </c>
      <c r="M4102" s="8">
        <v>1</v>
      </c>
      <c r="N4102" s="8"/>
    </row>
    <row r="4103" spans="6:14" x14ac:dyDescent="0.35">
      <c r="F4103" s="1"/>
      <c r="K4103" s="8" t="s">
        <v>2111</v>
      </c>
      <c r="L4103" s="8" t="s">
        <v>2120</v>
      </c>
      <c r="M4103" s="8">
        <v>1</v>
      </c>
      <c r="N4103" s="8"/>
    </row>
    <row r="4104" spans="6:14" x14ac:dyDescent="0.35">
      <c r="F4104" s="1"/>
      <c r="K4104" s="8" t="s">
        <v>2112</v>
      </c>
      <c r="L4104" s="8" t="s">
        <v>2223</v>
      </c>
      <c r="M4104" s="8">
        <v>1</v>
      </c>
      <c r="N4104" s="8"/>
    </row>
    <row r="4105" spans="6:14" x14ac:dyDescent="0.35">
      <c r="F4105" s="1"/>
      <c r="K4105" s="8" t="s">
        <v>2112</v>
      </c>
      <c r="L4105" s="8" t="s">
        <v>2224</v>
      </c>
      <c r="M4105" s="8">
        <v>1</v>
      </c>
      <c r="N4105" s="8"/>
    </row>
    <row r="4106" spans="6:14" x14ac:dyDescent="0.35">
      <c r="F4106" s="1"/>
      <c r="K4106" s="8" t="s">
        <v>2112</v>
      </c>
      <c r="L4106" s="8" t="s">
        <v>2494</v>
      </c>
      <c r="M4106" s="8">
        <v>0</v>
      </c>
      <c r="N4106" s="8"/>
    </row>
    <row r="4107" spans="6:14" x14ac:dyDescent="0.35">
      <c r="F4107" s="1"/>
      <c r="K4107" s="8" t="s">
        <v>2112</v>
      </c>
      <c r="L4107" s="8" t="s">
        <v>375</v>
      </c>
      <c r="M4107" s="8">
        <v>1</v>
      </c>
      <c r="N4107" s="8"/>
    </row>
    <row r="4108" spans="6:14" x14ac:dyDescent="0.35">
      <c r="F4108" s="1"/>
      <c r="K4108" s="8" t="s">
        <v>2112</v>
      </c>
      <c r="L4108" s="8" t="s">
        <v>376</v>
      </c>
      <c r="M4108" s="8">
        <v>1</v>
      </c>
      <c r="N4108" s="8"/>
    </row>
    <row r="4109" spans="6:14" x14ac:dyDescent="0.35">
      <c r="F4109" s="1"/>
      <c r="K4109" s="8" t="s">
        <v>2112</v>
      </c>
      <c r="L4109" s="8" t="s">
        <v>395</v>
      </c>
      <c r="M4109" s="8">
        <v>1</v>
      </c>
      <c r="N4109" s="8"/>
    </row>
    <row r="4110" spans="6:14" x14ac:dyDescent="0.35">
      <c r="F4110" s="1"/>
      <c r="K4110" s="8" t="s">
        <v>2112</v>
      </c>
      <c r="L4110" s="8" t="s">
        <v>2120</v>
      </c>
      <c r="M4110" s="8">
        <v>1</v>
      </c>
      <c r="N4110" s="8"/>
    </row>
    <row r="4111" spans="6:14" x14ac:dyDescent="0.35">
      <c r="F4111" s="1"/>
      <c r="K4111" s="8" t="s">
        <v>2113</v>
      </c>
      <c r="L4111" s="8" t="s">
        <v>2495</v>
      </c>
      <c r="M4111" s="8">
        <v>1</v>
      </c>
      <c r="N4111" s="8" t="s">
        <v>476</v>
      </c>
    </row>
    <row r="4112" spans="6:14" x14ac:dyDescent="0.35">
      <c r="F4112" s="1"/>
      <c r="K4112" s="8" t="s">
        <v>2113</v>
      </c>
      <c r="L4112" s="8" t="s">
        <v>2225</v>
      </c>
      <c r="M4112" s="8">
        <v>1</v>
      </c>
      <c r="N4112" s="8"/>
    </row>
    <row r="4113" spans="6:14" x14ac:dyDescent="0.35">
      <c r="F4113" s="1"/>
      <c r="K4113" s="8" t="s">
        <v>2113</v>
      </c>
      <c r="L4113" s="8" t="s">
        <v>2226</v>
      </c>
      <c r="M4113" s="8">
        <v>1</v>
      </c>
      <c r="N4113" s="8"/>
    </row>
    <row r="4114" spans="6:14" x14ac:dyDescent="0.35">
      <c r="F4114" s="1"/>
      <c r="K4114" s="8" t="s">
        <v>2113</v>
      </c>
      <c r="L4114" s="8" t="s">
        <v>2496</v>
      </c>
      <c r="M4114" s="8">
        <v>0</v>
      </c>
      <c r="N4114" s="8"/>
    </row>
    <row r="4115" spans="6:14" x14ac:dyDescent="0.35">
      <c r="F4115" s="1"/>
      <c r="K4115" s="8" t="s">
        <v>2113</v>
      </c>
      <c r="L4115" s="8" t="s">
        <v>377</v>
      </c>
      <c r="M4115" s="8">
        <v>1</v>
      </c>
      <c r="N4115" s="8"/>
    </row>
    <row r="4116" spans="6:14" x14ac:dyDescent="0.35">
      <c r="F4116" s="1"/>
      <c r="K4116" s="8" t="s">
        <v>2113</v>
      </c>
      <c r="L4116" s="8" t="s">
        <v>395</v>
      </c>
      <c r="M4116" s="8">
        <v>1</v>
      </c>
      <c r="N4116" s="8"/>
    </row>
    <row r="4117" spans="6:14" x14ac:dyDescent="0.35">
      <c r="F4117" s="1"/>
      <c r="K4117" s="8" t="s">
        <v>2113</v>
      </c>
      <c r="L4117" s="8" t="s">
        <v>2120</v>
      </c>
      <c r="M4117" s="8">
        <v>1</v>
      </c>
      <c r="N4117" s="8"/>
    </row>
    <row r="4118" spans="6:14" x14ac:dyDescent="0.35">
      <c r="F4118" s="1"/>
      <c r="K4118" s="8" t="s">
        <v>2114</v>
      </c>
      <c r="L4118" s="8" t="s">
        <v>397</v>
      </c>
      <c r="M4118" s="8">
        <v>1</v>
      </c>
      <c r="N4118" s="8"/>
    </row>
    <row r="4119" spans="6:14" x14ac:dyDescent="0.35">
      <c r="F4119" s="1"/>
      <c r="K4119" s="8" t="s">
        <v>2114</v>
      </c>
      <c r="L4119" s="8" t="s">
        <v>2227</v>
      </c>
      <c r="M4119" s="8">
        <v>1</v>
      </c>
      <c r="N4119" s="8"/>
    </row>
    <row r="4120" spans="6:14" x14ac:dyDescent="0.35">
      <c r="F4120" s="1"/>
      <c r="K4120" s="8" t="s">
        <v>2114</v>
      </c>
      <c r="L4120" s="8" t="s">
        <v>2502</v>
      </c>
      <c r="M4120" s="8">
        <v>0</v>
      </c>
      <c r="N4120" s="8"/>
    </row>
    <row r="4121" spans="6:14" x14ac:dyDescent="0.35">
      <c r="F4121" s="1"/>
      <c r="K4121" s="8" t="s">
        <v>2114</v>
      </c>
      <c r="L4121" s="8" t="s">
        <v>2228</v>
      </c>
      <c r="M4121" s="8">
        <v>1</v>
      </c>
      <c r="N4121" s="8"/>
    </row>
    <row r="4122" spans="6:14" x14ac:dyDescent="0.35">
      <c r="F4122" s="1"/>
      <c r="K4122" s="8" t="s">
        <v>2114</v>
      </c>
      <c r="L4122" s="8" t="s">
        <v>375</v>
      </c>
      <c r="M4122" s="8">
        <v>1</v>
      </c>
      <c r="N4122" s="8"/>
    </row>
    <row r="4123" spans="6:14" x14ac:dyDescent="0.35">
      <c r="F4123" s="1"/>
      <c r="K4123" s="8" t="s">
        <v>2114</v>
      </c>
      <c r="L4123" s="8" t="s">
        <v>376</v>
      </c>
      <c r="M4123" s="8">
        <v>1</v>
      </c>
      <c r="N4123" s="8"/>
    </row>
    <row r="4124" spans="6:14" x14ac:dyDescent="0.35">
      <c r="F4124" s="1"/>
      <c r="K4124" s="8" t="s">
        <v>2114</v>
      </c>
      <c r="L4124" s="8" t="s">
        <v>2120</v>
      </c>
      <c r="M4124" s="8">
        <v>1</v>
      </c>
      <c r="N4124" s="8"/>
    </row>
    <row r="4125" spans="6:14" x14ac:dyDescent="0.35">
      <c r="F4125" s="1"/>
      <c r="K4125" s="8" t="s">
        <v>2115</v>
      </c>
      <c r="L4125" s="8" t="s">
        <v>375</v>
      </c>
      <c r="M4125" s="8">
        <v>1</v>
      </c>
      <c r="N4125" s="8"/>
    </row>
    <row r="4126" spans="6:14" x14ac:dyDescent="0.35">
      <c r="F4126" s="1"/>
      <c r="K4126" s="8" t="s">
        <v>2115</v>
      </c>
      <c r="L4126" s="8" t="s">
        <v>2503</v>
      </c>
      <c r="M4126" s="8">
        <v>0</v>
      </c>
      <c r="N4126" s="8" t="s">
        <v>476</v>
      </c>
    </row>
    <row r="4127" spans="6:14" x14ac:dyDescent="0.35">
      <c r="F4127" s="1"/>
      <c r="K4127" s="8" t="s">
        <v>2115</v>
      </c>
      <c r="L4127" s="8" t="s">
        <v>2504</v>
      </c>
      <c r="M4127" s="8">
        <v>0</v>
      </c>
      <c r="N4127" s="8"/>
    </row>
    <row r="4128" spans="6:14" x14ac:dyDescent="0.35">
      <c r="F4128" s="1"/>
      <c r="K4128" s="8" t="s">
        <v>2115</v>
      </c>
      <c r="L4128" s="8" t="s">
        <v>2229</v>
      </c>
      <c r="M4128" s="8">
        <v>1</v>
      </c>
      <c r="N4128" s="8"/>
    </row>
    <row r="4129" spans="6:14" x14ac:dyDescent="0.35">
      <c r="F4129" s="1"/>
      <c r="K4129" s="8" t="s">
        <v>2115</v>
      </c>
      <c r="L4129" s="8" t="s">
        <v>2505</v>
      </c>
      <c r="M4129" s="8">
        <v>0</v>
      </c>
      <c r="N4129" s="8"/>
    </row>
    <row r="4130" spans="6:14" x14ac:dyDescent="0.35">
      <c r="F4130" s="1"/>
      <c r="K4130" s="8" t="s">
        <v>2115</v>
      </c>
      <c r="L4130" s="8" t="s">
        <v>2230</v>
      </c>
      <c r="M4130" s="8">
        <v>1</v>
      </c>
      <c r="N4130" s="8"/>
    </row>
    <row r="4131" spans="6:14" x14ac:dyDescent="0.35">
      <c r="F4131" s="1"/>
      <c r="K4131" s="8" t="s">
        <v>2115</v>
      </c>
      <c r="L4131" s="8" t="s">
        <v>2506</v>
      </c>
      <c r="M4131" s="8">
        <v>0</v>
      </c>
      <c r="N4131" s="8" t="s">
        <v>517</v>
      </c>
    </row>
    <row r="4132" spans="6:14" x14ac:dyDescent="0.35">
      <c r="F4132" s="1"/>
      <c r="K4132" s="8" t="s">
        <v>2115</v>
      </c>
      <c r="L4132" s="8" t="s">
        <v>2507</v>
      </c>
      <c r="M4132" s="8">
        <v>0</v>
      </c>
      <c r="N4132" s="8"/>
    </row>
    <row r="4133" spans="6:14" x14ac:dyDescent="0.35">
      <c r="F4133" s="1"/>
      <c r="K4133" s="8" t="s">
        <v>2115</v>
      </c>
      <c r="L4133" s="8" t="s">
        <v>2508</v>
      </c>
      <c r="M4133" s="8">
        <v>0</v>
      </c>
      <c r="N4133" s="8"/>
    </row>
    <row r="4134" spans="6:14" x14ac:dyDescent="0.35">
      <c r="F4134" s="1"/>
      <c r="K4134" s="8" t="s">
        <v>2115</v>
      </c>
      <c r="L4134" s="8" t="s">
        <v>2509</v>
      </c>
      <c r="M4134" s="8">
        <v>0</v>
      </c>
      <c r="N4134" s="8" t="s">
        <v>612</v>
      </c>
    </row>
    <row r="4135" spans="6:14" x14ac:dyDescent="0.35">
      <c r="F4135" s="1"/>
      <c r="K4135" s="8" t="s">
        <v>2115</v>
      </c>
      <c r="L4135" s="8" t="s">
        <v>376</v>
      </c>
      <c r="M4135" s="8">
        <v>1</v>
      </c>
      <c r="N4135" s="8"/>
    </row>
    <row r="4136" spans="6:14" x14ac:dyDescent="0.35">
      <c r="F4136" s="1"/>
      <c r="K4136" s="8" t="s">
        <v>2115</v>
      </c>
      <c r="L4136" s="8" t="s">
        <v>2120</v>
      </c>
      <c r="M4136" s="8">
        <v>1</v>
      </c>
      <c r="N4136" s="8"/>
    </row>
    <row r="4137" spans="6:14" x14ac:dyDescent="0.35">
      <c r="F4137" s="1"/>
      <c r="K4137" s="8" t="s">
        <v>2116</v>
      </c>
      <c r="L4137" s="8" t="s">
        <v>2117</v>
      </c>
      <c r="M4137" s="8">
        <v>0</v>
      </c>
      <c r="N4137" s="8"/>
    </row>
    <row r="4138" spans="6:14" x14ac:dyDescent="0.35">
      <c r="F4138" s="1"/>
      <c r="K4138" s="8" t="s">
        <v>2116</v>
      </c>
      <c r="L4138" s="8" t="s">
        <v>2497</v>
      </c>
      <c r="M4138" s="8">
        <v>1</v>
      </c>
      <c r="N4138" s="8" t="s">
        <v>612</v>
      </c>
    </row>
    <row r="4139" spans="6:14" x14ac:dyDescent="0.35">
      <c r="F4139" s="1"/>
      <c r="K4139" s="8" t="s">
        <v>2116</v>
      </c>
      <c r="L4139" s="8" t="s">
        <v>2231</v>
      </c>
      <c r="M4139" s="8">
        <v>1</v>
      </c>
      <c r="N4139" s="8"/>
    </row>
    <row r="4140" spans="6:14" x14ac:dyDescent="0.35">
      <c r="F4140" s="1"/>
      <c r="K4140" s="8" t="s">
        <v>2116</v>
      </c>
      <c r="L4140" s="8" t="s">
        <v>2232</v>
      </c>
      <c r="M4140" s="8">
        <v>1</v>
      </c>
      <c r="N4140" s="8"/>
    </row>
    <row r="4141" spans="6:14" x14ac:dyDescent="0.35">
      <c r="F4141" s="1"/>
      <c r="K4141" s="8" t="s">
        <v>2116</v>
      </c>
      <c r="L4141" s="8" t="s">
        <v>2498</v>
      </c>
      <c r="M4141" s="8">
        <v>0</v>
      </c>
      <c r="N4141" s="8"/>
    </row>
    <row r="4142" spans="6:14" x14ac:dyDescent="0.35">
      <c r="F4142" s="1"/>
      <c r="K4142" s="8" t="s">
        <v>2116</v>
      </c>
      <c r="L4142" s="8" t="s">
        <v>2499</v>
      </c>
      <c r="M4142" s="8">
        <v>0</v>
      </c>
      <c r="N4142" s="8"/>
    </row>
    <row r="4143" spans="6:14" x14ac:dyDescent="0.35">
      <c r="F4143" s="1"/>
      <c r="K4143" s="8" t="s">
        <v>2116</v>
      </c>
      <c r="L4143" s="8" t="s">
        <v>2120</v>
      </c>
      <c r="M4143" s="8">
        <v>1</v>
      </c>
      <c r="N4143" s="8"/>
    </row>
    <row r="4144" spans="6:14" x14ac:dyDescent="0.35">
      <c r="F4144" s="1"/>
      <c r="K4144" s="8" t="s">
        <v>2116</v>
      </c>
      <c r="L4144" s="8" t="s">
        <v>372</v>
      </c>
      <c r="M4144" s="8">
        <v>1</v>
      </c>
      <c r="N4144" s="8"/>
    </row>
    <row r="4145" spans="6:14" x14ac:dyDescent="0.35">
      <c r="F4145" s="1"/>
      <c r="K4145" s="8" t="s">
        <v>2117</v>
      </c>
      <c r="L4145" s="8" t="s">
        <v>397</v>
      </c>
      <c r="M4145" s="8">
        <v>1</v>
      </c>
      <c r="N4145" s="8"/>
    </row>
    <row r="4146" spans="6:14" x14ac:dyDescent="0.35">
      <c r="F4146" s="1"/>
      <c r="K4146" s="8" t="s">
        <v>2117</v>
      </c>
      <c r="L4146" s="8" t="s">
        <v>2233</v>
      </c>
      <c r="M4146" s="8">
        <v>1</v>
      </c>
      <c r="N4146" s="8"/>
    </row>
    <row r="4147" spans="6:14" x14ac:dyDescent="0.35">
      <c r="F4147" s="1"/>
      <c r="K4147" s="8" t="s">
        <v>2117</v>
      </c>
      <c r="L4147" s="8" t="s">
        <v>2502</v>
      </c>
      <c r="M4147" s="8">
        <v>0</v>
      </c>
      <c r="N4147" s="8"/>
    </row>
    <row r="4148" spans="6:14" x14ac:dyDescent="0.35">
      <c r="F4148" s="1"/>
      <c r="K4148" s="8" t="s">
        <v>2117</v>
      </c>
      <c r="L4148" s="8" t="s">
        <v>2234</v>
      </c>
      <c r="M4148" s="8">
        <v>1</v>
      </c>
      <c r="N4148" s="8"/>
    </row>
    <row r="4149" spans="6:14" x14ac:dyDescent="0.35">
      <c r="F4149" s="1"/>
      <c r="K4149" s="8" t="s">
        <v>2117</v>
      </c>
      <c r="L4149" s="8" t="s">
        <v>2120</v>
      </c>
      <c r="M4149" s="8">
        <v>1</v>
      </c>
      <c r="N4149" s="8"/>
    </row>
    <row r="4150" spans="6:14" x14ac:dyDescent="0.35">
      <c r="F4150" s="1"/>
      <c r="K4150" s="8" t="s">
        <v>2117</v>
      </c>
      <c r="L4150" s="8" t="s">
        <v>372</v>
      </c>
      <c r="M4150" s="8">
        <v>1</v>
      </c>
      <c r="N4150" s="8"/>
    </row>
    <row r="4151" spans="6:14" x14ac:dyDescent="0.35">
      <c r="F4151" s="1"/>
      <c r="K4151" s="8" t="s">
        <v>2118</v>
      </c>
      <c r="L4151" s="8" t="s">
        <v>2120</v>
      </c>
      <c r="M4151" s="8">
        <v>1</v>
      </c>
      <c r="N4151" s="8"/>
    </row>
    <row r="4152" spans="6:14" x14ac:dyDescent="0.35">
      <c r="F4152" s="1"/>
      <c r="K4152" s="8" t="s">
        <v>2118</v>
      </c>
      <c r="L4152" s="8" t="s">
        <v>2510</v>
      </c>
      <c r="M4152" s="8">
        <v>0</v>
      </c>
      <c r="N4152" s="8" t="s">
        <v>476</v>
      </c>
    </row>
    <row r="4153" spans="6:14" x14ac:dyDescent="0.35">
      <c r="F4153" s="1"/>
      <c r="K4153" s="8" t="s">
        <v>2118</v>
      </c>
      <c r="L4153" s="8" t="s">
        <v>2511</v>
      </c>
      <c r="M4153" s="8">
        <v>0</v>
      </c>
      <c r="N4153" s="8"/>
    </row>
    <row r="4154" spans="6:14" x14ac:dyDescent="0.35">
      <c r="F4154" s="1"/>
      <c r="K4154" s="8" t="s">
        <v>2118</v>
      </c>
      <c r="L4154" s="8" t="s">
        <v>2235</v>
      </c>
      <c r="M4154" s="8">
        <v>1</v>
      </c>
      <c r="N4154" s="8"/>
    </row>
    <row r="4155" spans="6:14" x14ac:dyDescent="0.35">
      <c r="F4155" s="1"/>
      <c r="K4155" s="8" t="s">
        <v>2118</v>
      </c>
      <c r="L4155" s="8" t="s">
        <v>2512</v>
      </c>
      <c r="M4155" s="8">
        <v>0</v>
      </c>
      <c r="N4155" s="8"/>
    </row>
    <row r="4156" spans="6:14" x14ac:dyDescent="0.35">
      <c r="F4156" s="1"/>
      <c r="K4156" s="8" t="s">
        <v>2118</v>
      </c>
      <c r="L4156" s="8" t="s">
        <v>2236</v>
      </c>
      <c r="M4156" s="8">
        <v>1</v>
      </c>
      <c r="N4156" s="8"/>
    </row>
    <row r="4157" spans="6:14" x14ac:dyDescent="0.35">
      <c r="F4157" s="1"/>
      <c r="K4157" s="8" t="s">
        <v>2118</v>
      </c>
      <c r="L4157" s="8" t="s">
        <v>2513</v>
      </c>
      <c r="M4157" s="8">
        <v>0</v>
      </c>
      <c r="N4157" s="8" t="s">
        <v>517</v>
      </c>
    </row>
    <row r="4158" spans="6:14" x14ac:dyDescent="0.35">
      <c r="F4158" s="1"/>
      <c r="K4158" s="8" t="s">
        <v>2118</v>
      </c>
      <c r="L4158" s="8" t="s">
        <v>2514</v>
      </c>
      <c r="M4158" s="8">
        <v>0</v>
      </c>
      <c r="N4158" s="8" t="s">
        <v>619</v>
      </c>
    </row>
    <row r="4159" spans="6:14" x14ac:dyDescent="0.35">
      <c r="F4159" s="1"/>
      <c r="K4159" s="8" t="s">
        <v>2118</v>
      </c>
      <c r="L4159" s="8" t="s">
        <v>2515</v>
      </c>
      <c r="M4159" s="8">
        <v>0</v>
      </c>
      <c r="N4159" s="8"/>
    </row>
    <row r="4160" spans="6:14" x14ac:dyDescent="0.35">
      <c r="F4160" s="1"/>
      <c r="K4160" s="8" t="s">
        <v>2118</v>
      </c>
      <c r="L4160" s="8" t="s">
        <v>2516</v>
      </c>
      <c r="M4160" s="8">
        <v>0</v>
      </c>
      <c r="N4160" s="8" t="s">
        <v>612</v>
      </c>
    </row>
    <row r="4161" spans="6:14" x14ac:dyDescent="0.35">
      <c r="F4161" s="1"/>
      <c r="K4161" s="8" t="s">
        <v>2118</v>
      </c>
      <c r="L4161" s="8" t="s">
        <v>372</v>
      </c>
      <c r="M4161" s="8">
        <v>1</v>
      </c>
      <c r="N4161" s="8"/>
    </row>
    <row r="4162" spans="6:14" x14ac:dyDescent="0.35">
      <c r="F4162" s="1"/>
      <c r="K4162" s="8" t="s">
        <v>2119</v>
      </c>
      <c r="L4162" s="8" t="s">
        <v>480</v>
      </c>
      <c r="M4162" s="8">
        <v>0</v>
      </c>
      <c r="N4162" s="8"/>
    </row>
    <row r="4163" spans="6:14" x14ac:dyDescent="0.35">
      <c r="F4163" s="1"/>
      <c r="K4163" s="8" t="s">
        <v>2119</v>
      </c>
      <c r="L4163" s="8" t="s">
        <v>481</v>
      </c>
      <c r="M4163" s="8">
        <v>0</v>
      </c>
      <c r="N4163" s="8"/>
    </row>
    <row r="4164" spans="6:14" x14ac:dyDescent="0.35">
      <c r="F4164" s="1"/>
      <c r="K4164" s="8" t="s">
        <v>2119</v>
      </c>
      <c r="L4164" s="8" t="s">
        <v>482</v>
      </c>
      <c r="M4164" s="8">
        <v>0</v>
      </c>
      <c r="N4164" s="8"/>
    </row>
    <row r="4165" spans="6:14" x14ac:dyDescent="0.35">
      <c r="F4165" s="1"/>
      <c r="K4165" s="8" t="s">
        <v>2119</v>
      </c>
      <c r="L4165" s="8" t="s">
        <v>483</v>
      </c>
      <c r="M4165" s="8">
        <v>0</v>
      </c>
      <c r="N4165" s="8"/>
    </row>
    <row r="4166" spans="6:14" x14ac:dyDescent="0.35">
      <c r="F4166" s="1"/>
      <c r="K4166" s="8" t="s">
        <v>2119</v>
      </c>
      <c r="L4166" s="8" t="s">
        <v>484</v>
      </c>
      <c r="M4166" s="8">
        <v>0</v>
      </c>
      <c r="N4166" s="8"/>
    </row>
    <row r="4167" spans="6:14" x14ac:dyDescent="0.35">
      <c r="F4167" s="1"/>
      <c r="K4167" s="8" t="s">
        <v>2119</v>
      </c>
      <c r="L4167" s="8" t="s">
        <v>375</v>
      </c>
      <c r="M4167" s="8">
        <v>1</v>
      </c>
      <c r="N4167" s="8"/>
    </row>
    <row r="4168" spans="6:14" x14ac:dyDescent="0.35">
      <c r="F4168" s="1"/>
      <c r="K4168" s="8" t="s">
        <v>2119</v>
      </c>
      <c r="L4168" s="8" t="s">
        <v>376</v>
      </c>
      <c r="M4168" s="8">
        <v>1</v>
      </c>
      <c r="N4168" s="8"/>
    </row>
    <row r="4169" spans="6:14" x14ac:dyDescent="0.35">
      <c r="F4169" s="1"/>
      <c r="K4169" s="8" t="s">
        <v>2119</v>
      </c>
      <c r="L4169" s="8" t="s">
        <v>371</v>
      </c>
      <c r="M4169" s="8">
        <v>1</v>
      </c>
      <c r="N4169" s="8"/>
    </row>
    <row r="4170" spans="6:14" x14ac:dyDescent="0.35">
      <c r="F4170" s="1"/>
      <c r="K4170" s="8" t="s">
        <v>2119</v>
      </c>
      <c r="L4170" s="8" t="s">
        <v>2296</v>
      </c>
      <c r="M4170" s="8">
        <v>0</v>
      </c>
      <c r="N4170" s="8"/>
    </row>
    <row r="4171" spans="6:14" x14ac:dyDescent="0.35">
      <c r="F4171" s="1"/>
      <c r="K4171" s="8" t="s">
        <v>2119</v>
      </c>
      <c r="L4171" s="8" t="s">
        <v>2297</v>
      </c>
      <c r="M4171" s="8">
        <v>0</v>
      </c>
      <c r="N4171" s="8"/>
    </row>
    <row r="4172" spans="6:14" x14ac:dyDescent="0.35">
      <c r="F4172" s="1"/>
      <c r="K4172" s="8" t="s">
        <v>2119</v>
      </c>
      <c r="L4172" s="8" t="s">
        <v>2298</v>
      </c>
      <c r="M4172" s="8">
        <v>1</v>
      </c>
      <c r="N4172" s="8" t="s">
        <v>476</v>
      </c>
    </row>
    <row r="4173" spans="6:14" x14ac:dyDescent="0.35">
      <c r="F4173" s="1"/>
      <c r="K4173" s="8" t="s">
        <v>2119</v>
      </c>
      <c r="L4173" s="8" t="s">
        <v>2299</v>
      </c>
      <c r="M4173" s="8">
        <v>1</v>
      </c>
      <c r="N4173" s="8" t="s">
        <v>476</v>
      </c>
    </row>
    <row r="4174" spans="6:14" x14ac:dyDescent="0.35">
      <c r="F4174" s="1"/>
      <c r="K4174" s="8" t="s">
        <v>2119</v>
      </c>
      <c r="L4174" s="8" t="s">
        <v>2300</v>
      </c>
      <c r="M4174" s="8">
        <v>1</v>
      </c>
      <c r="N4174" s="8" t="s">
        <v>476</v>
      </c>
    </row>
    <row r="4175" spans="6:14" x14ac:dyDescent="0.35">
      <c r="F4175" s="1"/>
      <c r="K4175" s="8" t="s">
        <v>2119</v>
      </c>
      <c r="L4175" s="8" t="s">
        <v>2301</v>
      </c>
      <c r="M4175" s="8">
        <v>1</v>
      </c>
      <c r="N4175" s="8" t="s">
        <v>539</v>
      </c>
    </row>
    <row r="4176" spans="6:14" x14ac:dyDescent="0.35">
      <c r="F4176" s="1"/>
      <c r="K4176" s="8" t="s">
        <v>2119</v>
      </c>
      <c r="L4176" s="8" t="s">
        <v>2302</v>
      </c>
      <c r="M4176" s="8">
        <v>1</v>
      </c>
      <c r="N4176" s="8" t="s">
        <v>539</v>
      </c>
    </row>
    <row r="4177" spans="6:14" x14ac:dyDescent="0.35">
      <c r="F4177" s="1"/>
      <c r="K4177" s="8" t="s">
        <v>2119</v>
      </c>
      <c r="L4177" s="8" t="s">
        <v>2303</v>
      </c>
      <c r="M4177" s="8">
        <v>0</v>
      </c>
      <c r="N4177" s="8"/>
    </row>
    <row r="4178" spans="6:14" x14ac:dyDescent="0.35">
      <c r="F4178" s="1"/>
      <c r="K4178" s="8" t="s">
        <v>2119</v>
      </c>
      <c r="L4178" s="8" t="s">
        <v>2304</v>
      </c>
      <c r="M4178" s="8">
        <v>0</v>
      </c>
      <c r="N4178" s="8"/>
    </row>
    <row r="4179" spans="6:14" x14ac:dyDescent="0.35">
      <c r="F4179" s="1"/>
      <c r="K4179" s="8" t="s">
        <v>2119</v>
      </c>
      <c r="L4179" s="8" t="s">
        <v>486</v>
      </c>
      <c r="M4179" s="8">
        <v>0</v>
      </c>
      <c r="N4179" s="8"/>
    </row>
    <row r="4180" spans="6:14" x14ac:dyDescent="0.35">
      <c r="F4180" s="1"/>
      <c r="K4180" s="8" t="s">
        <v>2119</v>
      </c>
      <c r="L4180" s="8" t="s">
        <v>487</v>
      </c>
      <c r="M4180" s="8">
        <v>0</v>
      </c>
      <c r="N4180" s="8"/>
    </row>
    <row r="4181" spans="6:14" x14ac:dyDescent="0.35">
      <c r="F4181" s="1"/>
      <c r="K4181" s="8" t="s">
        <v>2119</v>
      </c>
      <c r="L4181" s="8" t="s">
        <v>488</v>
      </c>
      <c r="M4181" s="8">
        <v>0</v>
      </c>
      <c r="N4181" s="8"/>
    </row>
    <row r="4182" spans="6:14" x14ac:dyDescent="0.35">
      <c r="F4182" s="1"/>
      <c r="K4182" s="8" t="s">
        <v>2119</v>
      </c>
      <c r="L4182" s="8" t="s">
        <v>489</v>
      </c>
      <c r="M4182" s="8">
        <v>0</v>
      </c>
      <c r="N4182" s="8"/>
    </row>
    <row r="4183" spans="6:14" x14ac:dyDescent="0.35">
      <c r="F4183" s="1"/>
      <c r="K4183" s="8" t="s">
        <v>2119</v>
      </c>
      <c r="L4183" s="8" t="s">
        <v>490</v>
      </c>
      <c r="M4183" s="8">
        <v>0</v>
      </c>
      <c r="N4183" s="8"/>
    </row>
    <row r="4184" spans="6:14" x14ac:dyDescent="0.35">
      <c r="F4184" s="1"/>
      <c r="K4184" s="8" t="s">
        <v>2119</v>
      </c>
      <c r="L4184" s="8" t="s">
        <v>370</v>
      </c>
      <c r="M4184" s="8">
        <v>1</v>
      </c>
      <c r="N4184" s="8"/>
    </row>
    <row r="4185" spans="6:14" x14ac:dyDescent="0.35">
      <c r="F4185" s="1"/>
      <c r="K4185" s="8" t="s">
        <v>2119</v>
      </c>
      <c r="L4185" s="8" t="s">
        <v>491</v>
      </c>
      <c r="M4185" s="8">
        <v>0</v>
      </c>
      <c r="N4185" s="8"/>
    </row>
    <row r="4186" spans="6:14" x14ac:dyDescent="0.35">
      <c r="F4186" s="1"/>
      <c r="K4186" s="8" t="s">
        <v>2119</v>
      </c>
      <c r="L4186" s="8" t="s">
        <v>492</v>
      </c>
      <c r="M4186" s="8">
        <v>0</v>
      </c>
      <c r="N4186" s="8"/>
    </row>
    <row r="4187" spans="6:14" x14ac:dyDescent="0.35">
      <c r="F4187" s="1"/>
      <c r="K4187" s="8" t="s">
        <v>2119</v>
      </c>
      <c r="L4187" s="8" t="s">
        <v>493</v>
      </c>
      <c r="M4187" s="8">
        <v>0</v>
      </c>
      <c r="N4187" s="8"/>
    </row>
    <row r="4188" spans="6:14" x14ac:dyDescent="0.35">
      <c r="F4188" s="1"/>
      <c r="K4188" s="8" t="s">
        <v>2119</v>
      </c>
      <c r="L4188" s="8" t="s">
        <v>494</v>
      </c>
      <c r="M4188" s="8">
        <v>0</v>
      </c>
      <c r="N4188" s="8"/>
    </row>
    <row r="4189" spans="6:14" x14ac:dyDescent="0.35">
      <c r="F4189" s="1"/>
      <c r="K4189" s="8" t="s">
        <v>2119</v>
      </c>
      <c r="L4189" s="8" t="s">
        <v>495</v>
      </c>
      <c r="M4189" s="8">
        <v>0</v>
      </c>
      <c r="N4189" s="8"/>
    </row>
    <row r="4190" spans="6:14" x14ac:dyDescent="0.35">
      <c r="F4190" s="1"/>
      <c r="K4190" s="8" t="s">
        <v>2120</v>
      </c>
      <c r="L4190" s="8" t="s">
        <v>2487</v>
      </c>
      <c r="M4190" s="8">
        <v>0</v>
      </c>
      <c r="N4190" s="8"/>
    </row>
    <row r="4191" spans="6:14" x14ac:dyDescent="0.35">
      <c r="F4191" s="1"/>
      <c r="K4191" s="8" t="s">
        <v>2120</v>
      </c>
      <c r="L4191" s="8" t="s">
        <v>2120</v>
      </c>
      <c r="M4191" s="8">
        <v>1</v>
      </c>
      <c r="N4191" s="8"/>
    </row>
    <row r="4192" spans="6:14" x14ac:dyDescent="0.35">
      <c r="F4192" s="1"/>
      <c r="K4192" s="8" t="s">
        <v>2121</v>
      </c>
      <c r="L4192" s="8" t="s">
        <v>2812</v>
      </c>
      <c r="M4192" s="8">
        <v>0</v>
      </c>
      <c r="N4192" s="8"/>
    </row>
    <row r="4193" spans="6:14" x14ac:dyDescent="0.35">
      <c r="F4193" s="1"/>
      <c r="K4193" s="8" t="s">
        <v>2121</v>
      </c>
      <c r="L4193" s="8" t="s">
        <v>2813</v>
      </c>
      <c r="M4193" s="8">
        <v>0</v>
      </c>
      <c r="N4193" s="8"/>
    </row>
    <row r="4194" spans="6:14" x14ac:dyDescent="0.35">
      <c r="F4194" s="1"/>
      <c r="K4194" s="8" t="s">
        <v>2121</v>
      </c>
      <c r="L4194" s="8" t="s">
        <v>2814</v>
      </c>
      <c r="M4194" s="8">
        <v>0</v>
      </c>
      <c r="N4194" s="8"/>
    </row>
    <row r="4195" spans="6:14" x14ac:dyDescent="0.35">
      <c r="F4195" s="1"/>
      <c r="K4195" s="8" t="s">
        <v>2121</v>
      </c>
      <c r="L4195" s="8" t="s">
        <v>2815</v>
      </c>
      <c r="M4195" s="8">
        <v>0</v>
      </c>
      <c r="N4195" s="8"/>
    </row>
    <row r="4196" spans="6:14" x14ac:dyDescent="0.35">
      <c r="F4196" s="1"/>
      <c r="K4196" s="8" t="s">
        <v>2121</v>
      </c>
      <c r="L4196" s="8" t="s">
        <v>2816</v>
      </c>
      <c r="M4196" s="8">
        <v>0</v>
      </c>
      <c r="N4196" s="8"/>
    </row>
    <row r="4197" spans="6:14" x14ac:dyDescent="0.35">
      <c r="F4197" s="1"/>
      <c r="K4197" s="8" t="s">
        <v>2121</v>
      </c>
      <c r="L4197" s="8" t="s">
        <v>2817</v>
      </c>
      <c r="M4197" s="8">
        <v>0</v>
      </c>
      <c r="N4197" s="8"/>
    </row>
    <row r="4198" spans="6:14" x14ac:dyDescent="0.35">
      <c r="F4198" s="1"/>
      <c r="K4198" s="8" t="s">
        <v>2121</v>
      </c>
      <c r="L4198" s="8" t="s">
        <v>2239</v>
      </c>
      <c r="M4198" s="8">
        <v>1</v>
      </c>
      <c r="N4198" s="8"/>
    </row>
    <row r="4199" spans="6:14" x14ac:dyDescent="0.35">
      <c r="F4199" s="1"/>
      <c r="K4199" s="8" t="s">
        <v>2122</v>
      </c>
      <c r="L4199" s="8" t="s">
        <v>2818</v>
      </c>
      <c r="M4199" s="8">
        <v>0</v>
      </c>
      <c r="N4199" s="8"/>
    </row>
    <row r="4200" spans="6:14" x14ac:dyDescent="0.35">
      <c r="F4200" s="1"/>
      <c r="K4200" s="8" t="s">
        <v>2122</v>
      </c>
      <c r="L4200" s="8" t="s">
        <v>2819</v>
      </c>
      <c r="M4200" s="8">
        <v>1</v>
      </c>
      <c r="N4200" s="8"/>
    </row>
    <row r="4201" spans="6:14" x14ac:dyDescent="0.35">
      <c r="F4201" s="1"/>
      <c r="K4201" s="8" t="s">
        <v>2122</v>
      </c>
      <c r="L4201" s="8" t="s">
        <v>2240</v>
      </c>
      <c r="M4201" s="8">
        <v>1</v>
      </c>
      <c r="N4201" s="8"/>
    </row>
    <row r="4202" spans="6:14" x14ac:dyDescent="0.35">
      <c r="F4202" s="1"/>
      <c r="K4202" s="8" t="s">
        <v>2122</v>
      </c>
      <c r="L4202" s="8" t="s">
        <v>2820</v>
      </c>
      <c r="M4202" s="8">
        <v>1</v>
      </c>
      <c r="N4202" s="8"/>
    </row>
    <row r="4203" spans="6:14" x14ac:dyDescent="0.35">
      <c r="F4203" s="1"/>
      <c r="K4203" s="8" t="s">
        <v>2122</v>
      </c>
      <c r="L4203" s="8" t="s">
        <v>2242</v>
      </c>
      <c r="M4203" s="8">
        <v>0</v>
      </c>
      <c r="N4203" s="8"/>
    </row>
    <row r="4204" spans="6:14" x14ac:dyDescent="0.35">
      <c r="F4204" s="1"/>
      <c r="K4204" s="8" t="s">
        <v>2122</v>
      </c>
      <c r="L4204" s="8" t="s">
        <v>2241</v>
      </c>
      <c r="M4204" s="8">
        <v>0</v>
      </c>
      <c r="N4204" s="8"/>
    </row>
    <row r="4205" spans="6:14" x14ac:dyDescent="0.35">
      <c r="F4205" s="1"/>
      <c r="K4205" s="8" t="s">
        <v>2122</v>
      </c>
      <c r="L4205" s="8" t="s">
        <v>2237</v>
      </c>
      <c r="M4205" s="8">
        <v>1</v>
      </c>
      <c r="N4205" s="8"/>
    </row>
    <row r="4206" spans="6:14" x14ac:dyDescent="0.35">
      <c r="F4206" s="1"/>
      <c r="K4206" s="8" t="s">
        <v>2123</v>
      </c>
      <c r="L4206" s="8" t="s">
        <v>2806</v>
      </c>
      <c r="M4206" s="8">
        <v>0</v>
      </c>
      <c r="N4206" s="8"/>
    </row>
    <row r="4207" spans="6:14" x14ac:dyDescent="0.35">
      <c r="F4207" s="1"/>
      <c r="K4207" s="8" t="s">
        <v>2123</v>
      </c>
      <c r="L4207" s="8" t="s">
        <v>2238</v>
      </c>
      <c r="M4207" s="8">
        <v>1</v>
      </c>
      <c r="N4207" s="8"/>
    </row>
    <row r="4208" spans="6:14" x14ac:dyDescent="0.35">
      <c r="F4208" s="1"/>
      <c r="K4208" s="8" t="s">
        <v>2124</v>
      </c>
      <c r="L4208" s="8" t="s">
        <v>2807</v>
      </c>
      <c r="M4208" s="8">
        <v>0</v>
      </c>
      <c r="N4208" s="8"/>
    </row>
    <row r="4209" spans="6:14" x14ac:dyDescent="0.35">
      <c r="F4209" s="1"/>
      <c r="K4209" s="8" t="s">
        <v>2124</v>
      </c>
      <c r="L4209" s="8" t="s">
        <v>2808</v>
      </c>
      <c r="M4209" s="8">
        <v>0</v>
      </c>
      <c r="N4209" s="8"/>
    </row>
    <row r="4210" spans="6:14" x14ac:dyDescent="0.35">
      <c r="F4210" s="1"/>
      <c r="K4210" s="8" t="s">
        <v>2124</v>
      </c>
      <c r="L4210" s="8" t="s">
        <v>2809</v>
      </c>
      <c r="M4210" s="8">
        <v>0</v>
      </c>
      <c r="N4210" s="8"/>
    </row>
    <row r="4211" spans="6:14" x14ac:dyDescent="0.35">
      <c r="F4211" s="1"/>
      <c r="K4211" s="8" t="s">
        <v>2124</v>
      </c>
      <c r="L4211" s="8" t="s">
        <v>2237</v>
      </c>
      <c r="M4211" s="8">
        <v>1</v>
      </c>
      <c r="N4211" s="8"/>
    </row>
    <row r="4212" spans="6:14" x14ac:dyDescent="0.35">
      <c r="F4212" s="1"/>
      <c r="K4212" s="8" t="s">
        <v>2124</v>
      </c>
      <c r="L4212" s="8" t="s">
        <v>2238</v>
      </c>
      <c r="M4212" s="8">
        <v>0</v>
      </c>
      <c r="N4212" s="8"/>
    </row>
    <row r="4213" spans="6:14" x14ac:dyDescent="0.35">
      <c r="F4213" s="1"/>
      <c r="K4213" s="8" t="s">
        <v>2125</v>
      </c>
      <c r="L4213" s="8" t="s">
        <v>2810</v>
      </c>
      <c r="M4213" s="8">
        <v>0</v>
      </c>
      <c r="N4213" s="8"/>
    </row>
    <row r="4214" spans="6:14" x14ac:dyDescent="0.35">
      <c r="F4214" s="1"/>
      <c r="K4214" s="8" t="s">
        <v>2125</v>
      </c>
      <c r="L4214" s="8" t="s">
        <v>2811</v>
      </c>
      <c r="M4214" s="8">
        <v>0</v>
      </c>
      <c r="N4214" s="8"/>
    </row>
    <row r="4215" spans="6:14" x14ac:dyDescent="0.35">
      <c r="F4215" s="1"/>
      <c r="K4215" s="8" t="s">
        <v>2126</v>
      </c>
      <c r="L4215" s="8" t="s">
        <v>446</v>
      </c>
      <c r="M4215" s="8">
        <v>1</v>
      </c>
      <c r="N4215" s="8"/>
    </row>
    <row r="4216" spans="6:14" x14ac:dyDescent="0.35">
      <c r="F4216" s="1"/>
      <c r="K4216" s="8" t="s">
        <v>2126</v>
      </c>
      <c r="L4216" s="8" t="s">
        <v>447</v>
      </c>
      <c r="M4216" s="8">
        <v>1</v>
      </c>
      <c r="N4216" s="8"/>
    </row>
    <row r="4217" spans="6:14" x14ac:dyDescent="0.35">
      <c r="F4217" s="1"/>
      <c r="K4217" s="8" t="s">
        <v>2126</v>
      </c>
      <c r="L4217" s="8" t="s">
        <v>369</v>
      </c>
      <c r="M4217" s="8">
        <v>1</v>
      </c>
      <c r="N4217" s="8"/>
    </row>
    <row r="4218" spans="6:14" x14ac:dyDescent="0.35">
      <c r="F4218" s="1"/>
      <c r="K4218" s="8" t="s">
        <v>2126</v>
      </c>
      <c r="L4218" s="8" t="s">
        <v>412</v>
      </c>
      <c r="M4218" s="8">
        <v>1</v>
      </c>
      <c r="N4218" s="8"/>
    </row>
    <row r="4219" spans="6:14" x14ac:dyDescent="0.35">
      <c r="F4219" s="1"/>
      <c r="K4219" s="8" t="s">
        <v>2126</v>
      </c>
      <c r="L4219" s="8" t="s">
        <v>435</v>
      </c>
      <c r="M4219" s="8">
        <v>1</v>
      </c>
      <c r="N4219" s="8"/>
    </row>
    <row r="4220" spans="6:14" x14ac:dyDescent="0.35">
      <c r="F4220" s="1"/>
      <c r="K4220" s="8" t="s">
        <v>2126</v>
      </c>
      <c r="L4220" s="8" t="s">
        <v>2273</v>
      </c>
      <c r="M4220" s="8">
        <v>0</v>
      </c>
      <c r="N4220" s="8"/>
    </row>
    <row r="4221" spans="6:14" x14ac:dyDescent="0.35">
      <c r="F4221" s="1"/>
      <c r="K4221" s="8" t="s">
        <v>2126</v>
      </c>
      <c r="L4221" s="8" t="s">
        <v>2274</v>
      </c>
      <c r="M4221" s="8">
        <v>0</v>
      </c>
      <c r="N4221" s="8"/>
    </row>
    <row r="4222" spans="6:14" x14ac:dyDescent="0.35">
      <c r="F4222" s="1"/>
      <c r="K4222" s="8" t="s">
        <v>2126</v>
      </c>
      <c r="L4222" s="8" t="s">
        <v>2275</v>
      </c>
      <c r="M4222" s="8">
        <v>1</v>
      </c>
      <c r="N4222" s="8" t="s">
        <v>517</v>
      </c>
    </row>
    <row r="4223" spans="6:14" x14ac:dyDescent="0.35">
      <c r="F4223" s="1"/>
      <c r="K4223" s="8" t="s">
        <v>2126</v>
      </c>
      <c r="L4223" s="8" t="s">
        <v>2276</v>
      </c>
      <c r="M4223" s="8">
        <v>0</v>
      </c>
      <c r="N4223" s="8"/>
    </row>
    <row r="4224" spans="6:14" x14ac:dyDescent="0.35">
      <c r="F4224" s="1"/>
      <c r="K4224" s="8" t="s">
        <v>2126</v>
      </c>
      <c r="L4224" s="8" t="s">
        <v>2277</v>
      </c>
      <c r="M4224" s="8">
        <v>0</v>
      </c>
      <c r="N4224" s="8"/>
    </row>
    <row r="4225" spans="6:14" x14ac:dyDescent="0.35">
      <c r="F4225" s="1"/>
      <c r="K4225" s="8" t="s">
        <v>2127</v>
      </c>
      <c r="L4225" s="8" t="s">
        <v>350</v>
      </c>
      <c r="M4225" s="8">
        <v>1</v>
      </c>
      <c r="N4225" s="8"/>
    </row>
    <row r="4226" spans="6:14" x14ac:dyDescent="0.35">
      <c r="F4226" s="1"/>
      <c r="K4226" s="8" t="s">
        <v>2127</v>
      </c>
      <c r="L4226" s="8" t="s">
        <v>355</v>
      </c>
      <c r="M4226" s="8">
        <v>1</v>
      </c>
      <c r="N4226" s="8"/>
    </row>
    <row r="4227" spans="6:14" x14ac:dyDescent="0.35">
      <c r="F4227" s="1"/>
      <c r="K4227" s="8" t="s">
        <v>2127</v>
      </c>
      <c r="L4227" s="8" t="s">
        <v>2803</v>
      </c>
      <c r="M4227" s="8">
        <v>0</v>
      </c>
      <c r="N4227" s="8"/>
    </row>
    <row r="4228" spans="6:14" x14ac:dyDescent="0.35">
      <c r="F4228" s="1"/>
      <c r="K4228" s="8" t="s">
        <v>2127</v>
      </c>
      <c r="L4228" s="8" t="s">
        <v>2804</v>
      </c>
      <c r="M4228" s="8">
        <v>1</v>
      </c>
      <c r="N4228" s="8" t="s">
        <v>1007</v>
      </c>
    </row>
    <row r="4229" spans="6:14" x14ac:dyDescent="0.35">
      <c r="F4229" s="1"/>
      <c r="K4229" s="8" t="s">
        <v>2127</v>
      </c>
      <c r="L4229" s="8" t="s">
        <v>2805</v>
      </c>
      <c r="M4229" s="8">
        <v>1</v>
      </c>
      <c r="N4229" s="8" t="s">
        <v>476</v>
      </c>
    </row>
    <row r="4230" spans="6:14" x14ac:dyDescent="0.35">
      <c r="F4230" s="1"/>
      <c r="K4230" s="8" t="s">
        <v>2131</v>
      </c>
      <c r="L4230" s="8" t="s">
        <v>480</v>
      </c>
      <c r="M4230" s="8">
        <v>0</v>
      </c>
      <c r="N4230" s="8"/>
    </row>
    <row r="4231" spans="6:14" x14ac:dyDescent="0.35">
      <c r="F4231" s="1"/>
      <c r="K4231" s="8" t="s">
        <v>2131</v>
      </c>
      <c r="L4231" s="8" t="s">
        <v>481</v>
      </c>
      <c r="M4231" s="8">
        <v>0</v>
      </c>
      <c r="N4231" s="8"/>
    </row>
    <row r="4232" spans="6:14" x14ac:dyDescent="0.35">
      <c r="F4232" s="1"/>
      <c r="K4232" s="8" t="s">
        <v>2131</v>
      </c>
      <c r="L4232" s="8" t="s">
        <v>482</v>
      </c>
      <c r="M4232" s="8">
        <v>0</v>
      </c>
      <c r="N4232" s="8"/>
    </row>
    <row r="4233" spans="6:14" x14ac:dyDescent="0.35">
      <c r="F4233" s="1"/>
      <c r="K4233" s="8" t="s">
        <v>2131</v>
      </c>
      <c r="L4233" s="8" t="s">
        <v>483</v>
      </c>
      <c r="M4233" s="8">
        <v>0</v>
      </c>
      <c r="N4233" s="8"/>
    </row>
    <row r="4234" spans="6:14" x14ac:dyDescent="0.35">
      <c r="F4234" s="1"/>
      <c r="K4234" s="8" t="s">
        <v>2131</v>
      </c>
      <c r="L4234" s="8" t="s">
        <v>484</v>
      </c>
      <c r="M4234" s="8">
        <v>0</v>
      </c>
      <c r="N4234" s="8"/>
    </row>
    <row r="4235" spans="6:14" x14ac:dyDescent="0.35">
      <c r="F4235" s="1"/>
      <c r="K4235" s="8" t="s">
        <v>2131</v>
      </c>
      <c r="L4235" s="8" t="s">
        <v>375</v>
      </c>
      <c r="M4235" s="8">
        <v>1</v>
      </c>
      <c r="N4235" s="8"/>
    </row>
    <row r="4236" spans="6:14" x14ac:dyDescent="0.35">
      <c r="F4236" s="1"/>
      <c r="K4236" s="8" t="s">
        <v>2131</v>
      </c>
      <c r="L4236" s="8" t="s">
        <v>548</v>
      </c>
      <c r="M4236" s="8">
        <v>0</v>
      </c>
      <c r="N4236" s="8"/>
    </row>
    <row r="4237" spans="6:14" x14ac:dyDescent="0.35">
      <c r="F4237" s="1"/>
      <c r="K4237" s="8" t="s">
        <v>2131</v>
      </c>
      <c r="L4237" s="8" t="s">
        <v>549</v>
      </c>
      <c r="M4237" s="8">
        <v>0</v>
      </c>
      <c r="N4237" s="8"/>
    </row>
    <row r="4238" spans="6:14" x14ac:dyDescent="0.35">
      <c r="F4238" s="1"/>
      <c r="K4238" s="8" t="s">
        <v>2131</v>
      </c>
      <c r="L4238" s="8" t="s">
        <v>2278</v>
      </c>
      <c r="M4238" s="8">
        <v>1</v>
      </c>
      <c r="N4238" s="8" t="s">
        <v>476</v>
      </c>
    </row>
    <row r="4239" spans="6:14" x14ac:dyDescent="0.35">
      <c r="F4239" s="1"/>
      <c r="K4239" s="8" t="s">
        <v>2131</v>
      </c>
      <c r="L4239" s="8" t="s">
        <v>2279</v>
      </c>
      <c r="M4239" s="8">
        <v>1</v>
      </c>
      <c r="N4239" s="8" t="s">
        <v>517</v>
      </c>
    </row>
    <row r="4240" spans="6:14" x14ac:dyDescent="0.35">
      <c r="F4240" s="1"/>
      <c r="K4240" s="8" t="s">
        <v>2131</v>
      </c>
      <c r="L4240" s="8" t="s">
        <v>2280</v>
      </c>
      <c r="M4240" s="8">
        <v>1</v>
      </c>
      <c r="N4240" s="8" t="s">
        <v>476</v>
      </c>
    </row>
    <row r="4241" spans="6:14" x14ac:dyDescent="0.35">
      <c r="F4241" s="1"/>
      <c r="K4241" s="8" t="s">
        <v>2131</v>
      </c>
      <c r="L4241" s="8" t="s">
        <v>2281</v>
      </c>
      <c r="M4241" s="8">
        <v>1</v>
      </c>
      <c r="N4241" s="8" t="s">
        <v>539</v>
      </c>
    </row>
    <row r="4242" spans="6:14" x14ac:dyDescent="0.35">
      <c r="F4242" s="1"/>
      <c r="K4242" s="8" t="s">
        <v>2131</v>
      </c>
      <c r="L4242" s="8" t="s">
        <v>556</v>
      </c>
      <c r="M4242" s="8">
        <v>0</v>
      </c>
      <c r="N4242" s="8"/>
    </row>
    <row r="4243" spans="6:14" x14ac:dyDescent="0.35">
      <c r="F4243" s="1"/>
      <c r="K4243" s="8" t="s">
        <v>2131</v>
      </c>
      <c r="L4243" s="8" t="s">
        <v>557</v>
      </c>
      <c r="M4243" s="8">
        <v>0</v>
      </c>
      <c r="N4243" s="8"/>
    </row>
    <row r="4244" spans="6:14" x14ac:dyDescent="0.35">
      <c r="F4244" s="1"/>
      <c r="K4244" s="8" t="s">
        <v>2131</v>
      </c>
      <c r="L4244" s="8" t="s">
        <v>486</v>
      </c>
      <c r="M4244" s="8">
        <v>0</v>
      </c>
      <c r="N4244" s="8"/>
    </row>
    <row r="4245" spans="6:14" x14ac:dyDescent="0.35">
      <c r="F4245" s="1"/>
      <c r="K4245" s="8" t="s">
        <v>2131</v>
      </c>
      <c r="L4245" s="8" t="s">
        <v>487</v>
      </c>
      <c r="M4245" s="8">
        <v>0</v>
      </c>
      <c r="N4245" s="8"/>
    </row>
    <row r="4246" spans="6:14" x14ac:dyDescent="0.35">
      <c r="F4246" s="1"/>
      <c r="K4246" s="8" t="s">
        <v>2131</v>
      </c>
      <c r="L4246" s="8" t="s">
        <v>488</v>
      </c>
      <c r="M4246" s="8">
        <v>0</v>
      </c>
      <c r="N4246" s="8"/>
    </row>
    <row r="4247" spans="6:14" x14ac:dyDescent="0.35">
      <c r="F4247" s="1"/>
      <c r="K4247" s="8" t="s">
        <v>2131</v>
      </c>
      <c r="L4247" s="8" t="s">
        <v>489</v>
      </c>
      <c r="M4247" s="8">
        <v>0</v>
      </c>
      <c r="N4247" s="8"/>
    </row>
    <row r="4248" spans="6:14" x14ac:dyDescent="0.35">
      <c r="F4248" s="1"/>
      <c r="K4248" s="8" t="s">
        <v>2131</v>
      </c>
      <c r="L4248" s="8" t="s">
        <v>490</v>
      </c>
      <c r="M4248" s="8">
        <v>0</v>
      </c>
      <c r="N4248" s="8"/>
    </row>
    <row r="4249" spans="6:14" x14ac:dyDescent="0.35">
      <c r="F4249" s="1"/>
      <c r="K4249" s="8" t="s">
        <v>2131</v>
      </c>
      <c r="L4249" s="8" t="s">
        <v>370</v>
      </c>
      <c r="M4249" s="8">
        <v>1</v>
      </c>
      <c r="N4249" s="8"/>
    </row>
    <row r="4250" spans="6:14" x14ac:dyDescent="0.35">
      <c r="F4250" s="1"/>
      <c r="K4250" s="8" t="s">
        <v>2131</v>
      </c>
      <c r="L4250" s="8" t="s">
        <v>491</v>
      </c>
      <c r="M4250" s="8">
        <v>0</v>
      </c>
      <c r="N4250" s="8"/>
    </row>
    <row r="4251" spans="6:14" x14ac:dyDescent="0.35">
      <c r="F4251" s="1"/>
      <c r="K4251" s="8" t="s">
        <v>2131</v>
      </c>
      <c r="L4251" s="8" t="s">
        <v>492</v>
      </c>
      <c r="M4251" s="8">
        <v>0</v>
      </c>
      <c r="N4251" s="8"/>
    </row>
    <row r="4252" spans="6:14" x14ac:dyDescent="0.35">
      <c r="F4252" s="1"/>
      <c r="K4252" s="8" t="s">
        <v>2131</v>
      </c>
      <c r="L4252" s="8" t="s">
        <v>493</v>
      </c>
      <c r="M4252" s="8">
        <v>0</v>
      </c>
      <c r="N4252" s="8"/>
    </row>
    <row r="4253" spans="6:14" x14ac:dyDescent="0.35">
      <c r="F4253" s="1"/>
      <c r="K4253" s="8" t="s">
        <v>2131</v>
      </c>
      <c r="L4253" s="8" t="s">
        <v>494</v>
      </c>
      <c r="M4253" s="8">
        <v>0</v>
      </c>
      <c r="N4253" s="8"/>
    </row>
    <row r="4254" spans="6:14" x14ac:dyDescent="0.35">
      <c r="F4254" s="1"/>
      <c r="K4254" s="8" t="s">
        <v>2131</v>
      </c>
      <c r="L4254" s="8" t="s">
        <v>495</v>
      </c>
      <c r="M4254" s="8">
        <v>0</v>
      </c>
      <c r="N4254" s="8"/>
    </row>
    <row r="4255" spans="6:14" x14ac:dyDescent="0.35">
      <c r="F4255" s="1"/>
      <c r="K4255" s="8" t="s">
        <v>2132</v>
      </c>
      <c r="L4255" s="8" t="s">
        <v>480</v>
      </c>
      <c r="M4255" s="8">
        <v>0</v>
      </c>
      <c r="N4255" s="8"/>
    </row>
    <row r="4256" spans="6:14" x14ac:dyDescent="0.35">
      <c r="F4256" s="1"/>
      <c r="K4256" s="8" t="s">
        <v>2132</v>
      </c>
      <c r="L4256" s="8" t="s">
        <v>481</v>
      </c>
      <c r="M4256" s="8">
        <v>0</v>
      </c>
      <c r="N4256" s="8"/>
    </row>
    <row r="4257" spans="6:14" x14ac:dyDescent="0.35">
      <c r="F4257" s="1"/>
      <c r="K4257" s="8" t="s">
        <v>2132</v>
      </c>
      <c r="L4257" s="8" t="s">
        <v>482</v>
      </c>
      <c r="M4257" s="8">
        <v>0</v>
      </c>
      <c r="N4257" s="8"/>
    </row>
    <row r="4258" spans="6:14" x14ac:dyDescent="0.35">
      <c r="F4258" s="1"/>
      <c r="K4258" s="8" t="s">
        <v>2132</v>
      </c>
      <c r="L4258" s="8" t="s">
        <v>483</v>
      </c>
      <c r="M4258" s="8">
        <v>0</v>
      </c>
      <c r="N4258" s="8"/>
    </row>
    <row r="4259" spans="6:14" x14ac:dyDescent="0.35">
      <c r="F4259" s="1"/>
      <c r="K4259" s="8" t="s">
        <v>2132</v>
      </c>
      <c r="L4259" s="8" t="s">
        <v>484</v>
      </c>
      <c r="M4259" s="8">
        <v>0</v>
      </c>
      <c r="N4259" s="8"/>
    </row>
    <row r="4260" spans="6:14" x14ac:dyDescent="0.35">
      <c r="F4260" s="1"/>
      <c r="K4260" s="8" t="s">
        <v>2132</v>
      </c>
      <c r="L4260" s="8" t="s">
        <v>375</v>
      </c>
      <c r="M4260" s="8">
        <v>1</v>
      </c>
      <c r="N4260" s="8"/>
    </row>
    <row r="4261" spans="6:14" x14ac:dyDescent="0.35">
      <c r="F4261" s="1"/>
      <c r="K4261" s="8" t="s">
        <v>2132</v>
      </c>
      <c r="L4261" s="8" t="s">
        <v>590</v>
      </c>
      <c r="M4261" s="8">
        <v>0</v>
      </c>
      <c r="N4261" s="8"/>
    </row>
    <row r="4262" spans="6:14" x14ac:dyDescent="0.35">
      <c r="F4262" s="1"/>
      <c r="K4262" s="8" t="s">
        <v>2132</v>
      </c>
      <c r="L4262" s="8" t="s">
        <v>591</v>
      </c>
      <c r="M4262" s="8">
        <v>0</v>
      </c>
      <c r="N4262" s="8"/>
    </row>
    <row r="4263" spans="6:14" x14ac:dyDescent="0.35">
      <c r="F4263" s="1"/>
      <c r="K4263" s="8" t="s">
        <v>2132</v>
      </c>
      <c r="L4263" s="8" t="s">
        <v>2282</v>
      </c>
      <c r="M4263" s="8">
        <v>1</v>
      </c>
      <c r="N4263" s="8" t="s">
        <v>476</v>
      </c>
    </row>
    <row r="4264" spans="6:14" x14ac:dyDescent="0.35">
      <c r="F4264" s="1"/>
      <c r="K4264" s="8" t="s">
        <v>2132</v>
      </c>
      <c r="L4264" s="8" t="s">
        <v>2283</v>
      </c>
      <c r="M4264" s="8">
        <v>1</v>
      </c>
      <c r="N4264" s="8" t="s">
        <v>476</v>
      </c>
    </row>
    <row r="4265" spans="6:14" x14ac:dyDescent="0.35">
      <c r="F4265" s="1"/>
      <c r="K4265" s="8" t="s">
        <v>2132</v>
      </c>
      <c r="L4265" s="8" t="s">
        <v>2284</v>
      </c>
      <c r="M4265" s="8">
        <v>1</v>
      </c>
      <c r="N4265" s="8" t="s">
        <v>517</v>
      </c>
    </row>
    <row r="4266" spans="6:14" x14ac:dyDescent="0.35">
      <c r="F4266" s="1"/>
      <c r="K4266" s="8" t="s">
        <v>2132</v>
      </c>
      <c r="L4266" s="8" t="s">
        <v>2285</v>
      </c>
      <c r="M4266" s="8">
        <v>1</v>
      </c>
      <c r="N4266" s="8" t="s">
        <v>476</v>
      </c>
    </row>
    <row r="4267" spans="6:14" x14ac:dyDescent="0.35">
      <c r="F4267" s="1"/>
      <c r="K4267" s="8" t="s">
        <v>2132</v>
      </c>
      <c r="L4267" s="8" t="s">
        <v>2286</v>
      </c>
      <c r="M4267" s="8">
        <v>1</v>
      </c>
      <c r="N4267" s="8" t="s">
        <v>476</v>
      </c>
    </row>
    <row r="4268" spans="6:14" x14ac:dyDescent="0.35">
      <c r="F4268" s="1"/>
      <c r="K4268" s="8" t="s">
        <v>2132</v>
      </c>
      <c r="L4268" s="8" t="s">
        <v>2287</v>
      </c>
      <c r="M4268" s="8">
        <v>1</v>
      </c>
      <c r="N4268" s="8" t="s">
        <v>476</v>
      </c>
    </row>
    <row r="4269" spans="6:14" x14ac:dyDescent="0.35">
      <c r="F4269" s="1"/>
      <c r="K4269" s="8" t="s">
        <v>2132</v>
      </c>
      <c r="L4269" s="8" t="s">
        <v>2288</v>
      </c>
      <c r="M4269" s="8">
        <v>1</v>
      </c>
      <c r="N4269" s="8" t="s">
        <v>539</v>
      </c>
    </row>
    <row r="4270" spans="6:14" x14ac:dyDescent="0.35">
      <c r="F4270" s="1"/>
      <c r="K4270" s="8" t="s">
        <v>2132</v>
      </c>
      <c r="L4270" s="8" t="s">
        <v>2289</v>
      </c>
      <c r="M4270" s="8">
        <v>1</v>
      </c>
      <c r="N4270" s="8" t="s">
        <v>539</v>
      </c>
    </row>
    <row r="4271" spans="6:14" x14ac:dyDescent="0.35">
      <c r="F4271" s="1"/>
      <c r="K4271" s="8" t="s">
        <v>2132</v>
      </c>
      <c r="L4271" s="8" t="s">
        <v>2290</v>
      </c>
      <c r="M4271" s="8">
        <v>1</v>
      </c>
      <c r="N4271" s="8" t="s">
        <v>539</v>
      </c>
    </row>
    <row r="4272" spans="6:14" x14ac:dyDescent="0.35">
      <c r="F4272" s="1"/>
      <c r="K4272" s="8" t="s">
        <v>2132</v>
      </c>
      <c r="L4272" s="8" t="s">
        <v>598</v>
      </c>
      <c r="M4272" s="8">
        <v>0</v>
      </c>
      <c r="N4272" s="8"/>
    </row>
    <row r="4273" spans="6:14" x14ac:dyDescent="0.35">
      <c r="F4273" s="1"/>
      <c r="K4273" s="8" t="s">
        <v>2132</v>
      </c>
      <c r="L4273" s="8" t="s">
        <v>599</v>
      </c>
      <c r="M4273" s="8">
        <v>0</v>
      </c>
      <c r="N4273" s="8"/>
    </row>
    <row r="4274" spans="6:14" x14ac:dyDescent="0.35">
      <c r="F4274" s="1"/>
      <c r="K4274" s="8" t="s">
        <v>2132</v>
      </c>
      <c r="L4274" s="8" t="s">
        <v>376</v>
      </c>
      <c r="M4274" s="8">
        <v>1</v>
      </c>
      <c r="N4274" s="8"/>
    </row>
    <row r="4275" spans="6:14" x14ac:dyDescent="0.35">
      <c r="F4275" s="1"/>
      <c r="K4275" s="8" t="s">
        <v>2132</v>
      </c>
      <c r="L4275" s="8" t="s">
        <v>486</v>
      </c>
      <c r="M4275" s="8">
        <v>0</v>
      </c>
      <c r="N4275" s="8"/>
    </row>
    <row r="4276" spans="6:14" x14ac:dyDescent="0.35">
      <c r="F4276" s="1"/>
      <c r="K4276" s="8" t="s">
        <v>2132</v>
      </c>
      <c r="L4276" s="8" t="s">
        <v>487</v>
      </c>
      <c r="M4276" s="8">
        <v>0</v>
      </c>
      <c r="N4276" s="8"/>
    </row>
    <row r="4277" spans="6:14" x14ac:dyDescent="0.35">
      <c r="F4277" s="1"/>
      <c r="K4277" s="8" t="s">
        <v>2132</v>
      </c>
      <c r="L4277" s="8" t="s">
        <v>488</v>
      </c>
      <c r="M4277" s="8">
        <v>0</v>
      </c>
      <c r="N4277" s="8"/>
    </row>
    <row r="4278" spans="6:14" x14ac:dyDescent="0.35">
      <c r="F4278" s="1"/>
      <c r="K4278" s="8" t="s">
        <v>2132</v>
      </c>
      <c r="L4278" s="8" t="s">
        <v>489</v>
      </c>
      <c r="M4278" s="8">
        <v>0</v>
      </c>
      <c r="N4278" s="8"/>
    </row>
    <row r="4279" spans="6:14" x14ac:dyDescent="0.35">
      <c r="F4279" s="1"/>
      <c r="K4279" s="8" t="s">
        <v>2132</v>
      </c>
      <c r="L4279" s="8" t="s">
        <v>490</v>
      </c>
      <c r="M4279" s="8">
        <v>0</v>
      </c>
      <c r="N4279" s="8"/>
    </row>
    <row r="4280" spans="6:14" x14ac:dyDescent="0.35">
      <c r="F4280" s="1"/>
      <c r="K4280" s="8" t="s">
        <v>2132</v>
      </c>
      <c r="L4280" s="8" t="s">
        <v>370</v>
      </c>
      <c r="M4280" s="8">
        <v>1</v>
      </c>
      <c r="N4280" s="8"/>
    </row>
    <row r="4281" spans="6:14" x14ac:dyDescent="0.35">
      <c r="F4281" s="1"/>
      <c r="K4281" s="8" t="s">
        <v>2132</v>
      </c>
      <c r="L4281" s="8" t="s">
        <v>491</v>
      </c>
      <c r="M4281" s="8">
        <v>0</v>
      </c>
      <c r="N4281" s="8"/>
    </row>
    <row r="4282" spans="6:14" x14ac:dyDescent="0.35">
      <c r="F4282" s="1"/>
      <c r="K4282" s="8" t="s">
        <v>2132</v>
      </c>
      <c r="L4282" s="8" t="s">
        <v>492</v>
      </c>
      <c r="M4282" s="8">
        <v>0</v>
      </c>
      <c r="N4282" s="8"/>
    </row>
    <row r="4283" spans="6:14" x14ac:dyDescent="0.35">
      <c r="F4283" s="1"/>
      <c r="K4283" s="8" t="s">
        <v>2132</v>
      </c>
      <c r="L4283" s="8" t="s">
        <v>493</v>
      </c>
      <c r="M4283" s="8">
        <v>0</v>
      </c>
      <c r="N4283" s="8"/>
    </row>
    <row r="4284" spans="6:14" x14ac:dyDescent="0.35">
      <c r="F4284" s="1"/>
      <c r="K4284" s="8" t="s">
        <v>2132</v>
      </c>
      <c r="L4284" s="8" t="s">
        <v>494</v>
      </c>
      <c r="M4284" s="8">
        <v>0</v>
      </c>
      <c r="N4284" s="8"/>
    </row>
    <row r="4285" spans="6:14" x14ac:dyDescent="0.35">
      <c r="F4285" s="1"/>
      <c r="K4285" s="8" t="s">
        <v>2132</v>
      </c>
      <c r="L4285" s="8" t="s">
        <v>495</v>
      </c>
      <c r="M4285" s="8">
        <v>0</v>
      </c>
      <c r="N4285" s="8"/>
    </row>
    <row r="4286" spans="6:14" x14ac:dyDescent="0.35">
      <c r="F4286" s="1"/>
      <c r="K4286" s="8" t="s">
        <v>2133</v>
      </c>
      <c r="L4286" s="8" t="s">
        <v>480</v>
      </c>
      <c r="M4286" s="8">
        <v>0</v>
      </c>
      <c r="N4286" s="8"/>
    </row>
    <row r="4287" spans="6:14" x14ac:dyDescent="0.35">
      <c r="F4287" s="1"/>
      <c r="K4287" s="8" t="s">
        <v>2133</v>
      </c>
      <c r="L4287" s="8" t="s">
        <v>481</v>
      </c>
      <c r="M4287" s="8">
        <v>0</v>
      </c>
      <c r="N4287" s="8"/>
    </row>
    <row r="4288" spans="6:14" x14ac:dyDescent="0.35">
      <c r="F4288" s="1"/>
      <c r="K4288" s="8" t="s">
        <v>2133</v>
      </c>
      <c r="L4288" s="8" t="s">
        <v>482</v>
      </c>
      <c r="M4288" s="8">
        <v>0</v>
      </c>
      <c r="N4288" s="8"/>
    </row>
    <row r="4289" spans="6:14" x14ac:dyDescent="0.35">
      <c r="F4289" s="1"/>
      <c r="K4289" s="8" t="s">
        <v>2133</v>
      </c>
      <c r="L4289" s="8" t="s">
        <v>483</v>
      </c>
      <c r="M4289" s="8">
        <v>0</v>
      </c>
      <c r="N4289" s="8"/>
    </row>
    <row r="4290" spans="6:14" x14ac:dyDescent="0.35">
      <c r="F4290" s="1"/>
      <c r="K4290" s="8" t="s">
        <v>2133</v>
      </c>
      <c r="L4290" s="8" t="s">
        <v>484</v>
      </c>
      <c r="M4290" s="8">
        <v>0</v>
      </c>
      <c r="N4290" s="8"/>
    </row>
    <row r="4291" spans="6:14" x14ac:dyDescent="0.35">
      <c r="F4291" s="1"/>
      <c r="K4291" s="8" t="s">
        <v>2133</v>
      </c>
      <c r="L4291" s="8" t="s">
        <v>375</v>
      </c>
      <c r="M4291" s="8">
        <v>1</v>
      </c>
      <c r="N4291" s="8"/>
    </row>
    <row r="4292" spans="6:14" x14ac:dyDescent="0.35">
      <c r="F4292" s="1"/>
      <c r="K4292" s="8" t="s">
        <v>2133</v>
      </c>
      <c r="L4292" s="8" t="s">
        <v>486</v>
      </c>
      <c r="M4292" s="8">
        <v>0</v>
      </c>
      <c r="N4292" s="8"/>
    </row>
    <row r="4293" spans="6:14" x14ac:dyDescent="0.35">
      <c r="F4293" s="1"/>
      <c r="K4293" s="8" t="s">
        <v>2133</v>
      </c>
      <c r="L4293" s="8" t="s">
        <v>487</v>
      </c>
      <c r="M4293" s="8">
        <v>0</v>
      </c>
      <c r="N4293" s="8"/>
    </row>
    <row r="4294" spans="6:14" x14ac:dyDescent="0.35">
      <c r="F4294" s="1"/>
      <c r="K4294" s="8" t="s">
        <v>2133</v>
      </c>
      <c r="L4294" s="8" t="s">
        <v>488</v>
      </c>
      <c r="M4294" s="8">
        <v>0</v>
      </c>
      <c r="N4294" s="8"/>
    </row>
    <row r="4295" spans="6:14" x14ac:dyDescent="0.35">
      <c r="F4295" s="1"/>
      <c r="K4295" s="8" t="s">
        <v>2133</v>
      </c>
      <c r="L4295" s="8" t="s">
        <v>489</v>
      </c>
      <c r="M4295" s="8">
        <v>0</v>
      </c>
      <c r="N4295" s="8"/>
    </row>
    <row r="4296" spans="6:14" x14ac:dyDescent="0.35">
      <c r="F4296" s="1"/>
      <c r="K4296" s="8" t="s">
        <v>2133</v>
      </c>
      <c r="L4296" s="8" t="s">
        <v>490</v>
      </c>
      <c r="M4296" s="8">
        <v>0</v>
      </c>
      <c r="N4296" s="8"/>
    </row>
    <row r="4297" spans="6:14" x14ac:dyDescent="0.35">
      <c r="F4297" s="1"/>
      <c r="K4297" s="8" t="s">
        <v>2133</v>
      </c>
      <c r="L4297" s="8" t="s">
        <v>370</v>
      </c>
      <c r="M4297" s="8">
        <v>1</v>
      </c>
      <c r="N4297" s="8"/>
    </row>
    <row r="4298" spans="6:14" x14ac:dyDescent="0.35">
      <c r="F4298" s="1"/>
      <c r="K4298" s="8" t="s">
        <v>2133</v>
      </c>
      <c r="L4298" s="8" t="s">
        <v>2291</v>
      </c>
      <c r="M4298" s="8">
        <v>0</v>
      </c>
      <c r="N4298" s="8"/>
    </row>
    <row r="4299" spans="6:14" x14ac:dyDescent="0.35">
      <c r="F4299" s="1"/>
      <c r="K4299" s="8" t="s">
        <v>2133</v>
      </c>
      <c r="L4299" s="8" t="s">
        <v>2292</v>
      </c>
      <c r="M4299" s="8">
        <v>0</v>
      </c>
      <c r="N4299" s="8"/>
    </row>
    <row r="4300" spans="6:14" x14ac:dyDescent="0.35">
      <c r="F4300" s="1"/>
      <c r="K4300" s="8" t="s">
        <v>2133</v>
      </c>
      <c r="L4300" s="8" t="s">
        <v>2293</v>
      </c>
      <c r="M4300" s="8">
        <v>1</v>
      </c>
      <c r="N4300" s="8"/>
    </row>
    <row r="4301" spans="6:14" x14ac:dyDescent="0.35">
      <c r="F4301" s="1"/>
      <c r="K4301" s="8" t="s">
        <v>2133</v>
      </c>
      <c r="L4301" s="8" t="s">
        <v>2294</v>
      </c>
      <c r="M4301" s="8">
        <v>0</v>
      </c>
      <c r="N4301" s="8"/>
    </row>
    <row r="4302" spans="6:14" x14ac:dyDescent="0.35">
      <c r="F4302" s="1"/>
      <c r="K4302" s="8" t="s">
        <v>2133</v>
      </c>
      <c r="L4302" s="8" t="s">
        <v>2295</v>
      </c>
      <c r="M4302" s="8">
        <v>0</v>
      </c>
      <c r="N4302" s="8"/>
    </row>
    <row r="4303" spans="6:14" x14ac:dyDescent="0.35">
      <c r="F4303" s="1"/>
      <c r="K4303" s="8" t="s">
        <v>2133</v>
      </c>
      <c r="L4303" s="8" t="s">
        <v>491</v>
      </c>
      <c r="M4303" s="8">
        <v>0</v>
      </c>
      <c r="N4303" s="8"/>
    </row>
    <row r="4304" spans="6:14" x14ac:dyDescent="0.35">
      <c r="F4304" s="1"/>
      <c r="K4304" s="8" t="s">
        <v>2133</v>
      </c>
      <c r="L4304" s="8" t="s">
        <v>492</v>
      </c>
      <c r="M4304" s="8">
        <v>0</v>
      </c>
      <c r="N4304" s="8"/>
    </row>
    <row r="4305" spans="6:14" x14ac:dyDescent="0.35">
      <c r="F4305" s="1"/>
      <c r="K4305" s="8" t="s">
        <v>2133</v>
      </c>
      <c r="L4305" s="8" t="s">
        <v>493</v>
      </c>
      <c r="M4305" s="8">
        <v>0</v>
      </c>
      <c r="N4305" s="8"/>
    </row>
    <row r="4306" spans="6:14" x14ac:dyDescent="0.35">
      <c r="F4306" s="1"/>
      <c r="K4306" s="8" t="s">
        <v>2133</v>
      </c>
      <c r="L4306" s="8" t="s">
        <v>494</v>
      </c>
      <c r="M4306" s="8">
        <v>0</v>
      </c>
      <c r="N4306" s="8"/>
    </row>
    <row r="4307" spans="6:14" x14ac:dyDescent="0.35">
      <c r="F4307" s="1"/>
      <c r="K4307" s="8" t="s">
        <v>2133</v>
      </c>
      <c r="L4307" s="8" t="s">
        <v>495</v>
      </c>
      <c r="M4307" s="8">
        <v>0</v>
      </c>
      <c r="N4307" s="8"/>
    </row>
    <row r="4308" spans="6:14" x14ac:dyDescent="0.35">
      <c r="F4308" s="1"/>
      <c r="K4308" s="8"/>
      <c r="L4308" s="8"/>
      <c r="M4308" s="8"/>
      <c r="N4308" s="8"/>
    </row>
  </sheetData>
  <protectedRanges>
    <protectedRange sqref="P111:Q111 Q125" name="Plage1"/>
  </protectedRanges>
  <sortState ref="K2:N4308">
    <sortCondition ref="K2:K4308"/>
    <sortCondition ref="L2:L4308"/>
    <sortCondition descending="1" ref="M2:M4308"/>
  </sortState>
  <customSheetViews>
    <customSheetView guid="{78C5045A-3FD3-4C60-B2E3-9FBBF1337D5C}" hiddenColumns="1" topLeftCell="P91">
      <selection activeCell="U156" sqref="U156"/>
      <pageMargins left="0.7" right="0.7" top="0.75" bottom="0.75" header="0.3" footer="0.3"/>
      <pageSetup paperSize="9" orientation="portrait" r:id="rId1"/>
    </customSheetView>
  </customSheetViews>
  <pageMargins left="0.7" right="0.7" top="0.75" bottom="0.75" header="0.3" footer="0.3"/>
  <pageSetup paperSize="9" orientation="portrait"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C00000"/>
  </sheetPr>
  <dimension ref="A1:AM201"/>
  <sheetViews>
    <sheetView topLeftCell="R1" workbookViewId="0">
      <pane ySplit="1" topLeftCell="A4" activePane="bottomLeft" state="frozen"/>
      <selection pane="bottomLeft" activeCell="X20" sqref="X20"/>
    </sheetView>
  </sheetViews>
  <sheetFormatPr defaultColWidth="8.7265625" defaultRowHeight="14.5" x14ac:dyDescent="0.35"/>
  <cols>
    <col min="1" max="1" width="18.1796875" style="1" bestFit="1" customWidth="1"/>
    <col min="2" max="2" width="24.1796875" style="1" bestFit="1" customWidth="1"/>
    <col min="3" max="3" width="19.7265625" style="1" bestFit="1" customWidth="1"/>
    <col min="4" max="4" width="22" style="1" bestFit="1" customWidth="1"/>
    <col min="5" max="5" width="25.7265625" style="1" bestFit="1" customWidth="1"/>
    <col min="6" max="7" width="25.7265625" style="1" customWidth="1"/>
    <col min="8" max="8" width="8.7265625" style="1"/>
    <col min="9" max="9" width="11.1796875" style="8" bestFit="1" customWidth="1"/>
    <col min="10" max="10" width="16.81640625" style="1" bestFit="1" customWidth="1"/>
    <col min="11" max="11" width="16.81640625" style="1" customWidth="1"/>
    <col min="12" max="12" width="21.1796875" style="12" bestFit="1" customWidth="1"/>
    <col min="13" max="13" width="19.54296875" style="12" bestFit="1" customWidth="1"/>
    <col min="14" max="14" width="15.81640625" style="12" bestFit="1" customWidth="1"/>
    <col min="15" max="15" width="8.54296875" style="1" customWidth="1"/>
    <col min="16" max="16" width="11.1796875" style="8" bestFit="1" customWidth="1"/>
    <col min="17" max="17" width="15.7265625" style="1" bestFit="1" customWidth="1"/>
    <col min="18" max="18" width="17.1796875" style="1" bestFit="1" customWidth="1"/>
    <col min="19" max="20" width="17.1796875" style="1" customWidth="1"/>
    <col min="21" max="21" width="21.81640625" style="59" bestFit="1" customWidth="1"/>
    <col min="22" max="22" width="24.90625" style="56" bestFit="1" customWidth="1"/>
    <col min="23" max="24" width="21.453125" style="56" customWidth="1"/>
    <col min="25" max="25" width="14.453125" style="62" customWidth="1"/>
    <col min="26" max="29" width="21.453125" style="57" customWidth="1"/>
    <col min="30" max="30" width="8.7265625" style="1"/>
    <col min="31" max="31" width="16.81640625" style="1" bestFit="1" customWidth="1"/>
    <col min="32" max="32" width="16.54296875" style="1" bestFit="1" customWidth="1"/>
    <col min="33" max="33" width="13.26953125" style="1" bestFit="1" customWidth="1"/>
    <col min="34" max="34" width="13.26953125" style="1" customWidth="1"/>
    <col min="35" max="36" width="17.7265625" style="1" bestFit="1" customWidth="1"/>
    <col min="37" max="37" width="8.7265625" style="1"/>
    <col min="38" max="38" width="12.453125" style="1" bestFit="1" customWidth="1"/>
    <col min="39" max="39" width="22.1796875" style="1" bestFit="1" customWidth="1"/>
    <col min="40" max="16384" width="8.7265625" style="1"/>
  </cols>
  <sheetData>
    <row r="1" spans="1:39" s="26" customFormat="1" x14ac:dyDescent="0.35">
      <c r="A1" s="2" t="s">
        <v>1616</v>
      </c>
      <c r="B1" s="2" t="s">
        <v>1612</v>
      </c>
      <c r="C1" s="2" t="s">
        <v>1613</v>
      </c>
      <c r="D1" s="2" t="s">
        <v>1614</v>
      </c>
      <c r="E1" s="2" t="s">
        <v>1615</v>
      </c>
      <c r="F1" s="2" t="s">
        <v>1956</v>
      </c>
      <c r="G1" s="2" t="s">
        <v>1965</v>
      </c>
      <c r="I1" s="2" t="s">
        <v>1616</v>
      </c>
      <c r="J1" s="2" t="s">
        <v>1612</v>
      </c>
      <c r="K1" s="2" t="s">
        <v>1668</v>
      </c>
      <c r="L1" s="2" t="s">
        <v>1614</v>
      </c>
      <c r="M1" s="2" t="s">
        <v>1615</v>
      </c>
      <c r="N1" s="2" t="s">
        <v>1621</v>
      </c>
      <c r="P1" s="2" t="s">
        <v>1616</v>
      </c>
      <c r="Q1" s="2" t="s">
        <v>1614</v>
      </c>
      <c r="R1" s="2" t="s">
        <v>1622</v>
      </c>
      <c r="S1" s="7"/>
      <c r="T1" s="2" t="s">
        <v>1616</v>
      </c>
      <c r="U1" s="2" t="s">
        <v>1969</v>
      </c>
      <c r="V1" s="2" t="s">
        <v>1994</v>
      </c>
      <c r="W1" s="2" t="s">
        <v>1971</v>
      </c>
      <c r="X1" s="2" t="s">
        <v>1995</v>
      </c>
      <c r="Y1" s="7"/>
      <c r="Z1" s="2" t="s">
        <v>1616</v>
      </c>
      <c r="AA1" s="2" t="s">
        <v>1973</v>
      </c>
      <c r="AB1" s="2" t="s">
        <v>1974</v>
      </c>
      <c r="AC1" s="2" t="s">
        <v>1975</v>
      </c>
      <c r="AE1" s="2" t="s">
        <v>1623</v>
      </c>
      <c r="AF1" s="2" t="s">
        <v>1624</v>
      </c>
      <c r="AG1" s="2" t="s">
        <v>1628</v>
      </c>
      <c r="AH1" s="2" t="s">
        <v>1627</v>
      </c>
      <c r="AI1" s="2" t="s">
        <v>1625</v>
      </c>
      <c r="AJ1" s="2" t="s">
        <v>1626</v>
      </c>
      <c r="AL1" s="2" t="s">
        <v>2958</v>
      </c>
      <c r="AM1" s="2" t="s">
        <v>1746</v>
      </c>
    </row>
    <row r="2" spans="1:39" x14ac:dyDescent="0.35">
      <c r="A2" s="1">
        <v>1</v>
      </c>
      <c r="B2" s="1" t="s">
        <v>1513</v>
      </c>
      <c r="C2" s="1" t="s">
        <v>395</v>
      </c>
      <c r="D2" s="1" t="s">
        <v>183</v>
      </c>
      <c r="E2" s="1" t="s">
        <v>395</v>
      </c>
      <c r="F2" s="8">
        <v>1</v>
      </c>
      <c r="G2" s="8" t="s">
        <v>1725</v>
      </c>
      <c r="H2" s="22"/>
      <c r="I2" s="8">
        <v>1</v>
      </c>
      <c r="J2" s="12" t="s">
        <v>1682</v>
      </c>
      <c r="K2" s="12" t="s">
        <v>1682</v>
      </c>
      <c r="L2" s="12" t="s">
        <v>243</v>
      </c>
      <c r="M2" s="12" t="s">
        <v>1096</v>
      </c>
      <c r="N2" s="12" t="s">
        <v>746</v>
      </c>
      <c r="P2" s="8" t="s">
        <v>517</v>
      </c>
      <c r="Q2" s="1" t="s">
        <v>183</v>
      </c>
      <c r="R2" s="1" t="s">
        <v>395</v>
      </c>
      <c r="T2" s="1" t="s">
        <v>517</v>
      </c>
      <c r="U2" s="55" t="s">
        <v>1481</v>
      </c>
      <c r="V2" s="58" t="s">
        <v>395</v>
      </c>
      <c r="W2" s="58" t="s">
        <v>1513</v>
      </c>
      <c r="X2" s="58" t="s">
        <v>395</v>
      </c>
      <c r="Y2" s="58"/>
      <c r="Z2" s="58" t="s">
        <v>517</v>
      </c>
      <c r="AA2" s="58" t="s">
        <v>1485</v>
      </c>
      <c r="AB2" s="58" t="s">
        <v>1102</v>
      </c>
      <c r="AC2" s="58" t="s">
        <v>1976</v>
      </c>
      <c r="AE2" s="8" t="s">
        <v>517</v>
      </c>
      <c r="AF2" s="12" t="s">
        <v>1827</v>
      </c>
      <c r="AG2" s="1" t="s">
        <v>517</v>
      </c>
      <c r="AH2" s="1" t="s">
        <v>1948</v>
      </c>
      <c r="AI2" s="1" t="s">
        <v>1716</v>
      </c>
      <c r="AJ2" s="1" t="s">
        <v>567</v>
      </c>
      <c r="AL2" s="1" t="s">
        <v>517</v>
      </c>
      <c r="AM2" s="1" t="s">
        <v>1923</v>
      </c>
    </row>
    <row r="3" spans="1:39" x14ac:dyDescent="0.35">
      <c r="B3" s="1" t="s">
        <v>1513</v>
      </c>
      <c r="C3" s="1" t="s">
        <v>504</v>
      </c>
      <c r="D3" s="1" t="s">
        <v>183</v>
      </c>
      <c r="E3" s="1" t="s">
        <v>504</v>
      </c>
      <c r="F3" s="8">
        <v>1</v>
      </c>
      <c r="G3" s="8" t="s">
        <v>1726</v>
      </c>
      <c r="H3" s="22"/>
      <c r="J3" s="12" t="s">
        <v>1682</v>
      </c>
      <c r="K3" s="12" t="s">
        <v>1682</v>
      </c>
      <c r="L3" s="12" t="s">
        <v>243</v>
      </c>
      <c r="M3" s="12" t="s">
        <v>1103</v>
      </c>
      <c r="N3" s="12" t="s">
        <v>1009</v>
      </c>
      <c r="Q3" s="1" t="s">
        <v>288</v>
      </c>
      <c r="R3" s="1" t="s">
        <v>415</v>
      </c>
      <c r="U3" s="55" t="s">
        <v>1482</v>
      </c>
      <c r="V3" s="55" t="s">
        <v>1940</v>
      </c>
      <c r="W3" s="55" t="s">
        <v>1481</v>
      </c>
      <c r="X3" s="55" t="s">
        <v>1940</v>
      </c>
      <c r="Y3" s="55"/>
      <c r="Z3" s="55"/>
      <c r="AA3" s="58" t="s">
        <v>1485</v>
      </c>
      <c r="AB3" s="55" t="s">
        <v>1104</v>
      </c>
      <c r="AC3" s="58" t="s">
        <v>1976</v>
      </c>
      <c r="AE3" s="8" t="s">
        <v>567</v>
      </c>
      <c r="AF3" s="12" t="s">
        <v>1828</v>
      </c>
      <c r="AG3" s="1" t="s">
        <v>1630</v>
      </c>
      <c r="AI3" s="1" t="s">
        <v>1630</v>
      </c>
      <c r="AJ3" s="1" t="s">
        <v>1629</v>
      </c>
      <c r="AL3" s="1" t="s">
        <v>1948</v>
      </c>
      <c r="AM3" s="1" t="s">
        <v>1490</v>
      </c>
    </row>
    <row r="4" spans="1:39" x14ac:dyDescent="0.35">
      <c r="B4" s="1" t="s">
        <v>1513</v>
      </c>
      <c r="C4" s="1" t="s">
        <v>395</v>
      </c>
      <c r="D4" s="20" t="s">
        <v>182</v>
      </c>
      <c r="E4" s="1" t="s">
        <v>395</v>
      </c>
      <c r="F4" s="8">
        <v>2</v>
      </c>
      <c r="G4" s="8" t="s">
        <v>1725</v>
      </c>
      <c r="H4" s="22"/>
      <c r="J4" s="12" t="s">
        <v>1682</v>
      </c>
      <c r="K4" s="12" t="s">
        <v>1682</v>
      </c>
      <c r="L4" s="12" t="s">
        <v>246</v>
      </c>
      <c r="M4" s="12" t="s">
        <v>774</v>
      </c>
      <c r="N4" s="12" t="s">
        <v>517</v>
      </c>
      <c r="Q4" s="1" t="s">
        <v>222</v>
      </c>
      <c r="R4" s="1" t="s">
        <v>375</v>
      </c>
      <c r="U4" s="55" t="s">
        <v>1483</v>
      </c>
      <c r="V4" s="55" t="s">
        <v>374</v>
      </c>
      <c r="W4" s="55" t="s">
        <v>1482</v>
      </c>
      <c r="X4" s="55" t="s">
        <v>374</v>
      </c>
      <c r="Y4" s="55"/>
      <c r="Z4" s="55"/>
      <c r="AA4" s="58" t="s">
        <v>1485</v>
      </c>
      <c r="AB4" s="58" t="s">
        <v>1102</v>
      </c>
      <c r="AC4" s="58" t="s">
        <v>1977</v>
      </c>
      <c r="AE4" s="8" t="s">
        <v>1629</v>
      </c>
      <c r="AF4" s="1" t="s">
        <v>1758</v>
      </c>
      <c r="AG4" s="1" t="s">
        <v>1631</v>
      </c>
      <c r="AI4" s="1" t="s">
        <v>1630</v>
      </c>
      <c r="AJ4" s="1" t="s">
        <v>1630</v>
      </c>
      <c r="AL4" s="1" t="s">
        <v>1630</v>
      </c>
      <c r="AM4" s="1" t="s">
        <v>1747</v>
      </c>
    </row>
    <row r="5" spans="1:39" x14ac:dyDescent="0.35">
      <c r="B5" s="1" t="s">
        <v>1513</v>
      </c>
      <c r="C5" s="1" t="s">
        <v>441</v>
      </c>
      <c r="D5" s="20" t="s">
        <v>182</v>
      </c>
      <c r="E5" s="1" t="s">
        <v>441</v>
      </c>
      <c r="F5" s="8">
        <v>2</v>
      </c>
      <c r="G5" s="8" t="s">
        <v>1727</v>
      </c>
      <c r="H5" s="22"/>
      <c r="J5" s="1" t="s">
        <v>1682</v>
      </c>
      <c r="K5" s="1" t="s">
        <v>1682</v>
      </c>
      <c r="L5" s="12" t="s">
        <v>222</v>
      </c>
      <c r="M5" s="1" t="s">
        <v>560</v>
      </c>
      <c r="N5" s="12" t="s">
        <v>517</v>
      </c>
      <c r="Q5" s="1" t="s">
        <v>269</v>
      </c>
      <c r="R5" s="1" t="s">
        <v>414</v>
      </c>
      <c r="U5" s="55" t="s">
        <v>1811</v>
      </c>
      <c r="V5" s="55" t="s">
        <v>412</v>
      </c>
      <c r="W5" s="55" t="s">
        <v>1483</v>
      </c>
      <c r="X5" s="55" t="s">
        <v>412</v>
      </c>
      <c r="Y5" s="55"/>
      <c r="Z5" s="55"/>
      <c r="AA5" s="58" t="s">
        <v>1485</v>
      </c>
      <c r="AB5" s="55" t="s">
        <v>1104</v>
      </c>
      <c r="AC5" s="58" t="s">
        <v>1977</v>
      </c>
      <c r="AE5" s="8">
        <v>4</v>
      </c>
      <c r="AF5" s="12" t="s">
        <v>1829</v>
      </c>
      <c r="AG5" s="1" t="s">
        <v>1632</v>
      </c>
      <c r="AI5" s="1" t="s">
        <v>1631</v>
      </c>
      <c r="AJ5" s="1" t="s">
        <v>1631</v>
      </c>
      <c r="AL5" s="1" t="s">
        <v>1631</v>
      </c>
      <c r="AM5" s="1" t="s">
        <v>1748</v>
      </c>
    </row>
    <row r="6" spans="1:39" x14ac:dyDescent="0.35">
      <c r="B6" s="1" t="s">
        <v>1513</v>
      </c>
      <c r="C6" s="1" t="s">
        <v>442</v>
      </c>
      <c r="D6" s="1" t="s">
        <v>182</v>
      </c>
      <c r="E6" s="1" t="s">
        <v>442</v>
      </c>
      <c r="F6" s="8">
        <v>2</v>
      </c>
      <c r="G6" s="8" t="s">
        <v>1729</v>
      </c>
      <c r="H6" s="22"/>
      <c r="J6" s="1" t="s">
        <v>1682</v>
      </c>
      <c r="K6" s="1" t="s">
        <v>1682</v>
      </c>
      <c r="L6" s="12" t="s">
        <v>286</v>
      </c>
      <c r="M6" s="1" t="s">
        <v>433</v>
      </c>
      <c r="N6" s="12" t="s">
        <v>1950</v>
      </c>
      <c r="Q6" s="1" t="s">
        <v>246</v>
      </c>
      <c r="R6" s="1" t="s">
        <v>374</v>
      </c>
      <c r="U6" s="1" t="s">
        <v>1484</v>
      </c>
      <c r="V6" s="1" t="s">
        <v>1941</v>
      </c>
      <c r="W6" s="55" t="s">
        <v>1811</v>
      </c>
      <c r="X6" s="55" t="s">
        <v>1942</v>
      </c>
      <c r="Y6" s="55"/>
      <c r="Z6" s="55"/>
      <c r="AA6" s="55"/>
      <c r="AB6" s="55"/>
      <c r="AC6" s="55"/>
      <c r="AE6" s="8">
        <v>5</v>
      </c>
      <c r="AF6" s="12" t="s">
        <v>1759</v>
      </c>
      <c r="AG6" s="1" t="s">
        <v>1949</v>
      </c>
      <c r="AI6" s="1" t="s">
        <v>1632</v>
      </c>
      <c r="AJ6" s="1" t="s">
        <v>1632</v>
      </c>
      <c r="AL6" s="1" t="s">
        <v>1632</v>
      </c>
      <c r="AM6" s="1" t="s">
        <v>1755</v>
      </c>
    </row>
    <row r="7" spans="1:39" x14ac:dyDescent="0.35">
      <c r="B7" s="1" t="s">
        <v>1513</v>
      </c>
      <c r="C7" s="1" t="s">
        <v>443</v>
      </c>
      <c r="D7" s="1" t="s">
        <v>182</v>
      </c>
      <c r="E7" s="1" t="s">
        <v>443</v>
      </c>
      <c r="F7" s="8">
        <v>2</v>
      </c>
      <c r="G7" s="8" t="s">
        <v>1728</v>
      </c>
      <c r="H7" s="22"/>
      <c r="J7" s="1" t="s">
        <v>1682</v>
      </c>
      <c r="K7" s="1" t="s">
        <v>1682</v>
      </c>
      <c r="L7" s="12" t="s">
        <v>286</v>
      </c>
      <c r="M7" s="1" t="s">
        <v>434</v>
      </c>
      <c r="N7" s="12" t="s">
        <v>2821</v>
      </c>
      <c r="Q7" s="1" t="s">
        <v>217</v>
      </c>
      <c r="R7" s="1" t="s">
        <v>412</v>
      </c>
      <c r="U7" s="1" t="s">
        <v>1484</v>
      </c>
      <c r="V7" s="1" t="s">
        <v>350</v>
      </c>
      <c r="W7" s="55" t="s">
        <v>1811</v>
      </c>
      <c r="X7" s="55" t="s">
        <v>350</v>
      </c>
      <c r="Y7" s="55"/>
      <c r="Z7" s="55" t="s">
        <v>1634</v>
      </c>
      <c r="AA7" s="1" t="s">
        <v>1825</v>
      </c>
      <c r="AB7" s="1" t="s">
        <v>464</v>
      </c>
      <c r="AC7" s="58" t="s">
        <v>1977</v>
      </c>
      <c r="AE7" s="1" t="s">
        <v>1632</v>
      </c>
      <c r="AF7" s="1" t="s">
        <v>1721</v>
      </c>
      <c r="AG7" s="1" t="s">
        <v>1718</v>
      </c>
      <c r="AI7" s="1" t="s">
        <v>1633</v>
      </c>
      <c r="AJ7" s="1" t="s">
        <v>1633</v>
      </c>
      <c r="AL7" s="1" t="s">
        <v>1949</v>
      </c>
      <c r="AM7" s="1" t="s">
        <v>1749</v>
      </c>
    </row>
    <row r="8" spans="1:39" x14ac:dyDescent="0.35">
      <c r="B8" s="1" t="s">
        <v>1513</v>
      </c>
      <c r="C8" s="1" t="s">
        <v>444</v>
      </c>
      <c r="D8" s="1" t="s">
        <v>182</v>
      </c>
      <c r="E8" s="1" t="s">
        <v>444</v>
      </c>
      <c r="F8" s="8">
        <v>2</v>
      </c>
      <c r="G8" s="8" t="s">
        <v>1730</v>
      </c>
      <c r="J8" s="1" t="s">
        <v>1682</v>
      </c>
      <c r="K8" s="1" t="s">
        <v>1682</v>
      </c>
      <c r="L8" s="12" t="s">
        <v>238</v>
      </c>
      <c r="M8" s="1" t="s">
        <v>433</v>
      </c>
      <c r="N8" s="12" t="s">
        <v>1950</v>
      </c>
      <c r="Q8" s="1" t="s">
        <v>270</v>
      </c>
      <c r="R8" s="1" t="s">
        <v>373</v>
      </c>
      <c r="U8" s="1" t="s">
        <v>1484</v>
      </c>
      <c r="V8" s="1" t="s">
        <v>412</v>
      </c>
      <c r="W8" s="55" t="s">
        <v>1811</v>
      </c>
      <c r="X8" s="55" t="s">
        <v>412</v>
      </c>
      <c r="Y8" s="55"/>
      <c r="Z8" s="55"/>
      <c r="AA8" s="1" t="s">
        <v>1825</v>
      </c>
      <c r="AB8" s="1" t="s">
        <v>464</v>
      </c>
      <c r="AC8" s="58" t="s">
        <v>1976</v>
      </c>
      <c r="AE8" s="1" t="s">
        <v>1633</v>
      </c>
      <c r="AF8" s="1" t="s">
        <v>1715</v>
      </c>
      <c r="AG8" s="1" t="s">
        <v>1634</v>
      </c>
      <c r="AI8" s="1" t="s">
        <v>1634</v>
      </c>
      <c r="AJ8" s="1" t="s">
        <v>1634</v>
      </c>
      <c r="AL8" s="1" t="s">
        <v>1634</v>
      </c>
      <c r="AM8" s="1" t="s">
        <v>1750</v>
      </c>
    </row>
    <row r="9" spans="1:39" x14ac:dyDescent="0.35">
      <c r="B9" s="1" t="s">
        <v>1481</v>
      </c>
      <c r="C9" s="1" t="s">
        <v>415</v>
      </c>
      <c r="D9" s="1" t="s">
        <v>288</v>
      </c>
      <c r="E9" s="1" t="s">
        <v>415</v>
      </c>
      <c r="F9" s="8">
        <v>32</v>
      </c>
      <c r="G9" s="8" t="s">
        <v>1732</v>
      </c>
      <c r="H9" s="22"/>
      <c r="J9" s="1" t="s">
        <v>1682</v>
      </c>
      <c r="K9" s="1" t="s">
        <v>1682</v>
      </c>
      <c r="L9" s="12" t="s">
        <v>238</v>
      </c>
      <c r="M9" s="1" t="s">
        <v>434</v>
      </c>
      <c r="N9" s="12" t="s">
        <v>2821</v>
      </c>
      <c r="U9" s="1" t="s">
        <v>1485</v>
      </c>
      <c r="V9" s="1" t="s">
        <v>1943</v>
      </c>
      <c r="W9" s="55" t="s">
        <v>1811</v>
      </c>
      <c r="X9" s="55" t="s">
        <v>1943</v>
      </c>
      <c r="Y9" s="55"/>
      <c r="Z9" s="55"/>
      <c r="AA9" s="55"/>
      <c r="AB9" s="55"/>
      <c r="AC9" s="55"/>
      <c r="AE9" s="1" t="s">
        <v>1634</v>
      </c>
      <c r="AF9" s="12" t="s">
        <v>1768</v>
      </c>
      <c r="AG9" s="1" t="s">
        <v>1716</v>
      </c>
      <c r="AI9" s="1" t="s">
        <v>1007</v>
      </c>
      <c r="AJ9" s="1" t="s">
        <v>1007</v>
      </c>
      <c r="AL9" s="1" t="s">
        <v>1716</v>
      </c>
      <c r="AM9" s="1" t="s">
        <v>1753</v>
      </c>
    </row>
    <row r="10" spans="1:39" x14ac:dyDescent="0.35">
      <c r="B10" s="1" t="s">
        <v>1481</v>
      </c>
      <c r="C10" s="1" t="s">
        <v>529</v>
      </c>
      <c r="D10" s="1" t="s">
        <v>288</v>
      </c>
      <c r="E10" s="1" t="s">
        <v>529</v>
      </c>
      <c r="F10" s="8">
        <v>32</v>
      </c>
      <c r="G10" s="8" t="s">
        <v>1733</v>
      </c>
      <c r="H10" s="22"/>
      <c r="J10" s="1" t="s">
        <v>1682</v>
      </c>
      <c r="K10" s="1" t="s">
        <v>1682</v>
      </c>
      <c r="L10" s="12" t="s">
        <v>238</v>
      </c>
      <c r="M10" s="12" t="s">
        <v>436</v>
      </c>
      <c r="N10" s="12" t="s">
        <v>539</v>
      </c>
      <c r="P10" s="8" t="s">
        <v>567</v>
      </c>
      <c r="Q10" s="1" t="s">
        <v>202</v>
      </c>
      <c r="R10" s="1" t="s">
        <v>397</v>
      </c>
      <c r="Z10" s="66">
        <v>4</v>
      </c>
      <c r="AA10" s="1" t="s">
        <v>1704</v>
      </c>
      <c r="AB10" s="1" t="s">
        <v>1190</v>
      </c>
      <c r="AC10" s="58" t="s">
        <v>1977</v>
      </c>
      <c r="AE10" s="1" t="s">
        <v>1716</v>
      </c>
      <c r="AF10" s="12" t="s">
        <v>1757</v>
      </c>
      <c r="AG10" s="1" t="s">
        <v>1630</v>
      </c>
      <c r="AI10" s="1" t="s">
        <v>1717</v>
      </c>
      <c r="AJ10" s="1" t="s">
        <v>1519</v>
      </c>
      <c r="AL10" s="1" t="s">
        <v>1519</v>
      </c>
      <c r="AM10" s="1" t="s">
        <v>1751</v>
      </c>
    </row>
    <row r="11" spans="1:39" x14ac:dyDescent="0.35">
      <c r="B11" s="1" t="s">
        <v>1481</v>
      </c>
      <c r="C11" s="1" t="s">
        <v>375</v>
      </c>
      <c r="D11" s="1" t="s">
        <v>222</v>
      </c>
      <c r="E11" s="1" t="s">
        <v>375</v>
      </c>
      <c r="F11" s="8">
        <v>33</v>
      </c>
      <c r="G11" s="8" t="s">
        <v>1731</v>
      </c>
      <c r="H11" s="22"/>
      <c r="J11" s="1" t="s">
        <v>1682</v>
      </c>
      <c r="K11" s="1" t="s">
        <v>1682</v>
      </c>
      <c r="L11" s="12" t="s">
        <v>243</v>
      </c>
      <c r="M11" s="1" t="s">
        <v>433</v>
      </c>
      <c r="N11" s="12" t="s">
        <v>1950</v>
      </c>
      <c r="Q11" s="1" t="s">
        <v>200</v>
      </c>
      <c r="R11" s="1" t="s">
        <v>396</v>
      </c>
      <c r="T11" s="1" t="s">
        <v>1629</v>
      </c>
      <c r="U11" s="55" t="s">
        <v>1481</v>
      </c>
      <c r="V11" s="55" t="s">
        <v>397</v>
      </c>
      <c r="W11" s="58" t="s">
        <v>1635</v>
      </c>
      <c r="X11" s="55" t="s">
        <v>397</v>
      </c>
      <c r="Y11" s="55"/>
      <c r="Z11" s="55"/>
      <c r="AA11" s="1" t="s">
        <v>1704</v>
      </c>
      <c r="AB11" s="1" t="s">
        <v>1191</v>
      </c>
      <c r="AC11" s="58" t="s">
        <v>1977</v>
      </c>
      <c r="AE11" s="1" t="s">
        <v>1519</v>
      </c>
      <c r="AF11" s="1" t="s">
        <v>1758</v>
      </c>
      <c r="AG11" s="1" t="s">
        <v>1631</v>
      </c>
      <c r="AI11" s="1" t="s">
        <v>1717</v>
      </c>
      <c r="AJ11" s="1" t="s">
        <v>1717</v>
      </c>
      <c r="AL11" s="1" t="s">
        <v>1717</v>
      </c>
      <c r="AM11" s="1" t="s">
        <v>1752</v>
      </c>
    </row>
    <row r="12" spans="1:39" x14ac:dyDescent="0.35">
      <c r="B12" s="1" t="s">
        <v>1481</v>
      </c>
      <c r="C12" s="1" t="s">
        <v>566</v>
      </c>
      <c r="D12" s="1" t="s">
        <v>222</v>
      </c>
      <c r="E12" s="1" t="s">
        <v>566</v>
      </c>
      <c r="F12" s="8">
        <v>33</v>
      </c>
      <c r="G12" s="8" t="s">
        <v>1735</v>
      </c>
      <c r="H12" s="22"/>
      <c r="J12" s="1" t="s">
        <v>1682</v>
      </c>
      <c r="K12" s="1" t="s">
        <v>1682</v>
      </c>
      <c r="L12" s="12" t="s">
        <v>243</v>
      </c>
      <c r="M12" s="1" t="s">
        <v>434</v>
      </c>
      <c r="N12" s="12" t="s">
        <v>2821</v>
      </c>
      <c r="Q12" s="1" t="s">
        <v>201</v>
      </c>
      <c r="R12" s="1" t="s">
        <v>397</v>
      </c>
      <c r="AA12" s="1" t="s">
        <v>1704</v>
      </c>
      <c r="AB12" s="1" t="s">
        <v>1190</v>
      </c>
      <c r="AC12" s="58" t="s">
        <v>1976</v>
      </c>
      <c r="AE12" s="1" t="s">
        <v>1717</v>
      </c>
      <c r="AF12" s="12" t="s">
        <v>1829</v>
      </c>
      <c r="AG12" s="1" t="s">
        <v>1632</v>
      </c>
      <c r="AI12" s="1" t="s">
        <v>1714</v>
      </c>
      <c r="AJ12" s="1" t="s">
        <v>1714</v>
      </c>
      <c r="AL12" s="1" t="s">
        <v>1714</v>
      </c>
      <c r="AM12" s="1" t="s">
        <v>1754</v>
      </c>
    </row>
    <row r="13" spans="1:39" x14ac:dyDescent="0.35">
      <c r="B13" s="1" t="s">
        <v>1481</v>
      </c>
      <c r="C13" s="1" t="s">
        <v>559</v>
      </c>
      <c r="D13" s="1" t="s">
        <v>222</v>
      </c>
      <c r="E13" s="1" t="s">
        <v>559</v>
      </c>
      <c r="F13" s="8">
        <v>33</v>
      </c>
      <c r="G13" s="8" t="s">
        <v>1734</v>
      </c>
      <c r="H13" s="22"/>
      <c r="T13" s="1" t="s">
        <v>1633</v>
      </c>
      <c r="U13" s="1" t="s">
        <v>1673</v>
      </c>
      <c r="V13" s="1" t="s">
        <v>396</v>
      </c>
      <c r="W13" s="56" t="s">
        <v>1635</v>
      </c>
      <c r="X13" s="56" t="s">
        <v>397</v>
      </c>
      <c r="AA13" s="1" t="s">
        <v>1704</v>
      </c>
      <c r="AB13" s="1" t="s">
        <v>1191</v>
      </c>
      <c r="AC13" s="58" t="s">
        <v>1976</v>
      </c>
      <c r="AE13" s="1" t="s">
        <v>1714</v>
      </c>
      <c r="AF13" s="12" t="s">
        <v>1759</v>
      </c>
      <c r="AG13" s="1" t="s">
        <v>1949</v>
      </c>
      <c r="AI13" s="1" t="s">
        <v>1718</v>
      </c>
      <c r="AJ13" s="1" t="s">
        <v>1718</v>
      </c>
      <c r="AL13" s="1" t="s">
        <v>1718</v>
      </c>
      <c r="AM13" s="1" t="s">
        <v>1765</v>
      </c>
    </row>
    <row r="14" spans="1:39" x14ac:dyDescent="0.35">
      <c r="B14" s="1" t="s">
        <v>1481</v>
      </c>
      <c r="C14" s="1" t="s">
        <v>414</v>
      </c>
      <c r="D14" s="1" t="s">
        <v>269</v>
      </c>
      <c r="E14" s="1" t="s">
        <v>414</v>
      </c>
      <c r="F14" s="8">
        <v>31</v>
      </c>
      <c r="G14" s="8" t="s">
        <v>1736</v>
      </c>
      <c r="H14" s="22"/>
      <c r="I14" s="8">
        <v>2</v>
      </c>
      <c r="J14" s="1" t="s">
        <v>1682</v>
      </c>
      <c r="K14" s="12" t="s">
        <v>1682</v>
      </c>
      <c r="L14" s="12" t="s">
        <v>201</v>
      </c>
      <c r="M14" s="12" t="s">
        <v>1149</v>
      </c>
      <c r="N14" s="12" t="s">
        <v>1950</v>
      </c>
      <c r="P14" s="8" t="s">
        <v>1519</v>
      </c>
      <c r="Q14" s="1" t="s">
        <v>225</v>
      </c>
      <c r="R14" s="1" t="s">
        <v>369</v>
      </c>
      <c r="U14" s="55" t="s">
        <v>1673</v>
      </c>
      <c r="V14" s="55" t="s">
        <v>1968</v>
      </c>
      <c r="W14" s="55" t="s">
        <v>1482</v>
      </c>
      <c r="X14" s="55" t="s">
        <v>1968</v>
      </c>
      <c r="Y14" s="55"/>
      <c r="Z14" s="55"/>
      <c r="AA14" s="55"/>
      <c r="AB14" s="55"/>
      <c r="AC14" s="55"/>
      <c r="AE14" s="1" t="s">
        <v>1718</v>
      </c>
      <c r="AF14" s="12" t="s">
        <v>1830</v>
      </c>
      <c r="AG14" s="1" t="s">
        <v>1519</v>
      </c>
      <c r="AI14" s="1" t="s">
        <v>1719</v>
      </c>
      <c r="AJ14" s="1" t="s">
        <v>1719</v>
      </c>
    </row>
    <row r="15" spans="1:39" x14ac:dyDescent="0.35">
      <c r="B15" s="1" t="s">
        <v>1481</v>
      </c>
      <c r="C15" s="1" t="s">
        <v>524</v>
      </c>
      <c r="D15" s="1" t="s">
        <v>269</v>
      </c>
      <c r="E15" s="1" t="s">
        <v>524</v>
      </c>
      <c r="F15" s="8">
        <v>31</v>
      </c>
      <c r="G15" s="8" t="s">
        <v>1737</v>
      </c>
      <c r="H15" s="22"/>
      <c r="J15" s="1" t="s">
        <v>1682</v>
      </c>
      <c r="K15" s="1" t="s">
        <v>1682</v>
      </c>
      <c r="L15" s="12" t="s">
        <v>201</v>
      </c>
      <c r="M15" s="12" t="s">
        <v>1151</v>
      </c>
      <c r="N15" s="12" t="s">
        <v>2821</v>
      </c>
      <c r="AE15" s="1" t="s">
        <v>1719</v>
      </c>
      <c r="AF15" s="12" t="s">
        <v>1967</v>
      </c>
      <c r="AG15" s="1" t="s">
        <v>1717</v>
      </c>
      <c r="AI15" s="1" t="s">
        <v>1756</v>
      </c>
      <c r="AJ15" s="1" t="s">
        <v>1654</v>
      </c>
    </row>
    <row r="16" spans="1:39" x14ac:dyDescent="0.35">
      <c r="B16" s="1" t="s">
        <v>1481</v>
      </c>
      <c r="C16" s="1" t="s">
        <v>376</v>
      </c>
      <c r="D16" s="1" t="s">
        <v>226</v>
      </c>
      <c r="E16" s="1" t="s">
        <v>376</v>
      </c>
      <c r="F16" s="8">
        <v>34</v>
      </c>
      <c r="G16" s="8" t="s">
        <v>1739</v>
      </c>
      <c r="H16" s="22"/>
      <c r="J16" s="1" t="s">
        <v>1682</v>
      </c>
      <c r="K16" s="1" t="s">
        <v>1682</v>
      </c>
      <c r="L16" s="12" t="s">
        <v>201</v>
      </c>
      <c r="M16" s="12" t="s">
        <v>398</v>
      </c>
      <c r="N16" s="12" t="s">
        <v>1649</v>
      </c>
      <c r="P16" s="8" t="s">
        <v>1714</v>
      </c>
      <c r="Q16" s="1" t="s">
        <v>281</v>
      </c>
      <c r="R16" s="1" t="s">
        <v>370</v>
      </c>
      <c r="T16" s="1" t="s">
        <v>1631</v>
      </c>
      <c r="U16" s="1" t="s">
        <v>1656</v>
      </c>
      <c r="V16" s="1" t="s">
        <v>1978</v>
      </c>
      <c r="W16" s="1" t="s">
        <v>1485</v>
      </c>
      <c r="X16" s="1" t="s">
        <v>1978</v>
      </c>
      <c r="Y16" s="33"/>
      <c r="Z16" s="1"/>
      <c r="AA16" s="1"/>
      <c r="AB16" s="1"/>
      <c r="AC16" s="1"/>
      <c r="AE16" s="1" t="s">
        <v>1756</v>
      </c>
      <c r="AF16" s="1" t="s">
        <v>1720</v>
      </c>
      <c r="AG16" s="1" t="s">
        <v>1714</v>
      </c>
      <c r="AI16" s="1" t="s">
        <v>1654</v>
      </c>
      <c r="AJ16" s="1" t="s">
        <v>1654</v>
      </c>
    </row>
    <row r="17" spans="2:36" x14ac:dyDescent="0.35">
      <c r="B17" s="1" t="s">
        <v>1481</v>
      </c>
      <c r="C17" s="1" t="s">
        <v>414</v>
      </c>
      <c r="D17" s="1" t="s">
        <v>226</v>
      </c>
      <c r="E17" s="1" t="s">
        <v>414</v>
      </c>
      <c r="F17" s="8">
        <v>34</v>
      </c>
      <c r="G17" s="8" t="s">
        <v>1736</v>
      </c>
      <c r="H17" s="22"/>
      <c r="U17" s="1" t="s">
        <v>1656</v>
      </c>
      <c r="V17" s="1" t="s">
        <v>2972</v>
      </c>
      <c r="W17" s="1" t="s">
        <v>1485</v>
      </c>
      <c r="X17" s="1" t="s">
        <v>1978</v>
      </c>
      <c r="Y17" s="33"/>
      <c r="Z17" s="1"/>
      <c r="AA17" s="1"/>
      <c r="AB17" s="1"/>
      <c r="AC17" s="1"/>
      <c r="AE17" s="1" t="s">
        <v>1654</v>
      </c>
      <c r="AF17" s="1" t="s">
        <v>1721</v>
      </c>
      <c r="AG17" s="1" t="s">
        <v>1718</v>
      </c>
      <c r="AI17" s="1" t="s">
        <v>1766</v>
      </c>
      <c r="AJ17" s="1" t="s">
        <v>1766</v>
      </c>
    </row>
    <row r="18" spans="2:36" x14ac:dyDescent="0.35">
      <c r="B18" s="1" t="s">
        <v>1481</v>
      </c>
      <c r="C18" s="1" t="s">
        <v>395</v>
      </c>
      <c r="D18" s="1" t="s">
        <v>226</v>
      </c>
      <c r="E18" s="1" t="s">
        <v>395</v>
      </c>
      <c r="F18" s="8">
        <v>34</v>
      </c>
      <c r="G18" s="8" t="s">
        <v>1741</v>
      </c>
      <c r="H18" s="22"/>
      <c r="I18" s="8">
        <v>6</v>
      </c>
      <c r="J18" s="12" t="s">
        <v>1664</v>
      </c>
      <c r="K18" s="12" t="s">
        <v>412</v>
      </c>
      <c r="L18" s="12" t="s">
        <v>217</v>
      </c>
      <c r="M18" s="12" t="s">
        <v>904</v>
      </c>
      <c r="N18" s="12" t="s">
        <v>1630</v>
      </c>
      <c r="P18" s="8" t="s">
        <v>1633</v>
      </c>
      <c r="Q18" s="1" t="s">
        <v>266</v>
      </c>
      <c r="R18" s="1" t="s">
        <v>372</v>
      </c>
      <c r="U18" s="1" t="s">
        <v>1656</v>
      </c>
      <c r="V18" s="56" t="s">
        <v>1944</v>
      </c>
      <c r="W18" s="56" t="s">
        <v>1483</v>
      </c>
      <c r="X18" s="56" t="s">
        <v>1944</v>
      </c>
      <c r="AE18" s="1" t="s">
        <v>1766</v>
      </c>
      <c r="AF18" s="1" t="s">
        <v>1715</v>
      </c>
      <c r="AG18" s="1" t="s">
        <v>1634</v>
      </c>
      <c r="AI18" s="1" t="s">
        <v>1767</v>
      </c>
      <c r="AJ18" s="1" t="s">
        <v>1767</v>
      </c>
    </row>
    <row r="19" spans="2:36" x14ac:dyDescent="0.35">
      <c r="B19" s="1" t="s">
        <v>1481</v>
      </c>
      <c r="C19" s="1" t="s">
        <v>588</v>
      </c>
      <c r="D19" s="1" t="s">
        <v>226</v>
      </c>
      <c r="E19" s="1" t="s">
        <v>588</v>
      </c>
      <c r="F19" s="8">
        <v>34</v>
      </c>
      <c r="G19" s="8" t="s">
        <v>1738</v>
      </c>
      <c r="H19" s="22"/>
      <c r="Q19" s="60"/>
      <c r="U19" s="1" t="s">
        <v>1656</v>
      </c>
      <c r="V19" s="56" t="s">
        <v>2973</v>
      </c>
      <c r="W19" s="56" t="s">
        <v>1483</v>
      </c>
      <c r="X19" s="56" t="s">
        <v>1944</v>
      </c>
      <c r="Y19" s="33"/>
      <c r="Z19" s="1"/>
      <c r="AA19" s="1"/>
      <c r="AB19" s="1"/>
      <c r="AC19" s="1"/>
      <c r="AE19" s="1" t="s">
        <v>1767</v>
      </c>
      <c r="AF19" s="12" t="s">
        <v>1768</v>
      </c>
      <c r="AG19" s="1" t="s">
        <v>1716</v>
      </c>
      <c r="AI19" s="1" t="s">
        <v>1007</v>
      </c>
      <c r="AJ19" s="1" t="s">
        <v>1007</v>
      </c>
    </row>
    <row r="20" spans="2:36" x14ac:dyDescent="0.35">
      <c r="B20" s="1" t="s">
        <v>1481</v>
      </c>
      <c r="C20" s="1" t="s">
        <v>595</v>
      </c>
      <c r="D20" s="1" t="s">
        <v>226</v>
      </c>
      <c r="E20" s="1" t="s">
        <v>595</v>
      </c>
      <c r="F20" s="8">
        <v>34</v>
      </c>
      <c r="G20" s="8" t="s">
        <v>1740</v>
      </c>
      <c r="H20" s="22"/>
      <c r="I20" s="8" t="s">
        <v>1633</v>
      </c>
      <c r="J20" s="8" t="s">
        <v>1682</v>
      </c>
      <c r="K20" s="8" t="s">
        <v>1682</v>
      </c>
      <c r="L20" s="8" t="s">
        <v>266</v>
      </c>
      <c r="M20" s="8" t="s">
        <v>458</v>
      </c>
      <c r="N20" s="8" t="s">
        <v>475</v>
      </c>
      <c r="Y20" s="33"/>
      <c r="Z20" s="1"/>
      <c r="AA20" s="1"/>
      <c r="AB20" s="1"/>
      <c r="AC20" s="1"/>
    </row>
    <row r="21" spans="2:36" x14ac:dyDescent="0.35">
      <c r="B21" s="1" t="s">
        <v>1481</v>
      </c>
      <c r="C21" s="1" t="s">
        <v>375</v>
      </c>
      <c r="D21" s="1" t="s">
        <v>226</v>
      </c>
      <c r="E21" s="1" t="s">
        <v>375</v>
      </c>
      <c r="F21" s="8">
        <v>34</v>
      </c>
      <c r="G21" s="8" t="s">
        <v>1731</v>
      </c>
      <c r="H21" s="22"/>
      <c r="T21" s="1" t="s">
        <v>1632</v>
      </c>
      <c r="U21" s="1" t="s">
        <v>1664</v>
      </c>
      <c r="V21" s="1" t="s">
        <v>1944</v>
      </c>
      <c r="W21" s="55" t="s">
        <v>1483</v>
      </c>
      <c r="X21" s="1" t="s">
        <v>1944</v>
      </c>
    </row>
    <row r="22" spans="2:36" x14ac:dyDescent="0.35">
      <c r="B22" s="1" t="s">
        <v>1481</v>
      </c>
      <c r="C22" s="1" t="s">
        <v>415</v>
      </c>
      <c r="D22" s="1" t="s">
        <v>226</v>
      </c>
      <c r="E22" s="1" t="s">
        <v>415</v>
      </c>
      <c r="F22" s="8">
        <v>34</v>
      </c>
      <c r="G22" s="8" t="s">
        <v>1732</v>
      </c>
      <c r="H22" s="22"/>
      <c r="I22" s="8" t="s">
        <v>1634</v>
      </c>
      <c r="J22" s="1" t="s">
        <v>1682</v>
      </c>
      <c r="K22" s="1" t="s">
        <v>1682</v>
      </c>
      <c r="L22" s="12" t="s">
        <v>275</v>
      </c>
      <c r="M22" s="12" t="s">
        <v>466</v>
      </c>
      <c r="N22" s="12" t="s">
        <v>517</v>
      </c>
      <c r="U22" s="1" t="s">
        <v>1664</v>
      </c>
      <c r="V22" s="1" t="s">
        <v>1945</v>
      </c>
      <c r="W22" s="55" t="s">
        <v>1483</v>
      </c>
      <c r="X22" s="1" t="s">
        <v>1944</v>
      </c>
      <c r="Y22" s="55"/>
      <c r="Z22" s="55"/>
      <c r="AA22" s="55"/>
      <c r="AB22" s="55"/>
      <c r="AC22" s="55"/>
    </row>
    <row r="23" spans="2:36" x14ac:dyDescent="0.35">
      <c r="B23" s="1" t="s">
        <v>1482</v>
      </c>
      <c r="C23" s="1" t="s">
        <v>374</v>
      </c>
      <c r="D23" s="1" t="s">
        <v>246</v>
      </c>
      <c r="E23" s="1" t="s">
        <v>374</v>
      </c>
      <c r="F23" s="8">
        <v>71</v>
      </c>
      <c r="G23" s="8" t="s">
        <v>1742</v>
      </c>
      <c r="H23" s="22"/>
    </row>
    <row r="24" spans="2:36" x14ac:dyDescent="0.35">
      <c r="B24" s="1" t="s">
        <v>1482</v>
      </c>
      <c r="C24" s="1" t="s">
        <v>762</v>
      </c>
      <c r="D24" s="1" t="s">
        <v>246</v>
      </c>
      <c r="E24" s="1" t="s">
        <v>762</v>
      </c>
      <c r="F24" s="8">
        <v>71</v>
      </c>
      <c r="G24" s="8" t="s">
        <v>1743</v>
      </c>
      <c r="H24" s="22"/>
      <c r="I24" s="8" t="s">
        <v>1717</v>
      </c>
      <c r="J24" s="8" t="s">
        <v>1682</v>
      </c>
      <c r="K24" s="8" t="s">
        <v>1682</v>
      </c>
      <c r="L24" s="1" t="s">
        <v>252</v>
      </c>
      <c r="M24" s="1" t="s">
        <v>433</v>
      </c>
      <c r="N24" s="12" t="s">
        <v>1950</v>
      </c>
      <c r="T24" s="1" t="s">
        <v>1634</v>
      </c>
      <c r="U24" s="1" t="s">
        <v>1825</v>
      </c>
      <c r="V24" s="1" t="s">
        <v>350</v>
      </c>
      <c r="W24" s="55" t="s">
        <v>1811</v>
      </c>
      <c r="X24" s="55" t="s">
        <v>350</v>
      </c>
      <c r="Y24" s="55"/>
      <c r="Z24" s="55"/>
      <c r="AA24" s="55"/>
      <c r="AB24" s="55"/>
      <c r="AC24" s="55"/>
    </row>
    <row r="25" spans="2:36" x14ac:dyDescent="0.35">
      <c r="B25" s="1" t="s">
        <v>1482</v>
      </c>
      <c r="C25" s="1" t="s">
        <v>375</v>
      </c>
      <c r="D25" s="1" t="s">
        <v>246</v>
      </c>
      <c r="E25" s="1" t="s">
        <v>375</v>
      </c>
      <c r="F25" s="8">
        <v>71</v>
      </c>
      <c r="G25" s="8" t="s">
        <v>1744</v>
      </c>
      <c r="H25" s="22"/>
      <c r="J25" s="8" t="s">
        <v>1682</v>
      </c>
      <c r="K25" s="8" t="s">
        <v>1682</v>
      </c>
      <c r="L25" s="1" t="s">
        <v>252</v>
      </c>
      <c r="M25" s="1" t="s">
        <v>434</v>
      </c>
      <c r="N25" s="12" t="s">
        <v>2821</v>
      </c>
    </row>
    <row r="26" spans="2:36" x14ac:dyDescent="0.35">
      <c r="B26" s="1" t="s">
        <v>1482</v>
      </c>
      <c r="C26" s="1" t="s">
        <v>743</v>
      </c>
      <c r="D26" s="1" t="s">
        <v>246</v>
      </c>
      <c r="E26" s="1" t="s">
        <v>743</v>
      </c>
      <c r="F26" s="8">
        <v>71</v>
      </c>
      <c r="G26" s="8" t="s">
        <v>2824</v>
      </c>
      <c r="H26" s="22"/>
      <c r="J26" s="22"/>
      <c r="K26" s="22"/>
      <c r="T26" s="1" t="s">
        <v>1519</v>
      </c>
      <c r="U26" s="1" t="s">
        <v>1688</v>
      </c>
      <c r="V26" s="1" t="s">
        <v>374</v>
      </c>
      <c r="W26" s="56" t="s">
        <v>1482</v>
      </c>
      <c r="X26" s="55" t="s">
        <v>374</v>
      </c>
      <c r="Y26" s="63"/>
      <c r="Z26" s="18"/>
      <c r="AA26" s="18"/>
      <c r="AB26" s="18"/>
      <c r="AC26" s="18"/>
    </row>
    <row r="27" spans="2:36" x14ac:dyDescent="0.35">
      <c r="B27" s="1" t="s">
        <v>1482</v>
      </c>
      <c r="C27" s="1" t="s">
        <v>783</v>
      </c>
      <c r="D27" s="1" t="s">
        <v>246</v>
      </c>
      <c r="E27" s="1" t="s">
        <v>783</v>
      </c>
      <c r="F27" s="8">
        <v>71</v>
      </c>
      <c r="G27" s="8" t="s">
        <v>2825</v>
      </c>
      <c r="H27" s="22"/>
      <c r="I27" s="8" t="s">
        <v>1714</v>
      </c>
      <c r="J27" s="1" t="s">
        <v>1682</v>
      </c>
      <c r="K27" s="1" t="s">
        <v>1682</v>
      </c>
      <c r="L27" s="12" t="s">
        <v>281</v>
      </c>
      <c r="M27" s="12" t="s">
        <v>947</v>
      </c>
      <c r="N27" s="12" t="s">
        <v>539</v>
      </c>
      <c r="Y27" s="33"/>
      <c r="Z27" s="1"/>
      <c r="AA27" s="1"/>
      <c r="AB27" s="1"/>
      <c r="AC27" s="1"/>
    </row>
    <row r="28" spans="2:36" x14ac:dyDescent="0.35">
      <c r="B28" s="1" t="s">
        <v>1482</v>
      </c>
      <c r="C28" s="1" t="s">
        <v>755</v>
      </c>
      <c r="D28" s="1" t="s">
        <v>246</v>
      </c>
      <c r="E28" s="1" t="s">
        <v>755</v>
      </c>
      <c r="F28" s="8">
        <v>71</v>
      </c>
      <c r="G28" s="8" t="s">
        <v>2826</v>
      </c>
      <c r="H28" s="22"/>
      <c r="J28" s="8" t="s">
        <v>1682</v>
      </c>
      <c r="K28" s="8" t="s">
        <v>1682</v>
      </c>
      <c r="L28" s="1" t="s">
        <v>253</v>
      </c>
      <c r="M28" s="1" t="s">
        <v>433</v>
      </c>
      <c r="N28" s="12" t="s">
        <v>1950</v>
      </c>
      <c r="T28" s="1" t="s">
        <v>1717</v>
      </c>
      <c r="U28" s="17" t="s">
        <v>1693</v>
      </c>
      <c r="V28" s="17" t="s">
        <v>1943</v>
      </c>
      <c r="W28" s="56" t="s">
        <v>1811</v>
      </c>
      <c r="X28" s="17" t="s">
        <v>1943</v>
      </c>
    </row>
    <row r="29" spans="2:36" x14ac:dyDescent="0.35">
      <c r="B29" s="1" t="s">
        <v>1482</v>
      </c>
      <c r="C29" s="1" t="s">
        <v>781</v>
      </c>
      <c r="D29" s="1" t="s">
        <v>246</v>
      </c>
      <c r="E29" s="1" t="s">
        <v>781</v>
      </c>
      <c r="F29" s="8">
        <v>71</v>
      </c>
      <c r="G29" s="8" t="s">
        <v>2827</v>
      </c>
      <c r="H29" s="22"/>
      <c r="J29" s="8" t="s">
        <v>1682</v>
      </c>
      <c r="K29" s="8" t="s">
        <v>1682</v>
      </c>
      <c r="L29" s="1" t="s">
        <v>253</v>
      </c>
      <c r="M29" s="1" t="s">
        <v>434</v>
      </c>
      <c r="N29" s="12" t="s">
        <v>2821</v>
      </c>
      <c r="U29" s="1" t="s">
        <v>1693</v>
      </c>
      <c r="V29" s="1" t="s">
        <v>1944</v>
      </c>
      <c r="W29" s="1" t="s">
        <v>1483</v>
      </c>
      <c r="X29" s="1" t="s">
        <v>1944</v>
      </c>
      <c r="Y29" s="55"/>
      <c r="Z29" s="55"/>
      <c r="AA29" s="55"/>
      <c r="AB29" s="55"/>
      <c r="AC29" s="55"/>
    </row>
    <row r="30" spans="2:36" x14ac:dyDescent="0.35">
      <c r="B30" s="1" t="s">
        <v>1482</v>
      </c>
      <c r="C30" s="1" t="s">
        <v>761</v>
      </c>
      <c r="D30" s="1" t="s">
        <v>246</v>
      </c>
      <c r="E30" s="1" t="s">
        <v>761</v>
      </c>
      <c r="F30" s="8">
        <v>71</v>
      </c>
      <c r="G30" s="8" t="s">
        <v>2828</v>
      </c>
      <c r="H30" s="22"/>
    </row>
    <row r="31" spans="2:36" x14ac:dyDescent="0.35">
      <c r="B31" s="1" t="s">
        <v>1482</v>
      </c>
      <c r="C31" s="1" t="s">
        <v>374</v>
      </c>
      <c r="D31" s="1" t="s">
        <v>199</v>
      </c>
      <c r="E31" s="1" t="s">
        <v>374</v>
      </c>
      <c r="F31" s="8">
        <v>72</v>
      </c>
      <c r="G31" s="8" t="s">
        <v>1742</v>
      </c>
      <c r="H31" s="22"/>
      <c r="I31" s="8" t="s">
        <v>1630</v>
      </c>
      <c r="J31" s="8" t="s">
        <v>1682</v>
      </c>
      <c r="K31" s="8" t="s">
        <v>1682</v>
      </c>
      <c r="L31" s="8" t="s">
        <v>210</v>
      </c>
      <c r="M31" s="8" t="s">
        <v>380</v>
      </c>
      <c r="N31" s="8" t="s">
        <v>940</v>
      </c>
      <c r="T31" s="1" t="s">
        <v>1714</v>
      </c>
      <c r="U31" s="1" t="s">
        <v>1700</v>
      </c>
      <c r="V31" s="1" t="s">
        <v>370</v>
      </c>
      <c r="W31" s="56" t="s">
        <v>1693</v>
      </c>
      <c r="X31" s="55" t="s">
        <v>370</v>
      </c>
      <c r="Y31" s="64"/>
      <c r="Z31" s="1"/>
      <c r="AA31" s="1"/>
      <c r="AB31" s="1"/>
      <c r="AC31" s="1"/>
    </row>
    <row r="32" spans="2:36" x14ac:dyDescent="0.35">
      <c r="B32" s="1" t="s">
        <v>1482</v>
      </c>
      <c r="C32" s="1" t="s">
        <v>375</v>
      </c>
      <c r="D32" s="1" t="s">
        <v>199</v>
      </c>
      <c r="E32" s="1" t="s">
        <v>375</v>
      </c>
      <c r="F32" s="8">
        <v>72</v>
      </c>
      <c r="G32" s="8" t="s">
        <v>1744</v>
      </c>
      <c r="H32" s="22"/>
      <c r="J32" s="1" t="s">
        <v>1682</v>
      </c>
      <c r="K32" s="1" t="s">
        <v>1682</v>
      </c>
      <c r="L32" s="12" t="s">
        <v>209</v>
      </c>
      <c r="M32" t="s">
        <v>1218</v>
      </c>
      <c r="N32" s="12" t="s">
        <v>1950</v>
      </c>
      <c r="Y32" s="55"/>
      <c r="Z32" s="55"/>
      <c r="AA32" s="55"/>
      <c r="AB32" s="55"/>
      <c r="AC32" s="55"/>
    </row>
    <row r="33" spans="2:29" x14ac:dyDescent="0.35">
      <c r="B33" s="1" t="s">
        <v>1482</v>
      </c>
      <c r="C33" s="1" t="s">
        <v>376</v>
      </c>
      <c r="D33" s="1" t="s">
        <v>199</v>
      </c>
      <c r="E33" s="1" t="s">
        <v>376</v>
      </c>
      <c r="F33" s="8">
        <v>72</v>
      </c>
      <c r="G33" s="8" t="s">
        <v>2829</v>
      </c>
      <c r="H33" s="22"/>
      <c r="J33" s="22"/>
      <c r="K33" s="22"/>
      <c r="T33" s="1" t="s">
        <v>1630</v>
      </c>
      <c r="U33" s="1" t="s">
        <v>1705</v>
      </c>
      <c r="V33" t="s">
        <v>381</v>
      </c>
      <c r="W33" s="1" t="s">
        <v>1704</v>
      </c>
      <c r="X33" t="s">
        <v>381</v>
      </c>
      <c r="Y33" s="55"/>
      <c r="Z33" s="55"/>
      <c r="AA33" s="55"/>
      <c r="AB33" s="55"/>
      <c r="AC33" s="55"/>
    </row>
    <row r="34" spans="2:29" x14ac:dyDescent="0.35">
      <c r="B34" s="1" t="s">
        <v>1482</v>
      </c>
      <c r="C34" s="1" t="s">
        <v>756</v>
      </c>
      <c r="D34" s="1" t="s">
        <v>199</v>
      </c>
      <c r="E34" s="1" t="s">
        <v>795</v>
      </c>
      <c r="F34" s="8">
        <v>72</v>
      </c>
      <c r="G34" s="8" t="s">
        <v>2830</v>
      </c>
      <c r="H34" s="22"/>
      <c r="J34" s="22"/>
      <c r="K34" s="22"/>
      <c r="U34" s="1" t="s">
        <v>1705</v>
      </c>
      <c r="V34" t="s">
        <v>1946</v>
      </c>
      <c r="W34" s="55" t="s">
        <v>1811</v>
      </c>
      <c r="X34" s="55" t="s">
        <v>1942</v>
      </c>
    </row>
    <row r="35" spans="2:29" x14ac:dyDescent="0.35">
      <c r="B35" s="1" t="s">
        <v>1482</v>
      </c>
      <c r="C35" s="1" t="s">
        <v>743</v>
      </c>
      <c r="D35" s="1" t="s">
        <v>199</v>
      </c>
      <c r="E35" s="1" t="s">
        <v>788</v>
      </c>
      <c r="F35" s="8">
        <v>72</v>
      </c>
      <c r="G35" s="8" t="s">
        <v>2824</v>
      </c>
      <c r="H35" s="22"/>
      <c r="J35" s="22"/>
      <c r="K35" s="22"/>
      <c r="U35" s="1" t="s">
        <v>1707</v>
      </c>
      <c r="V35" t="s">
        <v>1947</v>
      </c>
      <c r="W35" s="55" t="s">
        <v>1811</v>
      </c>
      <c r="X35" s="55" t="s">
        <v>1942</v>
      </c>
    </row>
    <row r="36" spans="2:29" x14ac:dyDescent="0.35">
      <c r="B36" s="1" t="s">
        <v>1482</v>
      </c>
      <c r="C36" s="1" t="s">
        <v>783</v>
      </c>
      <c r="D36" s="1" t="s">
        <v>199</v>
      </c>
      <c r="E36" s="1" t="s">
        <v>803</v>
      </c>
      <c r="F36" s="8">
        <v>72</v>
      </c>
      <c r="G36" s="8" t="s">
        <v>2825</v>
      </c>
      <c r="H36" s="22"/>
      <c r="J36" s="22"/>
      <c r="K36" s="22"/>
    </row>
    <row r="37" spans="2:29" x14ac:dyDescent="0.35">
      <c r="B37" s="1" t="s">
        <v>1483</v>
      </c>
      <c r="C37" s="1" t="s">
        <v>412</v>
      </c>
      <c r="D37" s="1" t="s">
        <v>217</v>
      </c>
      <c r="E37" s="1" t="s">
        <v>412</v>
      </c>
      <c r="F37" s="8">
        <v>81</v>
      </c>
      <c r="G37" s="8" t="s">
        <v>2831</v>
      </c>
      <c r="H37" s="22"/>
      <c r="J37" s="22"/>
      <c r="K37" s="22"/>
      <c r="T37" s="1" t="s">
        <v>1716</v>
      </c>
      <c r="U37" s="1" t="s">
        <v>1683</v>
      </c>
      <c r="V37" s="1" t="s">
        <v>1978</v>
      </c>
      <c r="W37" s="56" t="s">
        <v>1485</v>
      </c>
      <c r="X37" s="1" t="s">
        <v>1978</v>
      </c>
    </row>
    <row r="38" spans="2:29" x14ac:dyDescent="0.35">
      <c r="B38" s="1" t="s">
        <v>1483</v>
      </c>
      <c r="C38" s="1" t="s">
        <v>901</v>
      </c>
      <c r="D38" s="1" t="s">
        <v>217</v>
      </c>
      <c r="E38" s="1" t="s">
        <v>901</v>
      </c>
      <c r="F38" s="8">
        <v>81</v>
      </c>
      <c r="G38" s="8" t="s">
        <v>2832</v>
      </c>
      <c r="H38" s="22"/>
      <c r="J38" s="22"/>
      <c r="K38" s="22"/>
      <c r="U38" s="1" t="s">
        <v>1683</v>
      </c>
      <c r="V38" s="1" t="s">
        <v>1944</v>
      </c>
      <c r="W38" s="56" t="s">
        <v>1483</v>
      </c>
      <c r="X38" s="1" t="s">
        <v>1944</v>
      </c>
      <c r="Y38" s="55"/>
      <c r="Z38" s="55"/>
      <c r="AA38" s="55"/>
      <c r="AB38" s="55"/>
      <c r="AC38" s="55"/>
    </row>
    <row r="39" spans="2:29" x14ac:dyDescent="0.35">
      <c r="B39" s="1" t="s">
        <v>1483</v>
      </c>
      <c r="C39" s="1" t="s">
        <v>412</v>
      </c>
      <c r="D39" s="1" t="s">
        <v>254</v>
      </c>
      <c r="E39" s="1" t="s">
        <v>412</v>
      </c>
      <c r="F39" s="8">
        <v>82</v>
      </c>
      <c r="G39" s="8" t="s">
        <v>2831</v>
      </c>
      <c r="H39" s="22"/>
      <c r="J39" s="22"/>
      <c r="K39" s="22"/>
      <c r="U39" s="55"/>
      <c r="V39" s="55"/>
      <c r="W39" s="55"/>
      <c r="X39" s="55"/>
      <c r="Y39" s="55"/>
      <c r="Z39" s="55"/>
      <c r="AA39" s="55"/>
      <c r="AB39" s="55"/>
      <c r="AC39" s="55"/>
    </row>
    <row r="40" spans="2:29" x14ac:dyDescent="0.35">
      <c r="B40" s="1" t="s">
        <v>1483</v>
      </c>
      <c r="C40" s="1" t="s">
        <v>435</v>
      </c>
      <c r="D40" s="1" t="s">
        <v>254</v>
      </c>
      <c r="E40" s="1" t="s">
        <v>435</v>
      </c>
      <c r="F40" s="8">
        <v>82</v>
      </c>
      <c r="G40" s="8" t="s">
        <v>2833</v>
      </c>
      <c r="H40" s="22"/>
      <c r="J40" s="22"/>
      <c r="K40" s="22"/>
      <c r="U40" s="55"/>
      <c r="V40" s="55"/>
      <c r="W40" s="55"/>
      <c r="X40" s="55"/>
      <c r="Y40" s="55"/>
      <c r="Z40" s="55"/>
      <c r="AA40" s="55"/>
      <c r="AB40" s="55"/>
      <c r="AC40" s="55"/>
    </row>
    <row r="41" spans="2:29" x14ac:dyDescent="0.35">
      <c r="B41" s="1" t="s">
        <v>1483</v>
      </c>
      <c r="C41" s="1" t="s">
        <v>374</v>
      </c>
      <c r="D41" s="1" t="s">
        <v>254</v>
      </c>
      <c r="E41" s="1" t="s">
        <v>374</v>
      </c>
      <c r="F41" s="8">
        <v>82</v>
      </c>
      <c r="G41" s="8" t="s">
        <v>2834</v>
      </c>
      <c r="H41" s="22"/>
      <c r="J41" s="22"/>
      <c r="K41" s="22"/>
      <c r="U41" s="55"/>
      <c r="V41" s="55"/>
      <c r="W41" s="55"/>
      <c r="X41" s="55"/>
      <c r="Y41" s="55"/>
      <c r="Z41" s="55"/>
      <c r="AA41" s="55"/>
      <c r="AB41" s="55"/>
      <c r="AC41" s="55"/>
    </row>
    <row r="42" spans="2:29" x14ac:dyDescent="0.35">
      <c r="B42" s="1" t="s">
        <v>1483</v>
      </c>
      <c r="C42" s="1" t="s">
        <v>916</v>
      </c>
      <c r="D42" s="1" t="s">
        <v>254</v>
      </c>
      <c r="E42" s="1" t="s">
        <v>916</v>
      </c>
      <c r="F42" s="8">
        <v>82</v>
      </c>
      <c r="G42" s="8" t="s">
        <v>2835</v>
      </c>
      <c r="H42" s="22"/>
      <c r="J42" s="22"/>
      <c r="K42" s="22"/>
      <c r="U42" s="55"/>
      <c r="V42" s="55"/>
      <c r="W42" s="55"/>
      <c r="X42" s="55"/>
      <c r="Y42" s="55"/>
      <c r="Z42" s="55"/>
      <c r="AA42" s="55"/>
      <c r="AB42" s="55"/>
      <c r="AC42" s="55"/>
    </row>
    <row r="43" spans="2:29" x14ac:dyDescent="0.35">
      <c r="B43" s="1" t="s">
        <v>1811</v>
      </c>
      <c r="C43" s="1" t="s">
        <v>350</v>
      </c>
      <c r="D43" s="1" t="s">
        <v>190</v>
      </c>
      <c r="E43" s="1" t="s">
        <v>350</v>
      </c>
      <c r="F43" s="8">
        <v>101</v>
      </c>
      <c r="G43" s="8" t="s">
        <v>2836</v>
      </c>
      <c r="H43" s="22"/>
      <c r="J43" s="22"/>
      <c r="K43" s="22"/>
      <c r="U43" s="55"/>
      <c r="V43" s="55"/>
      <c r="W43" s="55"/>
      <c r="X43" s="55"/>
      <c r="Y43" s="55"/>
      <c r="Z43" s="55"/>
      <c r="AA43" s="55"/>
      <c r="AB43" s="55"/>
      <c r="AC43" s="55"/>
    </row>
    <row r="44" spans="2:29" x14ac:dyDescent="0.35">
      <c r="B44" s="1" t="s">
        <v>1811</v>
      </c>
      <c r="C44" s="1" t="s">
        <v>809</v>
      </c>
      <c r="D44" s="1" t="s">
        <v>190</v>
      </c>
      <c r="E44" s="1" t="s">
        <v>809</v>
      </c>
      <c r="F44" s="8">
        <v>101</v>
      </c>
      <c r="G44" s="8" t="s">
        <v>2837</v>
      </c>
      <c r="H44" s="22"/>
      <c r="J44" s="22"/>
      <c r="K44" s="22"/>
      <c r="U44" s="55"/>
      <c r="V44" s="55"/>
      <c r="W44" s="55"/>
      <c r="X44" s="55"/>
      <c r="Y44" s="55"/>
      <c r="Z44" s="55"/>
      <c r="AA44" s="55"/>
      <c r="AB44" s="55"/>
      <c r="AC44" s="55"/>
    </row>
    <row r="45" spans="2:29" x14ac:dyDescent="0.35">
      <c r="B45" s="1" t="s">
        <v>1811</v>
      </c>
      <c r="C45" s="1" t="s">
        <v>811</v>
      </c>
      <c r="D45" s="1" t="s">
        <v>190</v>
      </c>
      <c r="E45" s="1" t="s">
        <v>811</v>
      </c>
      <c r="F45" s="8">
        <v>101</v>
      </c>
      <c r="G45" s="8" t="s">
        <v>2838</v>
      </c>
      <c r="H45" s="22"/>
      <c r="J45" s="22"/>
      <c r="K45" s="22"/>
      <c r="U45" s="55"/>
      <c r="V45" s="55"/>
      <c r="W45" s="55"/>
      <c r="X45" s="55"/>
      <c r="Y45" s="55"/>
      <c r="Z45" s="55"/>
      <c r="AA45" s="55"/>
      <c r="AB45" s="55"/>
      <c r="AC45" s="55"/>
    </row>
    <row r="46" spans="2:29" x14ac:dyDescent="0.35">
      <c r="B46" s="1" t="s">
        <v>1811</v>
      </c>
      <c r="C46" s="1" t="s">
        <v>813</v>
      </c>
      <c r="D46" s="1" t="s">
        <v>190</v>
      </c>
      <c r="E46" s="1" t="s">
        <v>813</v>
      </c>
      <c r="F46" s="8">
        <v>101</v>
      </c>
      <c r="G46" s="8" t="s">
        <v>2839</v>
      </c>
      <c r="H46" s="22"/>
      <c r="J46" s="22"/>
      <c r="K46" s="22"/>
      <c r="U46" s="55"/>
      <c r="V46" s="55"/>
      <c r="W46" s="55"/>
      <c r="X46" s="55"/>
      <c r="Y46" s="55"/>
      <c r="Z46" s="55"/>
      <c r="AA46" s="55"/>
      <c r="AB46" s="55"/>
      <c r="AC46" s="55"/>
    </row>
    <row r="47" spans="2:29" x14ac:dyDescent="0.35">
      <c r="B47" s="1" t="s">
        <v>1811</v>
      </c>
      <c r="C47" s="1" t="s">
        <v>350</v>
      </c>
      <c r="D47" s="1" t="s">
        <v>286</v>
      </c>
      <c r="E47" s="1" t="s">
        <v>350</v>
      </c>
      <c r="F47" s="8">
        <v>102</v>
      </c>
      <c r="G47" s="8" t="s">
        <v>2836</v>
      </c>
      <c r="H47" s="22"/>
      <c r="J47" s="22"/>
      <c r="K47" s="22"/>
      <c r="U47" s="55"/>
      <c r="V47" s="55"/>
      <c r="W47" s="55"/>
      <c r="X47" s="55"/>
      <c r="Y47" s="55"/>
      <c r="Z47" s="55"/>
      <c r="AA47" s="55"/>
      <c r="AB47" s="55"/>
      <c r="AC47" s="55"/>
    </row>
    <row r="48" spans="2:29" x14ac:dyDescent="0.35">
      <c r="B48" s="1" t="s">
        <v>1811</v>
      </c>
      <c r="C48" s="1" t="s">
        <v>809</v>
      </c>
      <c r="D48" s="1" t="s">
        <v>286</v>
      </c>
      <c r="E48" s="1" t="s">
        <v>1016</v>
      </c>
      <c r="F48" s="8">
        <v>102</v>
      </c>
      <c r="G48" s="8" t="s">
        <v>2837</v>
      </c>
      <c r="H48" s="22"/>
      <c r="J48" s="22"/>
      <c r="K48" s="22"/>
      <c r="U48" s="55"/>
      <c r="V48" s="55"/>
      <c r="W48" s="55"/>
      <c r="X48" s="55"/>
      <c r="Y48" s="55"/>
      <c r="Z48" s="55"/>
      <c r="AA48" s="55"/>
      <c r="AB48" s="55"/>
      <c r="AC48" s="55"/>
    </row>
    <row r="49" spans="2:29" x14ac:dyDescent="0.35">
      <c r="B49" s="1" t="s">
        <v>1811</v>
      </c>
      <c r="C49" s="1" t="s">
        <v>432</v>
      </c>
      <c r="D49" s="1" t="s">
        <v>286</v>
      </c>
      <c r="E49" s="1" t="s">
        <v>432</v>
      </c>
      <c r="F49" s="8">
        <v>102</v>
      </c>
      <c r="G49" s="8" t="s">
        <v>2840</v>
      </c>
      <c r="H49" s="22"/>
      <c r="J49" s="22"/>
      <c r="K49" s="22"/>
      <c r="U49" s="55"/>
      <c r="V49" s="55"/>
      <c r="W49" s="55"/>
      <c r="X49" s="55"/>
      <c r="Y49" s="55"/>
      <c r="Z49" s="55"/>
      <c r="AA49" s="55"/>
      <c r="AB49" s="55"/>
      <c r="AC49" s="55"/>
    </row>
    <row r="50" spans="2:29" x14ac:dyDescent="0.35">
      <c r="B50" s="1" t="s">
        <v>1811</v>
      </c>
      <c r="C50" s="1" t="s">
        <v>412</v>
      </c>
      <c r="D50" s="1" t="s">
        <v>286</v>
      </c>
      <c r="E50" s="1" t="s">
        <v>412</v>
      </c>
      <c r="F50" s="8">
        <v>102</v>
      </c>
      <c r="G50" s="8" t="s">
        <v>2841</v>
      </c>
      <c r="H50" s="22"/>
      <c r="J50" s="22"/>
      <c r="K50" s="22"/>
      <c r="U50" s="55"/>
      <c r="V50" s="55"/>
      <c r="W50" s="55"/>
      <c r="X50" s="55"/>
      <c r="Y50" s="55"/>
      <c r="Z50" s="55"/>
      <c r="AA50" s="55"/>
      <c r="AB50" s="55"/>
      <c r="AC50" s="55"/>
    </row>
    <row r="51" spans="2:29" x14ac:dyDescent="0.35">
      <c r="B51" s="1" t="s">
        <v>1484</v>
      </c>
      <c r="C51" s="1" t="s">
        <v>431</v>
      </c>
      <c r="D51" s="1" t="s">
        <v>238</v>
      </c>
      <c r="E51" s="1" t="s">
        <v>431</v>
      </c>
      <c r="F51" s="8">
        <v>105</v>
      </c>
      <c r="G51" s="8" t="s">
        <v>2842</v>
      </c>
      <c r="H51" s="22"/>
      <c r="J51" s="22"/>
      <c r="K51" s="22"/>
      <c r="U51" s="55"/>
      <c r="V51" s="55"/>
      <c r="W51" s="55"/>
      <c r="X51" s="55"/>
      <c r="Y51" s="55"/>
      <c r="Z51" s="55"/>
      <c r="AA51" s="55"/>
      <c r="AB51" s="55"/>
      <c r="AC51" s="55"/>
    </row>
    <row r="52" spans="2:29" x14ac:dyDescent="0.35">
      <c r="B52" s="1" t="s">
        <v>1484</v>
      </c>
      <c r="C52" s="1" t="s">
        <v>432</v>
      </c>
      <c r="D52" s="1" t="s">
        <v>238</v>
      </c>
      <c r="E52" s="1" t="s">
        <v>432</v>
      </c>
      <c r="F52" s="8">
        <v>105</v>
      </c>
      <c r="G52" s="8" t="s">
        <v>2843</v>
      </c>
      <c r="H52" s="22"/>
      <c r="J52" s="22"/>
      <c r="K52" s="22"/>
      <c r="U52" s="55"/>
      <c r="V52" s="55"/>
      <c r="W52" s="55"/>
      <c r="X52" s="55"/>
      <c r="Y52" s="55"/>
      <c r="Z52" s="55"/>
      <c r="AA52" s="55"/>
      <c r="AB52" s="55"/>
      <c r="AC52" s="55"/>
    </row>
    <row r="53" spans="2:29" x14ac:dyDescent="0.35">
      <c r="B53" s="1" t="s">
        <v>1484</v>
      </c>
      <c r="C53" s="1" t="s">
        <v>350</v>
      </c>
      <c r="D53" s="1" t="s">
        <v>238</v>
      </c>
      <c r="E53" s="1" t="s">
        <v>350</v>
      </c>
      <c r="F53" s="8">
        <v>105</v>
      </c>
      <c r="G53" s="8" t="s">
        <v>2844</v>
      </c>
      <c r="H53" s="22"/>
      <c r="J53" s="22"/>
      <c r="K53" s="22"/>
      <c r="U53" s="55"/>
      <c r="V53" s="55"/>
      <c r="W53" s="55"/>
      <c r="X53" s="55"/>
      <c r="Y53" s="55"/>
      <c r="Z53" s="55"/>
      <c r="AA53" s="55"/>
      <c r="AB53" s="55"/>
      <c r="AC53" s="55"/>
    </row>
    <row r="54" spans="2:29" x14ac:dyDescent="0.35">
      <c r="B54" s="1" t="s">
        <v>1484</v>
      </c>
      <c r="C54" s="1" t="s">
        <v>412</v>
      </c>
      <c r="D54" s="1" t="s">
        <v>238</v>
      </c>
      <c r="E54" s="1" t="s">
        <v>412</v>
      </c>
      <c r="F54" s="8">
        <v>105</v>
      </c>
      <c r="G54" s="8" t="s">
        <v>2845</v>
      </c>
      <c r="H54" s="22"/>
      <c r="J54" s="22"/>
      <c r="K54" s="22"/>
      <c r="U54" s="55"/>
      <c r="V54" s="55"/>
      <c r="W54" s="55"/>
      <c r="X54" s="55"/>
      <c r="Y54" s="55"/>
      <c r="Z54" s="55"/>
      <c r="AA54" s="55"/>
      <c r="AB54" s="55"/>
      <c r="AC54" s="55"/>
    </row>
    <row r="55" spans="2:29" x14ac:dyDescent="0.35">
      <c r="B55" s="1" t="s">
        <v>1484</v>
      </c>
      <c r="C55" s="1" t="s">
        <v>435</v>
      </c>
      <c r="D55" s="1" t="s">
        <v>238</v>
      </c>
      <c r="E55" s="1" t="s">
        <v>435</v>
      </c>
      <c r="F55" s="8">
        <v>105</v>
      </c>
      <c r="G55" s="8" t="s">
        <v>2846</v>
      </c>
      <c r="H55" s="22"/>
      <c r="J55" s="22"/>
      <c r="K55" s="22"/>
      <c r="U55" s="55"/>
      <c r="V55" s="55"/>
      <c r="W55" s="55"/>
      <c r="X55" s="55"/>
      <c r="Y55" s="55"/>
      <c r="Z55" s="55"/>
      <c r="AA55" s="55"/>
      <c r="AB55" s="55"/>
      <c r="AC55" s="55"/>
    </row>
    <row r="56" spans="2:29" x14ac:dyDescent="0.35">
      <c r="B56" s="1" t="s">
        <v>1484</v>
      </c>
      <c r="C56" s="1" t="s">
        <v>1045</v>
      </c>
      <c r="D56" s="1" t="s">
        <v>238</v>
      </c>
      <c r="E56" s="1" t="s">
        <v>1045</v>
      </c>
      <c r="F56" s="8">
        <v>105</v>
      </c>
      <c r="G56" s="8" t="s">
        <v>2847</v>
      </c>
      <c r="H56" s="22"/>
      <c r="J56" s="22"/>
      <c r="K56" s="22"/>
      <c r="U56" s="55"/>
      <c r="V56" s="55"/>
      <c r="W56" s="55"/>
      <c r="X56" s="55"/>
      <c r="Y56" s="55"/>
      <c r="Z56" s="55"/>
      <c r="AA56" s="55"/>
      <c r="AB56" s="55"/>
      <c r="AC56" s="55"/>
    </row>
    <row r="57" spans="2:29" x14ac:dyDescent="0.35">
      <c r="B57" s="1" t="s">
        <v>1484</v>
      </c>
      <c r="C57" s="1" t="s">
        <v>1044</v>
      </c>
      <c r="D57" s="1" t="s">
        <v>238</v>
      </c>
      <c r="E57" s="1" t="s">
        <v>1044</v>
      </c>
      <c r="F57" s="8">
        <v>105</v>
      </c>
      <c r="G57" s="8" t="s">
        <v>2848</v>
      </c>
      <c r="H57" s="22"/>
      <c r="J57" s="22"/>
      <c r="K57" s="22"/>
      <c r="U57" s="55"/>
      <c r="V57" s="55"/>
      <c r="W57" s="55"/>
      <c r="X57" s="55"/>
      <c r="Y57" s="55"/>
      <c r="Z57" s="55"/>
      <c r="AA57" s="55"/>
      <c r="AB57" s="55"/>
      <c r="AC57" s="55"/>
    </row>
    <row r="58" spans="2:29" x14ac:dyDescent="0.35">
      <c r="B58" s="1" t="s">
        <v>1485</v>
      </c>
      <c r="C58" s="1" t="s">
        <v>373</v>
      </c>
      <c r="D58" s="1" t="s">
        <v>270</v>
      </c>
      <c r="E58" s="1" t="s">
        <v>373</v>
      </c>
      <c r="F58" s="8">
        <v>111</v>
      </c>
      <c r="G58" s="8" t="s">
        <v>2849</v>
      </c>
      <c r="H58" s="22"/>
      <c r="J58" s="22"/>
      <c r="K58" s="22"/>
      <c r="U58" s="55"/>
      <c r="V58" s="55"/>
      <c r="W58" s="55"/>
      <c r="X58" s="55"/>
      <c r="Y58" s="55"/>
      <c r="Z58" s="55"/>
      <c r="AA58" s="55"/>
      <c r="AB58" s="55"/>
      <c r="AC58" s="55"/>
    </row>
    <row r="59" spans="2:29" x14ac:dyDescent="0.35">
      <c r="B59" s="1" t="s">
        <v>1485</v>
      </c>
      <c r="C59" s="1" t="s">
        <v>439</v>
      </c>
      <c r="D59" s="1" t="s">
        <v>243</v>
      </c>
      <c r="E59" s="1" t="s">
        <v>439</v>
      </c>
      <c r="F59" s="8">
        <v>112</v>
      </c>
      <c r="G59" s="8" t="s">
        <v>2850</v>
      </c>
      <c r="H59" s="22"/>
      <c r="J59" s="22"/>
      <c r="K59" s="22"/>
      <c r="U59" s="55"/>
      <c r="V59" s="55"/>
      <c r="W59" s="55"/>
      <c r="X59" s="55"/>
      <c r="Y59" s="55"/>
      <c r="Z59" s="55"/>
      <c r="AA59" s="55"/>
      <c r="AB59" s="55"/>
      <c r="AC59" s="55"/>
    </row>
    <row r="60" spans="2:29" x14ac:dyDescent="0.35">
      <c r="B60" s="1" t="s">
        <v>1485</v>
      </c>
      <c r="C60" s="1" t="s">
        <v>1486</v>
      </c>
      <c r="D60" s="1" t="s">
        <v>243</v>
      </c>
      <c r="E60" s="1" t="s">
        <v>1105</v>
      </c>
      <c r="F60" s="8">
        <v>112</v>
      </c>
      <c r="G60" s="8" t="s">
        <v>2851</v>
      </c>
      <c r="H60" s="22"/>
      <c r="J60" s="22"/>
      <c r="K60" s="22"/>
      <c r="U60" s="55"/>
      <c r="V60" s="55"/>
      <c r="W60" s="55"/>
      <c r="X60" s="55"/>
      <c r="Y60" s="55"/>
      <c r="Z60" s="55"/>
      <c r="AA60" s="55"/>
      <c r="AB60" s="55"/>
      <c r="AC60" s="55"/>
    </row>
    <row r="61" spans="2:29" x14ac:dyDescent="0.35">
      <c r="B61" s="1" t="s">
        <v>1485</v>
      </c>
      <c r="C61" s="1" t="s">
        <v>373</v>
      </c>
      <c r="D61" s="1" t="s">
        <v>243</v>
      </c>
      <c r="E61" s="1" t="s">
        <v>373</v>
      </c>
      <c r="F61" s="8">
        <v>112</v>
      </c>
      <c r="G61" s="8" t="s">
        <v>2849</v>
      </c>
      <c r="H61" s="22"/>
      <c r="J61" s="22"/>
      <c r="K61" s="22"/>
      <c r="U61" s="55"/>
      <c r="V61" s="55"/>
      <c r="W61" s="55"/>
      <c r="X61" s="55"/>
      <c r="Y61" s="55"/>
      <c r="Z61" s="55"/>
      <c r="AA61" s="55"/>
      <c r="AB61" s="55"/>
      <c r="AC61" s="55"/>
    </row>
    <row r="62" spans="2:29" x14ac:dyDescent="0.35">
      <c r="B62" s="1" t="s">
        <v>1485</v>
      </c>
      <c r="C62" s="1" t="s">
        <v>1094</v>
      </c>
      <c r="D62" s="1" t="s">
        <v>243</v>
      </c>
      <c r="E62" s="1" t="s">
        <v>1094</v>
      </c>
      <c r="F62" s="8">
        <v>112</v>
      </c>
      <c r="G62" s="8" t="s">
        <v>2852</v>
      </c>
      <c r="H62" s="22"/>
      <c r="J62" s="22"/>
      <c r="K62" s="22"/>
      <c r="U62" s="55"/>
      <c r="V62" s="55"/>
      <c r="W62" s="55"/>
      <c r="X62" s="55"/>
      <c r="Y62" s="55"/>
      <c r="Z62" s="55"/>
      <c r="AA62" s="55"/>
      <c r="AB62" s="55"/>
      <c r="AC62" s="55"/>
    </row>
    <row r="63" spans="2:29" x14ac:dyDescent="0.35">
      <c r="B63" s="1" t="s">
        <v>1485</v>
      </c>
      <c r="C63" s="1" t="s">
        <v>1102</v>
      </c>
      <c r="D63" s="1" t="s">
        <v>243</v>
      </c>
      <c r="E63" s="1" t="s">
        <v>1102</v>
      </c>
      <c r="F63" s="8">
        <v>112</v>
      </c>
      <c r="G63" s="8" t="s">
        <v>2853</v>
      </c>
      <c r="H63" s="22"/>
      <c r="J63" s="22"/>
      <c r="K63" s="22"/>
      <c r="U63" s="55"/>
      <c r="V63" s="55"/>
      <c r="W63" s="55"/>
      <c r="X63" s="55"/>
      <c r="Y63" s="55"/>
      <c r="Z63" s="55"/>
      <c r="AA63" s="55"/>
      <c r="AB63" s="55"/>
      <c r="AC63" s="55"/>
    </row>
    <row r="64" spans="2:29" x14ac:dyDescent="0.35">
      <c r="B64" s="1" t="s">
        <v>1485</v>
      </c>
      <c r="C64" s="1" t="s">
        <v>1104</v>
      </c>
      <c r="D64" s="1" t="s">
        <v>243</v>
      </c>
      <c r="E64" s="1" t="s">
        <v>1104</v>
      </c>
      <c r="F64" s="8">
        <v>112</v>
      </c>
      <c r="G64" s="8" t="s">
        <v>2854</v>
      </c>
      <c r="H64" s="22"/>
      <c r="J64" s="22"/>
      <c r="K64" s="22"/>
      <c r="U64" s="55"/>
      <c r="V64" s="55"/>
      <c r="W64" s="55"/>
      <c r="X64" s="55"/>
      <c r="Y64" s="55"/>
      <c r="Z64" s="55"/>
      <c r="AA64" s="55"/>
      <c r="AB64" s="55"/>
      <c r="AC64" s="55"/>
    </row>
    <row r="65" spans="1:29" x14ac:dyDescent="0.35">
      <c r="B65" s="1" t="s">
        <v>1485</v>
      </c>
      <c r="C65" s="1" t="s">
        <v>350</v>
      </c>
      <c r="D65" s="1" t="s">
        <v>243</v>
      </c>
      <c r="E65" s="1" t="s">
        <v>350</v>
      </c>
      <c r="F65" s="8">
        <v>112</v>
      </c>
      <c r="G65" s="8" t="s">
        <v>2855</v>
      </c>
      <c r="H65" s="22"/>
      <c r="J65" s="22"/>
      <c r="K65" s="22"/>
      <c r="U65" s="55"/>
      <c r="V65" s="55"/>
      <c r="W65" s="55"/>
      <c r="X65" s="55"/>
      <c r="Y65" s="55"/>
      <c r="Z65" s="55"/>
      <c r="AA65" s="55"/>
      <c r="AB65" s="55"/>
      <c r="AC65" s="55"/>
    </row>
    <row r="66" spans="1:29" x14ac:dyDescent="0.35">
      <c r="B66" s="1" t="s">
        <v>1485</v>
      </c>
      <c r="C66" s="1" t="s">
        <v>412</v>
      </c>
      <c r="D66" s="1" t="s">
        <v>243</v>
      </c>
      <c r="E66" s="1" t="s">
        <v>412</v>
      </c>
      <c r="F66" s="8">
        <v>112</v>
      </c>
      <c r="G66" s="8" t="s">
        <v>2856</v>
      </c>
      <c r="H66" s="22"/>
      <c r="J66" s="22"/>
      <c r="K66" s="22"/>
      <c r="U66" s="55"/>
    </row>
    <row r="67" spans="1:29" x14ac:dyDescent="0.35">
      <c r="B67" s="1" t="s">
        <v>1485</v>
      </c>
      <c r="C67" s="1" t="s">
        <v>432</v>
      </c>
      <c r="D67" s="1" t="s">
        <v>243</v>
      </c>
      <c r="E67" s="1" t="s">
        <v>432</v>
      </c>
      <c r="F67" s="8">
        <v>112</v>
      </c>
      <c r="G67" s="8" t="s">
        <v>2857</v>
      </c>
      <c r="H67" s="22"/>
      <c r="J67" s="22"/>
      <c r="K67" s="22"/>
      <c r="U67" s="55"/>
    </row>
    <row r="68" spans="1:29" x14ac:dyDescent="0.35">
      <c r="B68" s="1" t="s">
        <v>1485</v>
      </c>
      <c r="C68" s="1" t="s">
        <v>1116</v>
      </c>
      <c r="D68" s="1" t="s">
        <v>243</v>
      </c>
      <c r="E68" s="1" t="s">
        <v>1116</v>
      </c>
      <c r="F68" s="8">
        <v>112</v>
      </c>
      <c r="G68" s="8" t="s">
        <v>2858</v>
      </c>
      <c r="H68" s="22"/>
      <c r="J68" s="22"/>
      <c r="K68" s="22"/>
      <c r="U68" s="55"/>
    </row>
    <row r="69" spans="1:29" x14ac:dyDescent="0.35">
      <c r="B69" s="1" t="s">
        <v>1485</v>
      </c>
      <c r="C69" s="1" t="s">
        <v>1115</v>
      </c>
      <c r="D69" s="1" t="s">
        <v>243</v>
      </c>
      <c r="E69" s="1" t="s">
        <v>1115</v>
      </c>
      <c r="F69" s="8">
        <v>112</v>
      </c>
      <c r="G69" s="8" t="s">
        <v>2859</v>
      </c>
      <c r="H69" s="22"/>
      <c r="J69" s="22"/>
      <c r="K69" s="22"/>
      <c r="U69" s="55"/>
    </row>
    <row r="70" spans="1:29" x14ac:dyDescent="0.35">
      <c r="F70" s="8"/>
      <c r="G70" s="8"/>
      <c r="H70" s="22"/>
      <c r="J70" s="22"/>
      <c r="K70" s="22"/>
      <c r="U70" s="55"/>
    </row>
    <row r="71" spans="1:29" x14ac:dyDescent="0.35">
      <c r="A71" s="1" t="s">
        <v>567</v>
      </c>
      <c r="B71" s="1" t="s">
        <v>1635</v>
      </c>
      <c r="C71" s="1" t="s">
        <v>397</v>
      </c>
      <c r="D71" s="1" t="s">
        <v>202</v>
      </c>
      <c r="E71" s="1" t="s">
        <v>397</v>
      </c>
      <c r="F71" s="8">
        <v>21</v>
      </c>
      <c r="G71" s="8" t="s">
        <v>2959</v>
      </c>
      <c r="H71" s="22"/>
      <c r="J71" s="22"/>
      <c r="K71" s="22"/>
      <c r="U71" s="55"/>
    </row>
    <row r="72" spans="1:29" x14ac:dyDescent="0.35">
      <c r="B72" s="1" t="s">
        <v>1635</v>
      </c>
      <c r="C72" s="1" t="s">
        <v>1138</v>
      </c>
      <c r="D72" s="1" t="s">
        <v>202</v>
      </c>
      <c r="E72" s="1" t="s">
        <v>1138</v>
      </c>
      <c r="F72" s="8">
        <v>21</v>
      </c>
      <c r="G72" s="8" t="s">
        <v>2960</v>
      </c>
      <c r="H72" s="22"/>
      <c r="J72" s="22"/>
      <c r="K72" s="22"/>
      <c r="U72" s="55"/>
    </row>
    <row r="73" spans="1:29" x14ac:dyDescent="0.35">
      <c r="B73" s="1" t="s">
        <v>1635</v>
      </c>
      <c r="C73" s="1" t="s">
        <v>1139</v>
      </c>
      <c r="D73" s="1" t="s">
        <v>202</v>
      </c>
      <c r="E73" s="1" t="s">
        <v>1139</v>
      </c>
      <c r="F73" s="8">
        <v>21</v>
      </c>
      <c r="G73" s="8" t="s">
        <v>2961</v>
      </c>
      <c r="H73" s="22"/>
      <c r="J73" s="22"/>
      <c r="K73" s="22"/>
      <c r="U73" s="55"/>
    </row>
    <row r="74" spans="1:29" x14ac:dyDescent="0.35">
      <c r="B74" s="1" t="s">
        <v>1635</v>
      </c>
      <c r="C74" s="1" t="s">
        <v>397</v>
      </c>
      <c r="D74" s="1" t="s">
        <v>200</v>
      </c>
      <c r="E74" s="1" t="s">
        <v>396</v>
      </c>
      <c r="F74" s="8">
        <v>22</v>
      </c>
      <c r="G74" s="8" t="s">
        <v>2959</v>
      </c>
      <c r="H74" s="22"/>
      <c r="J74" s="22"/>
      <c r="K74" s="22"/>
      <c r="U74" s="55"/>
    </row>
    <row r="75" spans="1:29" x14ac:dyDescent="0.35">
      <c r="B75" s="1" t="s">
        <v>1635</v>
      </c>
      <c r="C75" s="1" t="s">
        <v>1138</v>
      </c>
      <c r="D75" s="1" t="s">
        <v>200</v>
      </c>
      <c r="E75" s="1" t="s">
        <v>1144</v>
      </c>
      <c r="F75" s="8">
        <v>22</v>
      </c>
      <c r="G75" s="8" t="s">
        <v>2960</v>
      </c>
      <c r="H75" s="22"/>
      <c r="J75" s="22"/>
      <c r="K75" s="22"/>
      <c r="U75" s="55"/>
    </row>
    <row r="76" spans="1:29" x14ac:dyDescent="0.35">
      <c r="B76" s="1" t="s">
        <v>1635</v>
      </c>
      <c r="C76" s="1" t="s">
        <v>397</v>
      </c>
      <c r="D76" s="1" t="s">
        <v>201</v>
      </c>
      <c r="E76" s="1" t="s">
        <v>396</v>
      </c>
      <c r="F76" s="8">
        <v>22</v>
      </c>
      <c r="G76" s="8" t="s">
        <v>2959</v>
      </c>
      <c r="H76" s="22"/>
      <c r="J76" s="22"/>
      <c r="K76" s="22"/>
      <c r="U76" s="55"/>
    </row>
    <row r="77" spans="1:29" x14ac:dyDescent="0.35">
      <c r="B77" s="1" t="s">
        <v>1635</v>
      </c>
      <c r="C77" s="1" t="s">
        <v>397</v>
      </c>
      <c r="D77" s="1" t="s">
        <v>201</v>
      </c>
      <c r="E77" s="1" t="s">
        <v>397</v>
      </c>
      <c r="F77" s="8">
        <v>23</v>
      </c>
      <c r="G77" s="8" t="s">
        <v>2959</v>
      </c>
      <c r="H77" s="22"/>
      <c r="J77" s="22"/>
      <c r="K77" s="22"/>
      <c r="U77" s="55"/>
    </row>
    <row r="78" spans="1:29" x14ac:dyDescent="0.35">
      <c r="B78" s="1" t="s">
        <v>1635</v>
      </c>
      <c r="C78" s="1" t="s">
        <v>397</v>
      </c>
      <c r="D78" s="1" t="s">
        <v>203</v>
      </c>
      <c r="E78" s="1" t="s">
        <v>397</v>
      </c>
      <c r="F78" s="8">
        <v>24</v>
      </c>
      <c r="G78" s="8" t="s">
        <v>2959</v>
      </c>
      <c r="H78" s="22"/>
      <c r="J78" s="22"/>
      <c r="K78" s="22"/>
      <c r="U78" s="55"/>
    </row>
    <row r="79" spans="1:29" x14ac:dyDescent="0.35">
      <c r="B79" s="1" t="s">
        <v>1635</v>
      </c>
      <c r="C79" s="1" t="s">
        <v>399</v>
      </c>
      <c r="D79" s="1" t="s">
        <v>203</v>
      </c>
      <c r="E79" s="1" t="s">
        <v>399</v>
      </c>
      <c r="F79" s="8">
        <v>24</v>
      </c>
      <c r="G79" s="8" t="s">
        <v>2962</v>
      </c>
      <c r="H79" s="22"/>
      <c r="J79" s="22"/>
      <c r="K79" s="22"/>
      <c r="U79" s="55"/>
    </row>
    <row r="80" spans="1:29" x14ac:dyDescent="0.35">
      <c r="B80" s="1" t="s">
        <v>1635</v>
      </c>
      <c r="C80" s="1" t="s">
        <v>1156</v>
      </c>
      <c r="D80" s="1" t="s">
        <v>203</v>
      </c>
      <c r="E80" s="1" t="s">
        <v>1156</v>
      </c>
      <c r="F80" s="8">
        <v>24</v>
      </c>
      <c r="G80" s="8" t="s">
        <v>2963</v>
      </c>
      <c r="H80" s="22"/>
      <c r="J80" s="22"/>
      <c r="K80" s="22"/>
      <c r="U80" s="55"/>
    </row>
    <row r="81" spans="1:21" x14ac:dyDescent="0.35">
      <c r="B81" s="1" t="s">
        <v>1635</v>
      </c>
      <c r="C81" s="1" t="s">
        <v>1157</v>
      </c>
      <c r="D81" s="1" t="s">
        <v>203</v>
      </c>
      <c r="E81" s="1" t="s">
        <v>1157</v>
      </c>
      <c r="F81" s="8">
        <v>24</v>
      </c>
      <c r="G81" s="8" t="s">
        <v>2964</v>
      </c>
      <c r="H81" s="22"/>
      <c r="J81" s="22"/>
      <c r="K81" s="22"/>
      <c r="U81" s="55"/>
    </row>
    <row r="82" spans="1:21" x14ac:dyDescent="0.35">
      <c r="B82" s="1" t="s">
        <v>1635</v>
      </c>
      <c r="C82" s="1" t="s">
        <v>1158</v>
      </c>
      <c r="D82" s="1" t="s">
        <v>203</v>
      </c>
      <c r="E82" s="1" t="s">
        <v>1158</v>
      </c>
      <c r="F82" s="8">
        <v>24</v>
      </c>
      <c r="G82" s="8" t="s">
        <v>2965</v>
      </c>
      <c r="H82" s="22"/>
      <c r="J82" s="22"/>
      <c r="K82" s="22"/>
      <c r="U82" s="55"/>
    </row>
    <row r="83" spans="1:21" x14ac:dyDescent="0.35">
      <c r="B83" s="1" t="s">
        <v>1635</v>
      </c>
      <c r="C83" s="1" t="s">
        <v>1159</v>
      </c>
      <c r="D83" s="1" t="s">
        <v>203</v>
      </c>
      <c r="E83" s="1" t="s">
        <v>1159</v>
      </c>
      <c r="F83" s="8">
        <v>24</v>
      </c>
      <c r="G83" s="8" t="s">
        <v>2966</v>
      </c>
      <c r="H83" s="22"/>
      <c r="J83" s="22"/>
      <c r="K83" s="22"/>
      <c r="U83" s="55"/>
    </row>
    <row r="84" spans="1:21" x14ac:dyDescent="0.35">
      <c r="H84" s="22"/>
      <c r="J84" s="22"/>
      <c r="K84" s="22"/>
      <c r="U84" s="55"/>
    </row>
    <row r="85" spans="1:21" x14ac:dyDescent="0.35">
      <c r="A85" s="1" t="s">
        <v>1629</v>
      </c>
      <c r="B85" s="1" t="s">
        <v>1481</v>
      </c>
      <c r="C85" s="1" t="s">
        <v>397</v>
      </c>
      <c r="D85" s="1" t="s">
        <v>226</v>
      </c>
      <c r="E85" s="1" t="s">
        <v>396</v>
      </c>
      <c r="F85" s="8">
        <v>34</v>
      </c>
      <c r="G85" s="8" t="s">
        <v>1966</v>
      </c>
      <c r="H85" s="22"/>
      <c r="J85" s="22"/>
      <c r="K85" s="22"/>
      <c r="U85" s="55"/>
    </row>
    <row r="86" spans="1:21" x14ac:dyDescent="0.35">
      <c r="B86" s="1" t="s">
        <v>1482</v>
      </c>
      <c r="C86" s="1" t="s">
        <v>747</v>
      </c>
      <c r="D86" s="1" t="s">
        <v>199</v>
      </c>
      <c r="E86" s="1" t="s">
        <v>790</v>
      </c>
      <c r="F86" s="8">
        <v>72</v>
      </c>
      <c r="G86" s="8" t="s">
        <v>2860</v>
      </c>
      <c r="H86" s="22"/>
      <c r="J86" s="22"/>
      <c r="K86" s="22"/>
      <c r="U86" s="55"/>
    </row>
    <row r="87" spans="1:21" x14ac:dyDescent="0.35">
      <c r="B87" s="1" t="s">
        <v>1482</v>
      </c>
      <c r="C87" s="1" t="s">
        <v>783</v>
      </c>
      <c r="D87" s="1" t="s">
        <v>199</v>
      </c>
      <c r="E87" s="1" t="s">
        <v>791</v>
      </c>
      <c r="F87" s="8">
        <v>72</v>
      </c>
      <c r="G87" s="8" t="s">
        <v>2825</v>
      </c>
      <c r="H87" s="22"/>
      <c r="J87" s="22"/>
      <c r="K87" s="22"/>
      <c r="U87" s="55"/>
    </row>
    <row r="88" spans="1:21" x14ac:dyDescent="0.35">
      <c r="B88" s="1" t="s">
        <v>1482</v>
      </c>
      <c r="C88" s="1" t="s">
        <v>763</v>
      </c>
      <c r="D88" s="1" t="s">
        <v>199</v>
      </c>
      <c r="E88" s="1" t="s">
        <v>800</v>
      </c>
      <c r="F88" s="8">
        <v>72</v>
      </c>
      <c r="G88" s="8" t="s">
        <v>2861</v>
      </c>
      <c r="H88" s="22"/>
      <c r="J88" s="22"/>
      <c r="K88" s="22"/>
      <c r="U88" s="55"/>
    </row>
    <row r="89" spans="1:21" x14ac:dyDescent="0.35">
      <c r="B89" s="1" t="s">
        <v>1482</v>
      </c>
      <c r="C89" s="1" t="s">
        <v>744</v>
      </c>
      <c r="D89" s="1" t="s">
        <v>199</v>
      </c>
      <c r="E89" s="1" t="s">
        <v>789</v>
      </c>
      <c r="F89" s="8">
        <v>72</v>
      </c>
      <c r="G89" s="8" t="s">
        <v>2862</v>
      </c>
      <c r="H89" s="22"/>
      <c r="J89" s="22"/>
      <c r="K89" s="22"/>
      <c r="U89" s="55"/>
    </row>
    <row r="90" spans="1:21" x14ac:dyDescent="0.35">
      <c r="B90" s="1" t="s">
        <v>1482</v>
      </c>
      <c r="C90" s="1" t="s">
        <v>757</v>
      </c>
      <c r="D90" s="1" t="s">
        <v>199</v>
      </c>
      <c r="E90" s="1" t="s">
        <v>796</v>
      </c>
      <c r="F90" s="8">
        <v>72</v>
      </c>
      <c r="G90" s="8" t="s">
        <v>2863</v>
      </c>
      <c r="H90" s="22"/>
      <c r="J90" s="22"/>
      <c r="K90" s="22"/>
    </row>
    <row r="91" spans="1:21" x14ac:dyDescent="0.35">
      <c r="B91" s="1" t="s">
        <v>1482</v>
      </c>
      <c r="C91" s="1" t="s">
        <v>783</v>
      </c>
      <c r="D91" s="1" t="s">
        <v>199</v>
      </c>
      <c r="E91" s="1" t="s">
        <v>804</v>
      </c>
      <c r="F91" s="8">
        <v>72</v>
      </c>
      <c r="G91" s="8" t="s">
        <v>2825</v>
      </c>
      <c r="H91" s="22"/>
      <c r="U91" s="55"/>
    </row>
    <row r="92" spans="1:21" x14ac:dyDescent="0.35">
      <c r="F92" s="8"/>
      <c r="G92" s="8"/>
      <c r="H92" s="22"/>
    </row>
    <row r="93" spans="1:21" x14ac:dyDescent="0.35">
      <c r="A93" s="1" t="s">
        <v>1631</v>
      </c>
      <c r="B93" s="1" t="s">
        <v>1656</v>
      </c>
      <c r="C93" s="1" t="s">
        <v>439</v>
      </c>
      <c r="D93" s="1" t="s">
        <v>263</v>
      </c>
      <c r="E93" s="1" t="s">
        <v>439</v>
      </c>
      <c r="F93" s="8">
        <v>114</v>
      </c>
      <c r="G93" s="8" t="s">
        <v>2864</v>
      </c>
      <c r="H93" s="22"/>
      <c r="U93" s="55"/>
    </row>
    <row r="94" spans="1:21" x14ac:dyDescent="0.35">
      <c r="B94" s="1" t="s">
        <v>1656</v>
      </c>
      <c r="C94" s="1" t="s">
        <v>412</v>
      </c>
      <c r="D94" s="1" t="s">
        <v>263</v>
      </c>
      <c r="E94" s="1" t="s">
        <v>412</v>
      </c>
      <c r="F94" s="8">
        <v>114</v>
      </c>
      <c r="G94" s="8" t="s">
        <v>2865</v>
      </c>
      <c r="H94" s="22"/>
      <c r="U94" s="55"/>
    </row>
    <row r="95" spans="1:21" x14ac:dyDescent="0.35">
      <c r="B95" s="1" t="s">
        <v>1656</v>
      </c>
      <c r="C95" s="1" t="s">
        <v>435</v>
      </c>
      <c r="D95" s="1" t="s">
        <v>263</v>
      </c>
      <c r="E95" s="1" t="s">
        <v>435</v>
      </c>
      <c r="F95" s="8">
        <v>114</v>
      </c>
      <c r="G95" s="8" t="s">
        <v>2866</v>
      </c>
      <c r="H95" s="22"/>
      <c r="U95" s="55"/>
    </row>
    <row r="96" spans="1:21" x14ac:dyDescent="0.35">
      <c r="B96" s="1" t="s">
        <v>1656</v>
      </c>
      <c r="C96" s="1" t="s">
        <v>456</v>
      </c>
      <c r="D96" s="1" t="s">
        <v>263</v>
      </c>
      <c r="E96" s="1" t="s">
        <v>456</v>
      </c>
      <c r="F96" s="8">
        <v>114</v>
      </c>
      <c r="G96" s="8" t="s">
        <v>2867</v>
      </c>
      <c r="H96" s="22"/>
      <c r="U96" s="55"/>
    </row>
    <row r="97" spans="1:21" x14ac:dyDescent="0.35">
      <c r="B97" s="1" t="s">
        <v>1656</v>
      </c>
      <c r="C97" s="1" t="s">
        <v>446</v>
      </c>
      <c r="D97" s="1" t="s">
        <v>263</v>
      </c>
      <c r="E97" s="1" t="s">
        <v>446</v>
      </c>
      <c r="F97" s="8">
        <v>114</v>
      </c>
      <c r="G97" s="8" t="s">
        <v>2868</v>
      </c>
      <c r="H97" s="22"/>
      <c r="U97" s="55"/>
    </row>
    <row r="98" spans="1:21" x14ac:dyDescent="0.35">
      <c r="B98" s="1" t="s">
        <v>1656</v>
      </c>
      <c r="C98" s="1" t="s">
        <v>447</v>
      </c>
      <c r="D98" s="1" t="s">
        <v>263</v>
      </c>
      <c r="E98" s="1" t="s">
        <v>447</v>
      </c>
      <c r="F98" s="8">
        <v>114</v>
      </c>
      <c r="G98" s="8" t="s">
        <v>2869</v>
      </c>
      <c r="H98" s="22"/>
      <c r="U98" s="55"/>
    </row>
    <row r="99" spans="1:21" x14ac:dyDescent="0.35">
      <c r="B99" s="1" t="s">
        <v>1656</v>
      </c>
      <c r="C99" s="1" t="s">
        <v>457</v>
      </c>
      <c r="D99" s="1" t="s">
        <v>263</v>
      </c>
      <c r="E99" s="1" t="s">
        <v>457</v>
      </c>
      <c r="F99" s="8">
        <v>114</v>
      </c>
      <c r="G99" s="8" t="s">
        <v>2870</v>
      </c>
      <c r="H99" s="22"/>
      <c r="U99" s="55"/>
    </row>
    <row r="100" spans="1:21" x14ac:dyDescent="0.35">
      <c r="F100" s="8"/>
      <c r="G100" s="8"/>
      <c r="H100" s="22"/>
      <c r="U100" s="55"/>
    </row>
    <row r="101" spans="1:21" x14ac:dyDescent="0.35">
      <c r="A101" s="1" t="s">
        <v>1632</v>
      </c>
      <c r="B101" s="1" t="s">
        <v>1664</v>
      </c>
      <c r="C101" s="1" t="s">
        <v>412</v>
      </c>
      <c r="D101" s="1" t="s">
        <v>258</v>
      </c>
      <c r="E101" s="1" t="s">
        <v>412</v>
      </c>
      <c r="F101" s="8">
        <v>83</v>
      </c>
      <c r="G101" s="8" t="s">
        <v>2871</v>
      </c>
      <c r="H101" s="22"/>
      <c r="I101" s="24"/>
      <c r="J101" s="23"/>
      <c r="K101" s="23"/>
      <c r="U101" s="55"/>
    </row>
    <row r="102" spans="1:21" x14ac:dyDescent="0.35">
      <c r="B102" s="1" t="s">
        <v>1664</v>
      </c>
      <c r="C102" s="1" t="s">
        <v>435</v>
      </c>
      <c r="D102" s="1" t="s">
        <v>258</v>
      </c>
      <c r="E102" s="1" t="s">
        <v>435</v>
      </c>
      <c r="F102" s="8">
        <v>83</v>
      </c>
      <c r="G102" s="8" t="s">
        <v>2872</v>
      </c>
      <c r="H102" s="22"/>
      <c r="U102" s="55"/>
    </row>
    <row r="103" spans="1:21" x14ac:dyDescent="0.35">
      <c r="B103" s="1" t="s">
        <v>1664</v>
      </c>
      <c r="C103" s="1" t="s">
        <v>412</v>
      </c>
      <c r="D103" s="1" t="s">
        <v>258</v>
      </c>
      <c r="E103" s="1" t="s">
        <v>446</v>
      </c>
      <c r="F103" s="8">
        <v>83</v>
      </c>
      <c r="G103" s="8" t="s">
        <v>2871</v>
      </c>
      <c r="H103" s="22"/>
      <c r="U103" s="55"/>
    </row>
    <row r="104" spans="1:21" x14ac:dyDescent="0.35">
      <c r="B104" s="1" t="s">
        <v>1664</v>
      </c>
      <c r="C104" s="1" t="s">
        <v>447</v>
      </c>
      <c r="D104" s="1" t="s">
        <v>258</v>
      </c>
      <c r="E104" s="1" t="s">
        <v>447</v>
      </c>
      <c r="F104" s="8">
        <v>83</v>
      </c>
      <c r="G104" s="8" t="s">
        <v>2873</v>
      </c>
      <c r="H104" s="22"/>
      <c r="U104" s="55"/>
    </row>
    <row r="105" spans="1:21" x14ac:dyDescent="0.35">
      <c r="B105" s="1" t="s">
        <v>1664</v>
      </c>
      <c r="C105" s="1" t="s">
        <v>942</v>
      </c>
      <c r="D105" s="1" t="s">
        <v>258</v>
      </c>
      <c r="E105" s="1" t="s">
        <v>942</v>
      </c>
      <c r="F105" s="8">
        <v>83</v>
      </c>
      <c r="G105" s="8" t="s">
        <v>2874</v>
      </c>
      <c r="H105" s="22"/>
      <c r="U105" s="55"/>
    </row>
    <row r="106" spans="1:21" x14ac:dyDescent="0.35">
      <c r="B106" s="1" t="s">
        <v>1664</v>
      </c>
      <c r="C106" s="1" t="s">
        <v>938</v>
      </c>
      <c r="D106" s="1" t="s">
        <v>258</v>
      </c>
      <c r="E106" s="1" t="s">
        <v>938</v>
      </c>
      <c r="F106" s="8">
        <v>83</v>
      </c>
      <c r="G106" s="8" t="s">
        <v>2875</v>
      </c>
      <c r="H106" s="22"/>
      <c r="U106" s="55"/>
    </row>
    <row r="107" spans="1:21" x14ac:dyDescent="0.35">
      <c r="B107" s="1" t="s">
        <v>1664</v>
      </c>
      <c r="C107" s="1" t="s">
        <v>941</v>
      </c>
      <c r="D107" s="1" t="s">
        <v>258</v>
      </c>
      <c r="E107" s="1" t="s">
        <v>941</v>
      </c>
      <c r="F107" s="8">
        <v>83</v>
      </c>
      <c r="G107" s="8" t="s">
        <v>2876</v>
      </c>
      <c r="H107" s="22"/>
      <c r="U107" s="55"/>
    </row>
    <row r="108" spans="1:21" x14ac:dyDescent="0.35">
      <c r="F108" s="8"/>
      <c r="G108" s="8"/>
      <c r="H108" s="22"/>
      <c r="U108" s="55"/>
    </row>
    <row r="109" spans="1:21" x14ac:dyDescent="0.35">
      <c r="A109" s="1" t="s">
        <v>1633</v>
      </c>
      <c r="B109" s="1" t="s">
        <v>1673</v>
      </c>
      <c r="C109" s="1" t="s">
        <v>372</v>
      </c>
      <c r="D109" s="1" t="s">
        <v>266</v>
      </c>
      <c r="E109" s="1" t="s">
        <v>372</v>
      </c>
      <c r="F109" s="8">
        <v>63</v>
      </c>
      <c r="G109" s="8" t="s">
        <v>2877</v>
      </c>
      <c r="H109" s="22"/>
      <c r="U109" s="55"/>
    </row>
    <row r="110" spans="1:21" x14ac:dyDescent="0.35">
      <c r="B110" s="1" t="s">
        <v>1673</v>
      </c>
      <c r="C110" s="1" t="s">
        <v>669</v>
      </c>
      <c r="D110" s="1" t="s">
        <v>266</v>
      </c>
      <c r="E110" s="1" t="s">
        <v>669</v>
      </c>
      <c r="F110" s="8">
        <v>63</v>
      </c>
      <c r="G110" s="8" t="s">
        <v>2878</v>
      </c>
      <c r="H110" s="22"/>
      <c r="U110" s="55"/>
    </row>
    <row r="111" spans="1:21" x14ac:dyDescent="0.35">
      <c r="B111" s="1" t="s">
        <v>1673</v>
      </c>
      <c r="C111" s="1" t="s">
        <v>396</v>
      </c>
      <c r="D111" s="1" t="s">
        <v>266</v>
      </c>
      <c r="E111" s="1" t="s">
        <v>396</v>
      </c>
      <c r="F111" s="8">
        <v>63</v>
      </c>
      <c r="G111" s="8" t="s">
        <v>2879</v>
      </c>
      <c r="H111" s="22"/>
      <c r="U111" s="55"/>
    </row>
    <row r="112" spans="1:21" x14ac:dyDescent="0.35">
      <c r="B112" s="1" t="s">
        <v>1673</v>
      </c>
      <c r="C112" s="1" t="s">
        <v>372</v>
      </c>
      <c r="D112" s="1" t="s">
        <v>186</v>
      </c>
      <c r="E112" s="1" t="s">
        <v>372</v>
      </c>
      <c r="F112" s="8">
        <v>74</v>
      </c>
      <c r="G112" s="8" t="s">
        <v>2880</v>
      </c>
      <c r="H112" s="22"/>
      <c r="U112" s="55"/>
    </row>
    <row r="113" spans="1:21" x14ac:dyDescent="0.35">
      <c r="B113" s="1" t="s">
        <v>1673</v>
      </c>
      <c r="C113" s="1" t="s">
        <v>374</v>
      </c>
      <c r="D113" s="1" t="s">
        <v>186</v>
      </c>
      <c r="E113" s="1" t="s">
        <v>374</v>
      </c>
      <c r="F113" s="8">
        <v>74</v>
      </c>
      <c r="G113" s="8" t="s">
        <v>2881</v>
      </c>
      <c r="H113" s="22"/>
      <c r="U113" s="55"/>
    </row>
    <row r="114" spans="1:21" x14ac:dyDescent="0.35">
      <c r="B114" s="1" t="s">
        <v>1673</v>
      </c>
      <c r="C114" s="1" t="s">
        <v>375</v>
      </c>
      <c r="D114" s="1" t="s">
        <v>186</v>
      </c>
      <c r="E114" s="1" t="s">
        <v>375</v>
      </c>
      <c r="F114" s="8">
        <v>74</v>
      </c>
      <c r="G114" s="8" t="s">
        <v>2882</v>
      </c>
      <c r="H114" s="22"/>
      <c r="U114" s="55"/>
    </row>
    <row r="115" spans="1:21" x14ac:dyDescent="0.35">
      <c r="B115" s="1" t="s">
        <v>1673</v>
      </c>
      <c r="C115" s="1" t="s">
        <v>376</v>
      </c>
      <c r="D115" s="1" t="s">
        <v>186</v>
      </c>
      <c r="E115" s="1" t="s">
        <v>376</v>
      </c>
      <c r="F115" s="8">
        <v>74</v>
      </c>
      <c r="G115" s="8" t="s">
        <v>2883</v>
      </c>
      <c r="H115" s="22"/>
      <c r="U115" s="55"/>
    </row>
    <row r="116" spans="1:21" x14ac:dyDescent="0.35">
      <c r="B116" s="1" t="s">
        <v>1673</v>
      </c>
      <c r="C116" s="1" t="s">
        <v>684</v>
      </c>
      <c r="D116" s="1" t="s">
        <v>266</v>
      </c>
      <c r="E116" s="1" t="s">
        <v>684</v>
      </c>
      <c r="F116" s="8">
        <v>63</v>
      </c>
      <c r="G116" s="8" t="s">
        <v>2884</v>
      </c>
      <c r="H116" s="22"/>
      <c r="U116" s="55"/>
    </row>
    <row r="117" spans="1:21" x14ac:dyDescent="0.35">
      <c r="B117" s="1" t="s">
        <v>1673</v>
      </c>
      <c r="C117" s="1" t="s">
        <v>705</v>
      </c>
      <c r="D117" s="1" t="s">
        <v>186</v>
      </c>
      <c r="E117" s="1" t="s">
        <v>705</v>
      </c>
      <c r="F117" s="8">
        <v>74</v>
      </c>
      <c r="G117" s="8" t="s">
        <v>2885</v>
      </c>
      <c r="H117" s="22"/>
      <c r="U117" s="55"/>
    </row>
    <row r="118" spans="1:21" x14ac:dyDescent="0.35">
      <c r="B118" s="1" t="s">
        <v>1673</v>
      </c>
      <c r="C118" s="1" t="s">
        <v>704</v>
      </c>
      <c r="D118" s="1" t="s">
        <v>186</v>
      </c>
      <c r="E118" s="1" t="s">
        <v>704</v>
      </c>
      <c r="F118" s="8">
        <v>74</v>
      </c>
      <c r="G118" s="8" t="s">
        <v>2886</v>
      </c>
      <c r="H118" s="22"/>
      <c r="U118" s="55"/>
    </row>
    <row r="119" spans="1:21" x14ac:dyDescent="0.35">
      <c r="F119" s="8"/>
      <c r="G119" s="8"/>
      <c r="H119" s="22"/>
      <c r="U119" s="55"/>
    </row>
    <row r="120" spans="1:21" x14ac:dyDescent="0.35">
      <c r="A120" s="1" t="s">
        <v>1634</v>
      </c>
      <c r="B120" s="1" t="s">
        <v>1825</v>
      </c>
      <c r="C120" s="1" t="s">
        <v>350</v>
      </c>
      <c r="D120" s="1" t="s">
        <v>275</v>
      </c>
      <c r="E120" s="1" t="s">
        <v>350</v>
      </c>
      <c r="F120" s="8">
        <v>106</v>
      </c>
      <c r="G120" s="8" t="s">
        <v>2887</v>
      </c>
      <c r="H120" s="22"/>
      <c r="U120" s="55"/>
    </row>
    <row r="121" spans="1:21" x14ac:dyDescent="0.35">
      <c r="B121" s="1" t="s">
        <v>1825</v>
      </c>
      <c r="C121" s="1" t="s">
        <v>1048</v>
      </c>
      <c r="D121" s="1" t="s">
        <v>275</v>
      </c>
      <c r="E121" s="1" t="s">
        <v>1048</v>
      </c>
      <c r="F121" s="8">
        <v>106</v>
      </c>
      <c r="G121" s="8" t="s">
        <v>2888</v>
      </c>
      <c r="H121" s="22"/>
      <c r="U121" s="55"/>
    </row>
    <row r="122" spans="1:21" x14ac:dyDescent="0.35">
      <c r="B122" s="1" t="s">
        <v>1825</v>
      </c>
      <c r="C122" s="1" t="s">
        <v>464</v>
      </c>
      <c r="D122" s="1" t="s">
        <v>275</v>
      </c>
      <c r="E122" s="1" t="s">
        <v>464</v>
      </c>
      <c r="F122" s="8">
        <v>106</v>
      </c>
      <c r="G122" s="8" t="s">
        <v>2889</v>
      </c>
      <c r="H122" s="22"/>
      <c r="U122" s="55"/>
    </row>
    <row r="123" spans="1:21" x14ac:dyDescent="0.35">
      <c r="B123" s="1" t="s">
        <v>1825</v>
      </c>
      <c r="C123" s="1" t="s">
        <v>465</v>
      </c>
      <c r="D123" s="1" t="s">
        <v>275</v>
      </c>
      <c r="E123" s="1" t="s">
        <v>465</v>
      </c>
      <c r="F123" s="8">
        <v>106</v>
      </c>
      <c r="G123" s="8" t="s">
        <v>2890</v>
      </c>
      <c r="H123" s="22"/>
      <c r="U123" s="55"/>
    </row>
    <row r="124" spans="1:21" x14ac:dyDescent="0.35">
      <c r="B124" s="1" t="s">
        <v>1825</v>
      </c>
      <c r="C124" s="1" t="s">
        <v>1051</v>
      </c>
      <c r="D124" s="1" t="s">
        <v>275</v>
      </c>
      <c r="E124" s="1" t="s">
        <v>1051</v>
      </c>
      <c r="F124" s="8">
        <v>106</v>
      </c>
      <c r="G124" s="8" t="s">
        <v>2891</v>
      </c>
      <c r="H124" s="22"/>
      <c r="U124" s="55"/>
    </row>
    <row r="125" spans="1:21" x14ac:dyDescent="0.35">
      <c r="F125" s="8"/>
      <c r="G125" s="8"/>
      <c r="H125" s="22"/>
      <c r="U125" s="55"/>
    </row>
    <row r="126" spans="1:21" x14ac:dyDescent="0.35">
      <c r="A126" s="1" t="s">
        <v>1716</v>
      </c>
      <c r="B126" s="1" t="s">
        <v>1683</v>
      </c>
      <c r="C126" s="1" t="s">
        <v>349</v>
      </c>
      <c r="D126" s="1" t="s">
        <v>282</v>
      </c>
      <c r="E126" s="1" t="s">
        <v>349</v>
      </c>
      <c r="F126" s="8">
        <v>41</v>
      </c>
      <c r="G126" s="8" t="s">
        <v>2892</v>
      </c>
      <c r="H126" s="22"/>
      <c r="U126" s="55"/>
    </row>
    <row r="127" spans="1:21" x14ac:dyDescent="0.35">
      <c r="B127" s="1" t="s">
        <v>1683</v>
      </c>
      <c r="C127" s="1" t="s">
        <v>349</v>
      </c>
      <c r="D127" s="1" t="s">
        <v>214</v>
      </c>
      <c r="E127" s="1" t="s">
        <v>349</v>
      </c>
      <c r="F127" s="8">
        <v>42</v>
      </c>
      <c r="G127" s="8" t="s">
        <v>2892</v>
      </c>
      <c r="H127" s="22"/>
      <c r="U127" s="55"/>
    </row>
    <row r="128" spans="1:21" x14ac:dyDescent="0.35">
      <c r="B128" s="1" t="s">
        <v>1683</v>
      </c>
      <c r="C128" s="1" t="s">
        <v>352</v>
      </c>
      <c r="D128" s="1" t="s">
        <v>214</v>
      </c>
      <c r="E128" s="1" t="s">
        <v>352</v>
      </c>
      <c r="F128" s="8">
        <v>42</v>
      </c>
      <c r="G128" s="8" t="s">
        <v>2893</v>
      </c>
      <c r="H128" s="22"/>
      <c r="U128" s="55"/>
    </row>
    <row r="129" spans="1:25" x14ac:dyDescent="0.35">
      <c r="B129" s="1" t="s">
        <v>1683</v>
      </c>
      <c r="C129" s="1" t="s">
        <v>637</v>
      </c>
      <c r="D129" s="1" t="s">
        <v>214</v>
      </c>
      <c r="E129" s="1" t="s">
        <v>637</v>
      </c>
      <c r="F129" s="8">
        <v>42</v>
      </c>
      <c r="G129" s="8" t="s">
        <v>2894</v>
      </c>
      <c r="H129" s="22"/>
      <c r="U129" s="55"/>
    </row>
    <row r="130" spans="1:25" x14ac:dyDescent="0.35">
      <c r="B130" s="1" t="s">
        <v>1683</v>
      </c>
      <c r="C130" s="1" t="s">
        <v>349</v>
      </c>
      <c r="D130" s="1" t="s">
        <v>255</v>
      </c>
      <c r="E130" s="1" t="s">
        <v>349</v>
      </c>
      <c r="F130" s="8">
        <v>113</v>
      </c>
      <c r="G130" s="8" t="s">
        <v>2892</v>
      </c>
      <c r="H130" s="22"/>
      <c r="U130" s="55"/>
    </row>
    <row r="131" spans="1:25" x14ac:dyDescent="0.35">
      <c r="B131" s="1" t="s">
        <v>1683</v>
      </c>
      <c r="C131" s="1" t="s">
        <v>349</v>
      </c>
      <c r="D131" s="1" t="s">
        <v>255</v>
      </c>
      <c r="E131" s="1" t="s">
        <v>351</v>
      </c>
      <c r="F131" s="8">
        <v>113</v>
      </c>
      <c r="G131" s="8" t="s">
        <v>2892</v>
      </c>
      <c r="H131" s="22"/>
      <c r="U131" s="55"/>
    </row>
    <row r="132" spans="1:25" x14ac:dyDescent="0.35">
      <c r="B132" s="1" t="s">
        <v>1683</v>
      </c>
      <c r="C132" s="1" t="s">
        <v>352</v>
      </c>
      <c r="D132" s="1" t="s">
        <v>255</v>
      </c>
      <c r="E132" s="1" t="s">
        <v>352</v>
      </c>
      <c r="F132" s="8">
        <v>113</v>
      </c>
      <c r="G132" s="8" t="s">
        <v>2893</v>
      </c>
      <c r="H132" s="22"/>
      <c r="U132" s="55"/>
    </row>
    <row r="133" spans="1:25" x14ac:dyDescent="0.35">
      <c r="B133" s="1" t="s">
        <v>1683</v>
      </c>
      <c r="C133" s="1" t="s">
        <v>439</v>
      </c>
      <c r="D133" s="1" t="s">
        <v>255</v>
      </c>
      <c r="E133" s="1" t="s">
        <v>439</v>
      </c>
      <c r="F133" s="8">
        <v>113</v>
      </c>
      <c r="G133" s="8" t="s">
        <v>2895</v>
      </c>
      <c r="H133" s="22"/>
      <c r="U133" s="55"/>
    </row>
    <row r="134" spans="1:25" x14ac:dyDescent="0.35">
      <c r="B134" s="1" t="s">
        <v>1683</v>
      </c>
      <c r="C134" s="1" t="s">
        <v>412</v>
      </c>
      <c r="D134" s="1" t="s">
        <v>255</v>
      </c>
      <c r="E134" s="1" t="s">
        <v>412</v>
      </c>
      <c r="F134" s="8">
        <v>113</v>
      </c>
      <c r="G134" s="8" t="s">
        <v>2896</v>
      </c>
      <c r="H134" s="22"/>
      <c r="U134" s="55"/>
    </row>
    <row r="135" spans="1:25" x14ac:dyDescent="0.35">
      <c r="B135" s="1" t="s">
        <v>1683</v>
      </c>
      <c r="C135" s="1" t="s">
        <v>435</v>
      </c>
      <c r="D135" s="1" t="s">
        <v>255</v>
      </c>
      <c r="E135" s="1" t="s">
        <v>435</v>
      </c>
      <c r="F135" s="8">
        <v>113</v>
      </c>
      <c r="G135" s="8" t="s">
        <v>2897</v>
      </c>
      <c r="H135" s="22"/>
      <c r="U135" s="55"/>
    </row>
    <row r="136" spans="1:25" x14ac:dyDescent="0.35">
      <c r="F136" s="8"/>
      <c r="G136" s="8"/>
      <c r="H136" s="22"/>
      <c r="U136" s="55"/>
    </row>
    <row r="137" spans="1:25" x14ac:dyDescent="0.35">
      <c r="A137" s="1" t="s">
        <v>1519</v>
      </c>
      <c r="B137" s="1" t="s">
        <v>1688</v>
      </c>
      <c r="C137" s="1" t="s">
        <v>369</v>
      </c>
      <c r="D137" s="1" t="s">
        <v>225</v>
      </c>
      <c r="E137" s="1" t="s">
        <v>369</v>
      </c>
      <c r="F137" s="8">
        <v>51</v>
      </c>
      <c r="G137" s="8" t="s">
        <v>2898</v>
      </c>
      <c r="H137" s="22"/>
      <c r="U137" s="55"/>
    </row>
    <row r="138" spans="1:25" x14ac:dyDescent="0.35">
      <c r="B138" s="1" t="s">
        <v>1688</v>
      </c>
      <c r="C138" s="1" t="s">
        <v>654</v>
      </c>
      <c r="D138" s="1" t="s">
        <v>225</v>
      </c>
      <c r="E138" s="1" t="s">
        <v>654</v>
      </c>
      <c r="F138" s="8">
        <v>51</v>
      </c>
      <c r="G138" s="8" t="s">
        <v>2899</v>
      </c>
      <c r="H138" s="22"/>
      <c r="U138" s="55"/>
    </row>
    <row r="139" spans="1:25" x14ac:dyDescent="0.35">
      <c r="B139" s="1" t="s">
        <v>1688</v>
      </c>
      <c r="C139" s="1" t="s">
        <v>659</v>
      </c>
      <c r="D139" s="1" t="s">
        <v>225</v>
      </c>
      <c r="E139" s="1" t="s">
        <v>659</v>
      </c>
      <c r="F139" s="8">
        <v>51</v>
      </c>
      <c r="G139" s="8" t="s">
        <v>2900</v>
      </c>
      <c r="H139" s="22"/>
      <c r="U139" s="55"/>
    </row>
    <row r="140" spans="1:25" x14ac:dyDescent="0.35">
      <c r="B140" s="1" t="s">
        <v>1688</v>
      </c>
      <c r="C140" s="1" t="s">
        <v>374</v>
      </c>
      <c r="D140" s="1" t="s">
        <v>248</v>
      </c>
      <c r="E140" s="1" t="s">
        <v>374</v>
      </c>
      <c r="F140" s="8">
        <v>75</v>
      </c>
      <c r="G140" s="8" t="s">
        <v>2901</v>
      </c>
      <c r="H140" s="22"/>
      <c r="U140" s="55"/>
    </row>
    <row r="141" spans="1:25" x14ac:dyDescent="0.35">
      <c r="B141" s="1" t="s">
        <v>1688</v>
      </c>
      <c r="C141" s="1" t="s">
        <v>369</v>
      </c>
      <c r="D141" s="1" t="s">
        <v>248</v>
      </c>
      <c r="E141" s="1" t="s">
        <v>369</v>
      </c>
      <c r="F141" s="8">
        <v>75</v>
      </c>
      <c r="G141" s="8" t="s">
        <v>2898</v>
      </c>
      <c r="H141" s="22"/>
      <c r="U141" s="55"/>
    </row>
    <row r="142" spans="1:25" x14ac:dyDescent="0.35">
      <c r="B142" s="1" t="s">
        <v>1688</v>
      </c>
      <c r="C142" s="1" t="s">
        <v>889</v>
      </c>
      <c r="D142" s="1" t="s">
        <v>248</v>
      </c>
      <c r="E142" s="1" t="s">
        <v>889</v>
      </c>
      <c r="F142" s="8">
        <v>75</v>
      </c>
      <c r="G142" s="8" t="s">
        <v>2902</v>
      </c>
      <c r="H142" s="22"/>
      <c r="U142" s="55"/>
    </row>
    <row r="143" spans="1:25" x14ac:dyDescent="0.35">
      <c r="F143" s="8"/>
      <c r="G143" s="8"/>
      <c r="H143" s="22"/>
      <c r="U143" s="55"/>
    </row>
    <row r="144" spans="1:25" x14ac:dyDescent="0.35">
      <c r="A144" s="1" t="s">
        <v>1717</v>
      </c>
      <c r="B144" s="1" t="s">
        <v>1693</v>
      </c>
      <c r="C144" s="1" t="s">
        <v>370</v>
      </c>
      <c r="D144" s="1" t="s">
        <v>281</v>
      </c>
      <c r="E144" s="1" t="s">
        <v>370</v>
      </c>
      <c r="F144" s="8">
        <v>91</v>
      </c>
      <c r="G144" s="8" t="s">
        <v>2903</v>
      </c>
      <c r="H144" s="22"/>
      <c r="U144" s="55"/>
      <c r="V144" s="57"/>
      <c r="W144" s="57"/>
      <c r="X144" s="57"/>
      <c r="Y144" s="65"/>
    </row>
    <row r="145" spans="1:25" x14ac:dyDescent="0.35">
      <c r="B145" s="1" t="s">
        <v>1693</v>
      </c>
      <c r="C145" s="1" t="s">
        <v>944</v>
      </c>
      <c r="D145" s="1" t="s">
        <v>281</v>
      </c>
      <c r="E145" s="1" t="s">
        <v>944</v>
      </c>
      <c r="F145" s="8">
        <v>91</v>
      </c>
      <c r="G145" s="8" t="s">
        <v>2904</v>
      </c>
      <c r="H145" s="22"/>
      <c r="U145" s="55"/>
      <c r="V145" s="57"/>
      <c r="W145" s="57"/>
      <c r="X145" s="57"/>
      <c r="Y145" s="65"/>
    </row>
    <row r="146" spans="1:25" x14ac:dyDescent="0.35">
      <c r="B146" s="1" t="s">
        <v>1693</v>
      </c>
      <c r="C146" s="1" t="s">
        <v>946</v>
      </c>
      <c r="D146" s="1" t="s">
        <v>281</v>
      </c>
      <c r="E146" s="1" t="s">
        <v>946</v>
      </c>
      <c r="F146" s="8">
        <v>91</v>
      </c>
      <c r="G146" s="8" t="s">
        <v>2905</v>
      </c>
      <c r="H146" s="22"/>
      <c r="U146" s="55"/>
      <c r="V146" s="57"/>
      <c r="W146" s="57"/>
      <c r="X146" s="57"/>
      <c r="Y146" s="65"/>
    </row>
    <row r="147" spans="1:25" x14ac:dyDescent="0.35">
      <c r="B147" s="1" t="s">
        <v>1693</v>
      </c>
      <c r="C147" s="1" t="s">
        <v>951</v>
      </c>
      <c r="D147" s="1" t="s">
        <v>281</v>
      </c>
      <c r="E147" s="1" t="s">
        <v>951</v>
      </c>
      <c r="F147" s="8">
        <v>91</v>
      </c>
      <c r="G147" s="8" t="s">
        <v>2906</v>
      </c>
      <c r="H147" s="22"/>
      <c r="U147" s="55"/>
    </row>
    <row r="148" spans="1:25" x14ac:dyDescent="0.35">
      <c r="B148" s="1" t="s">
        <v>1693</v>
      </c>
      <c r="C148" s="1" t="s">
        <v>370</v>
      </c>
      <c r="D148" s="1" t="s">
        <v>251</v>
      </c>
      <c r="E148" s="1" t="s">
        <v>370</v>
      </c>
      <c r="F148" s="8">
        <v>92</v>
      </c>
      <c r="G148" s="8" t="s">
        <v>2903</v>
      </c>
      <c r="H148" s="22"/>
      <c r="U148" s="55"/>
    </row>
    <row r="149" spans="1:25" x14ac:dyDescent="0.35">
      <c r="B149" s="1" t="s">
        <v>1693</v>
      </c>
      <c r="C149" s="1" t="s">
        <v>371</v>
      </c>
      <c r="D149" s="1" t="s">
        <v>251</v>
      </c>
      <c r="E149" s="1" t="s">
        <v>371</v>
      </c>
      <c r="F149" s="8">
        <v>92</v>
      </c>
      <c r="G149" s="8" t="s">
        <v>2907</v>
      </c>
      <c r="H149" s="22"/>
      <c r="U149" s="55"/>
    </row>
    <row r="150" spans="1:25" x14ac:dyDescent="0.35">
      <c r="B150" s="1" t="s">
        <v>1693</v>
      </c>
      <c r="C150" s="1" t="s">
        <v>954</v>
      </c>
      <c r="D150" s="1" t="s">
        <v>251</v>
      </c>
      <c r="E150" s="1" t="s">
        <v>954</v>
      </c>
      <c r="F150" s="8">
        <v>92</v>
      </c>
      <c r="G150" s="8" t="s">
        <v>2908</v>
      </c>
      <c r="H150" s="22"/>
      <c r="U150" s="55"/>
    </row>
    <row r="151" spans="1:25" x14ac:dyDescent="0.35">
      <c r="B151" s="1" t="s">
        <v>1693</v>
      </c>
      <c r="C151" s="1" t="s">
        <v>350</v>
      </c>
      <c r="D151" s="1" t="s">
        <v>252</v>
      </c>
      <c r="E151" s="1" t="s">
        <v>350</v>
      </c>
      <c r="F151" s="8">
        <v>103</v>
      </c>
      <c r="G151" s="8" t="s">
        <v>2909</v>
      </c>
      <c r="H151" s="22"/>
      <c r="U151" s="55"/>
    </row>
    <row r="152" spans="1:25" x14ac:dyDescent="0.35">
      <c r="B152" s="1" t="s">
        <v>1693</v>
      </c>
      <c r="C152" s="1" t="s">
        <v>432</v>
      </c>
      <c r="D152" s="1" t="s">
        <v>252</v>
      </c>
      <c r="E152" s="1" t="s">
        <v>432</v>
      </c>
      <c r="F152" s="8">
        <v>103</v>
      </c>
      <c r="G152" s="8" t="s">
        <v>2910</v>
      </c>
      <c r="H152" s="22"/>
    </row>
    <row r="153" spans="1:25" x14ac:dyDescent="0.35">
      <c r="B153" s="1" t="s">
        <v>1693</v>
      </c>
      <c r="C153" s="1" t="s">
        <v>412</v>
      </c>
      <c r="D153" s="1" t="s">
        <v>252</v>
      </c>
      <c r="E153" s="1" t="s">
        <v>412</v>
      </c>
      <c r="F153" s="8">
        <v>103</v>
      </c>
      <c r="G153" s="8" t="s">
        <v>2911</v>
      </c>
      <c r="H153" s="22"/>
    </row>
    <row r="154" spans="1:25" x14ac:dyDescent="0.35">
      <c r="B154" s="1" t="s">
        <v>1693</v>
      </c>
      <c r="C154" s="1" t="s">
        <v>435</v>
      </c>
      <c r="D154" s="1" t="s">
        <v>252</v>
      </c>
      <c r="E154" s="1" t="s">
        <v>435</v>
      </c>
      <c r="F154" s="8">
        <v>103</v>
      </c>
      <c r="G154" s="8" t="s">
        <v>2912</v>
      </c>
      <c r="H154" s="22"/>
    </row>
    <row r="155" spans="1:25" x14ac:dyDescent="0.35">
      <c r="B155" s="1" t="s">
        <v>1693</v>
      </c>
      <c r="C155" s="1" t="s">
        <v>370</v>
      </c>
      <c r="D155" s="1" t="s">
        <v>252</v>
      </c>
      <c r="E155" s="1" t="s">
        <v>370</v>
      </c>
      <c r="F155" s="8">
        <v>103</v>
      </c>
      <c r="G155" s="8" t="s">
        <v>2903</v>
      </c>
      <c r="H155" s="22"/>
    </row>
    <row r="156" spans="1:25" x14ac:dyDescent="0.35">
      <c r="B156" s="1" t="s">
        <v>1693</v>
      </c>
      <c r="C156" s="1" t="s">
        <v>370</v>
      </c>
      <c r="D156" s="1" t="s">
        <v>252</v>
      </c>
      <c r="E156" s="1" t="s">
        <v>419</v>
      </c>
      <c r="F156" s="8">
        <v>103</v>
      </c>
      <c r="G156" s="8" t="s">
        <v>2903</v>
      </c>
      <c r="H156" s="22"/>
    </row>
    <row r="157" spans="1:25" x14ac:dyDescent="0.35">
      <c r="B157" s="1" t="s">
        <v>1693</v>
      </c>
      <c r="C157" s="1" t="s">
        <v>371</v>
      </c>
      <c r="D157" s="1" t="s">
        <v>252</v>
      </c>
      <c r="E157" s="1" t="s">
        <v>371</v>
      </c>
      <c r="F157" s="8">
        <v>103</v>
      </c>
      <c r="G157" s="8" t="s">
        <v>2907</v>
      </c>
      <c r="H157" s="22"/>
    </row>
    <row r="158" spans="1:25" x14ac:dyDescent="0.35">
      <c r="F158" s="8"/>
      <c r="G158" s="8"/>
      <c r="H158" s="22"/>
    </row>
    <row r="159" spans="1:25" x14ac:dyDescent="0.35">
      <c r="A159" s="1" t="s">
        <v>1714</v>
      </c>
      <c r="B159" s="1" t="s">
        <v>1700</v>
      </c>
      <c r="C159" s="1" t="s">
        <v>370</v>
      </c>
      <c r="D159" s="1" t="s">
        <v>281</v>
      </c>
      <c r="E159" s="1" t="s">
        <v>370</v>
      </c>
      <c r="F159" s="8">
        <v>91</v>
      </c>
      <c r="G159" s="8" t="s">
        <v>2913</v>
      </c>
      <c r="H159" s="22"/>
    </row>
    <row r="160" spans="1:25" x14ac:dyDescent="0.35">
      <c r="B160" s="1" t="s">
        <v>1700</v>
      </c>
      <c r="C160" s="1" t="s">
        <v>944</v>
      </c>
      <c r="D160" s="1" t="s">
        <v>281</v>
      </c>
      <c r="E160" s="1" t="s">
        <v>944</v>
      </c>
      <c r="F160" s="8">
        <v>91</v>
      </c>
      <c r="G160" s="8" t="s">
        <v>2914</v>
      </c>
      <c r="H160" s="22"/>
    </row>
    <row r="161" spans="1:8" x14ac:dyDescent="0.35">
      <c r="B161" s="1" t="s">
        <v>1700</v>
      </c>
      <c r="C161" s="1" t="s">
        <v>1029</v>
      </c>
      <c r="D161" s="1" t="s">
        <v>253</v>
      </c>
      <c r="E161" s="1" t="s">
        <v>1029</v>
      </c>
      <c r="F161" s="8" t="s">
        <v>2954</v>
      </c>
      <c r="G161" s="8" t="s">
        <v>2915</v>
      </c>
      <c r="H161" s="22"/>
    </row>
    <row r="162" spans="1:8" x14ac:dyDescent="0.35">
      <c r="B162" s="1" t="s">
        <v>1700</v>
      </c>
      <c r="C162" s="1" t="s">
        <v>951</v>
      </c>
      <c r="D162" s="1" t="s">
        <v>281</v>
      </c>
      <c r="E162" s="1" t="s">
        <v>951</v>
      </c>
      <c r="F162" s="8">
        <v>91</v>
      </c>
      <c r="G162" s="8" t="s">
        <v>2916</v>
      </c>
      <c r="H162" s="22"/>
    </row>
    <row r="163" spans="1:8" x14ac:dyDescent="0.35">
      <c r="B163" s="1" t="s">
        <v>1700</v>
      </c>
      <c r="C163" s="1" t="s">
        <v>370</v>
      </c>
      <c r="D163" s="1" t="s">
        <v>253</v>
      </c>
      <c r="E163" s="1" t="s">
        <v>370</v>
      </c>
      <c r="F163" s="1" t="s">
        <v>2954</v>
      </c>
      <c r="G163" s="1" t="s">
        <v>2913</v>
      </c>
      <c r="H163" s="22"/>
    </row>
    <row r="164" spans="1:8" x14ac:dyDescent="0.35">
      <c r="B164" s="1" t="s">
        <v>1700</v>
      </c>
      <c r="C164" s="1" t="s">
        <v>350</v>
      </c>
      <c r="D164" s="1" t="s">
        <v>253</v>
      </c>
      <c r="E164" s="1" t="s">
        <v>350</v>
      </c>
      <c r="F164" s="8" t="s">
        <v>2954</v>
      </c>
      <c r="G164" s="8" t="s">
        <v>2917</v>
      </c>
      <c r="H164" s="22"/>
    </row>
    <row r="165" spans="1:8" x14ac:dyDescent="0.35">
      <c r="B165" s="1" t="s">
        <v>1700</v>
      </c>
      <c r="C165" s="1" t="s">
        <v>432</v>
      </c>
      <c r="D165" s="1" t="s">
        <v>253</v>
      </c>
      <c r="E165" s="1" t="s">
        <v>432</v>
      </c>
      <c r="F165" s="8" t="s">
        <v>2954</v>
      </c>
      <c r="G165" s="8" t="s">
        <v>2918</v>
      </c>
      <c r="H165" s="22"/>
    </row>
    <row r="166" spans="1:8" x14ac:dyDescent="0.35">
      <c r="B166" s="1" t="s">
        <v>1700</v>
      </c>
      <c r="C166" s="1" t="s">
        <v>412</v>
      </c>
      <c r="D166" s="1" t="s">
        <v>253</v>
      </c>
      <c r="E166" s="1" t="s">
        <v>412</v>
      </c>
      <c r="F166" s="8" t="s">
        <v>2954</v>
      </c>
      <c r="G166" s="8" t="s">
        <v>2955</v>
      </c>
      <c r="H166" s="22"/>
    </row>
    <row r="167" spans="1:8" x14ac:dyDescent="0.35">
      <c r="B167" s="1" t="s">
        <v>1700</v>
      </c>
      <c r="C167" s="1" t="s">
        <v>435</v>
      </c>
      <c r="D167" s="1" t="s">
        <v>253</v>
      </c>
      <c r="E167" s="1" t="s">
        <v>435</v>
      </c>
      <c r="F167" s="8" t="s">
        <v>2954</v>
      </c>
      <c r="G167" s="8" t="s">
        <v>2956</v>
      </c>
      <c r="H167" s="22"/>
    </row>
    <row r="168" spans="1:8" x14ac:dyDescent="0.35">
      <c r="B168" s="1" t="s">
        <v>2944</v>
      </c>
      <c r="C168" s="1" t="s">
        <v>370</v>
      </c>
      <c r="D168" s="1" t="s">
        <v>236</v>
      </c>
      <c r="E168" s="1" t="s">
        <v>370</v>
      </c>
      <c r="F168" s="8">
        <v>94</v>
      </c>
      <c r="G168" s="8" t="s">
        <v>2948</v>
      </c>
      <c r="H168" s="22"/>
    </row>
    <row r="169" spans="1:8" x14ac:dyDescent="0.35">
      <c r="B169" s="1" t="s">
        <v>2944</v>
      </c>
      <c r="C169" s="1" t="s">
        <v>427</v>
      </c>
      <c r="D169" s="1" t="s">
        <v>236</v>
      </c>
      <c r="E169" s="1" t="s">
        <v>427</v>
      </c>
      <c r="F169" s="8">
        <v>94</v>
      </c>
      <c r="G169" s="8" t="s">
        <v>2949</v>
      </c>
      <c r="H169" s="22"/>
    </row>
    <row r="170" spans="1:8" x14ac:dyDescent="0.35">
      <c r="B170" s="1" t="s">
        <v>2944</v>
      </c>
      <c r="C170" s="1" t="s">
        <v>428</v>
      </c>
      <c r="D170" s="1" t="s">
        <v>236</v>
      </c>
      <c r="E170" s="1" t="s">
        <v>428</v>
      </c>
      <c r="F170" s="8">
        <v>94</v>
      </c>
      <c r="G170" s="8" t="s">
        <v>2950</v>
      </c>
      <c r="H170" s="22"/>
    </row>
    <row r="171" spans="1:8" x14ac:dyDescent="0.35">
      <c r="B171" s="1" t="s">
        <v>2944</v>
      </c>
      <c r="C171" s="1" t="s">
        <v>429</v>
      </c>
      <c r="D171" s="1" t="s">
        <v>236</v>
      </c>
      <c r="E171" s="1" t="s">
        <v>429</v>
      </c>
      <c r="F171" s="8">
        <v>94</v>
      </c>
      <c r="G171" s="8" t="s">
        <v>2951</v>
      </c>
      <c r="H171" s="22"/>
    </row>
    <row r="172" spans="1:8" x14ac:dyDescent="0.35">
      <c r="B172" s="1" t="s">
        <v>2944</v>
      </c>
      <c r="C172" s="1" t="s">
        <v>991</v>
      </c>
      <c r="D172" s="1" t="s">
        <v>236</v>
      </c>
      <c r="E172" s="1" t="s">
        <v>991</v>
      </c>
      <c r="F172" s="8">
        <v>94</v>
      </c>
      <c r="G172" s="8" t="s">
        <v>2952</v>
      </c>
      <c r="H172" s="22"/>
    </row>
    <row r="173" spans="1:8" x14ac:dyDescent="0.35">
      <c r="B173" s="1" t="s">
        <v>2944</v>
      </c>
      <c r="C173" s="1" t="s">
        <v>992</v>
      </c>
      <c r="D173" s="1" t="s">
        <v>236</v>
      </c>
      <c r="E173" s="1" t="s">
        <v>992</v>
      </c>
      <c r="F173" s="8">
        <v>94</v>
      </c>
      <c r="G173" s="8" t="s">
        <v>2953</v>
      </c>
      <c r="H173" s="22"/>
    </row>
    <row r="174" spans="1:8" x14ac:dyDescent="0.35">
      <c r="F174" s="8"/>
      <c r="G174" s="8"/>
      <c r="H174" s="22"/>
    </row>
    <row r="175" spans="1:8" x14ac:dyDescent="0.35">
      <c r="A175" s="1" t="s">
        <v>1630</v>
      </c>
      <c r="B175" s="1" t="s">
        <v>1811</v>
      </c>
      <c r="C175" s="1" t="s">
        <v>876</v>
      </c>
      <c r="D175" s="1" t="s">
        <v>190</v>
      </c>
      <c r="E175" s="1" t="s">
        <v>876</v>
      </c>
      <c r="F175" s="8">
        <v>101</v>
      </c>
      <c r="G175" s="8" t="s">
        <v>2919</v>
      </c>
      <c r="H175" s="22"/>
    </row>
    <row r="176" spans="1:8" x14ac:dyDescent="0.35">
      <c r="B176" s="1" t="s">
        <v>1811</v>
      </c>
      <c r="C176" s="1" t="s">
        <v>833</v>
      </c>
      <c r="D176" s="1" t="s">
        <v>190</v>
      </c>
      <c r="E176" s="1" t="s">
        <v>833</v>
      </c>
      <c r="F176" s="8">
        <v>101</v>
      </c>
      <c r="G176" s="8" t="s">
        <v>2920</v>
      </c>
      <c r="H176" s="22"/>
    </row>
    <row r="177" spans="2:8" x14ac:dyDescent="0.35">
      <c r="B177" s="1" t="s">
        <v>1811</v>
      </c>
      <c r="C177" s="1" t="s">
        <v>832</v>
      </c>
      <c r="D177" s="1" t="s">
        <v>190</v>
      </c>
      <c r="E177" s="1" t="s">
        <v>832</v>
      </c>
      <c r="F177" s="8">
        <v>101</v>
      </c>
      <c r="G177" s="8" t="s">
        <v>2921</v>
      </c>
      <c r="H177" s="22"/>
    </row>
    <row r="178" spans="2:8" x14ac:dyDescent="0.35">
      <c r="B178" s="1" t="s">
        <v>1811</v>
      </c>
      <c r="C178" s="1" t="s">
        <v>847</v>
      </c>
      <c r="D178" s="1" t="s">
        <v>190</v>
      </c>
      <c r="E178" s="1" t="s">
        <v>847</v>
      </c>
      <c r="F178" s="8">
        <v>101</v>
      </c>
      <c r="G178" s="8" t="s">
        <v>2922</v>
      </c>
      <c r="H178" s="22"/>
    </row>
    <row r="179" spans="2:8" x14ac:dyDescent="0.35">
      <c r="B179" s="1" t="s">
        <v>1704</v>
      </c>
      <c r="C179" s="1" t="s">
        <v>381</v>
      </c>
      <c r="D179" s="1" t="s">
        <v>204</v>
      </c>
      <c r="E179" s="1" t="s">
        <v>381</v>
      </c>
      <c r="F179" s="8">
        <v>121</v>
      </c>
      <c r="G179" s="8" t="s">
        <v>2923</v>
      </c>
      <c r="H179" s="22"/>
    </row>
    <row r="180" spans="2:8" x14ac:dyDescent="0.35">
      <c r="B180" s="1" t="s">
        <v>1704</v>
      </c>
      <c r="C180" s="1" t="s">
        <v>1190</v>
      </c>
      <c r="D180" s="1" t="s">
        <v>204</v>
      </c>
      <c r="E180" s="1" t="s">
        <v>1190</v>
      </c>
      <c r="F180" s="8">
        <v>121</v>
      </c>
      <c r="G180" s="8" t="s">
        <v>2924</v>
      </c>
      <c r="H180" s="22"/>
    </row>
    <row r="181" spans="2:8" x14ac:dyDescent="0.35">
      <c r="B181" s="1" t="s">
        <v>1704</v>
      </c>
      <c r="C181" s="1" t="s">
        <v>1191</v>
      </c>
      <c r="D181" s="1" t="s">
        <v>204</v>
      </c>
      <c r="E181" s="1" t="s">
        <v>1191</v>
      </c>
      <c r="F181" s="8">
        <v>121</v>
      </c>
      <c r="G181" s="8" t="s">
        <v>2925</v>
      </c>
      <c r="H181" s="22"/>
    </row>
    <row r="182" spans="2:8" x14ac:dyDescent="0.35">
      <c r="B182" s="1" t="s">
        <v>1705</v>
      </c>
      <c r="C182" s="1" t="s">
        <v>381</v>
      </c>
      <c r="D182" s="1" t="s">
        <v>192</v>
      </c>
      <c r="E182" s="1" t="s">
        <v>381</v>
      </c>
      <c r="F182" s="8">
        <v>122</v>
      </c>
      <c r="G182" s="8" t="s">
        <v>2926</v>
      </c>
      <c r="H182" s="22"/>
    </row>
    <row r="183" spans="2:8" x14ac:dyDescent="0.35">
      <c r="B183" s="1" t="s">
        <v>1705</v>
      </c>
      <c r="C183" s="1" t="s">
        <v>350</v>
      </c>
      <c r="D183" s="1" t="s">
        <v>192</v>
      </c>
      <c r="E183" s="1" t="s">
        <v>350</v>
      </c>
      <c r="F183" s="8">
        <v>122</v>
      </c>
      <c r="G183" s="8" t="s">
        <v>2927</v>
      </c>
      <c r="H183" s="22"/>
    </row>
    <row r="184" spans="2:8" x14ac:dyDescent="0.35">
      <c r="B184" s="1" t="s">
        <v>1705</v>
      </c>
      <c r="C184" s="1" t="s">
        <v>382</v>
      </c>
      <c r="D184" s="1" t="s">
        <v>192</v>
      </c>
      <c r="E184" s="1" t="s">
        <v>382</v>
      </c>
      <c r="F184" s="8">
        <v>122</v>
      </c>
      <c r="G184" s="8" t="s">
        <v>2928</v>
      </c>
      <c r="H184" s="22"/>
    </row>
    <row r="185" spans="2:8" x14ac:dyDescent="0.35">
      <c r="B185" s="1" t="s">
        <v>1705</v>
      </c>
      <c r="C185" s="1" t="s">
        <v>1207</v>
      </c>
      <c r="D185" s="1" t="s">
        <v>192</v>
      </c>
      <c r="E185" s="1" t="s">
        <v>1207</v>
      </c>
      <c r="F185" s="8">
        <v>122</v>
      </c>
      <c r="G185" s="8" t="s">
        <v>2929</v>
      </c>
      <c r="H185" s="22"/>
    </row>
    <row r="186" spans="2:8" x14ac:dyDescent="0.35">
      <c r="B186" s="1" t="s">
        <v>1705</v>
      </c>
      <c r="C186" s="1" t="s">
        <v>1207</v>
      </c>
      <c r="D186" s="1" t="s">
        <v>192</v>
      </c>
      <c r="E186" s="1" t="s">
        <v>1212</v>
      </c>
      <c r="F186" s="8">
        <v>122</v>
      </c>
      <c r="G186" s="8" t="s">
        <v>2929</v>
      </c>
      <c r="H186" s="22"/>
    </row>
    <row r="187" spans="2:8" x14ac:dyDescent="0.35">
      <c r="B187" s="1" t="s">
        <v>1707</v>
      </c>
      <c r="C187" s="1" t="s">
        <v>406</v>
      </c>
      <c r="D187" s="1" t="s">
        <v>209</v>
      </c>
      <c r="E187" s="1" t="s">
        <v>406</v>
      </c>
      <c r="F187" s="8">
        <v>123</v>
      </c>
      <c r="G187" s="8" t="s">
        <v>2930</v>
      </c>
      <c r="H187" s="22"/>
    </row>
    <row r="188" spans="2:8" x14ac:dyDescent="0.35">
      <c r="B188" s="1" t="s">
        <v>1707</v>
      </c>
      <c r="C188" s="1" t="s">
        <v>1219</v>
      </c>
      <c r="D188" s="1" t="s">
        <v>209</v>
      </c>
      <c r="E188" s="1" t="s">
        <v>1219</v>
      </c>
      <c r="F188" s="8">
        <v>123</v>
      </c>
      <c r="G188" s="8" t="s">
        <v>2931</v>
      </c>
      <c r="H188" s="22"/>
    </row>
    <row r="189" spans="2:8" x14ac:dyDescent="0.35">
      <c r="B189" s="1" t="s">
        <v>1707</v>
      </c>
      <c r="C189" s="1" t="s">
        <v>1216</v>
      </c>
      <c r="D189" s="1" t="s">
        <v>209</v>
      </c>
      <c r="E189" s="1" t="s">
        <v>1216</v>
      </c>
      <c r="F189" s="8">
        <v>123</v>
      </c>
      <c r="G189" s="8" t="s">
        <v>2932</v>
      </c>
      <c r="H189" s="22"/>
    </row>
    <row r="190" spans="2:8" x14ac:dyDescent="0.35">
      <c r="B190" s="1" t="s">
        <v>1707</v>
      </c>
      <c r="C190" s="1" t="s">
        <v>406</v>
      </c>
      <c r="D190" s="1" t="s">
        <v>210</v>
      </c>
      <c r="E190" s="1" t="s">
        <v>406</v>
      </c>
      <c r="F190" s="8">
        <v>124</v>
      </c>
      <c r="G190" s="8" t="s">
        <v>2930</v>
      </c>
      <c r="H190" s="22"/>
    </row>
    <row r="191" spans="2:8" x14ac:dyDescent="0.35">
      <c r="B191" s="1" t="s">
        <v>1707</v>
      </c>
      <c r="C191" s="1" t="s">
        <v>407</v>
      </c>
      <c r="D191" s="1" t="s">
        <v>210</v>
      </c>
      <c r="E191" s="1" t="s">
        <v>407</v>
      </c>
      <c r="F191" s="8">
        <v>124</v>
      </c>
      <c r="G191" s="8" t="s">
        <v>2933</v>
      </c>
      <c r="H191" s="22"/>
    </row>
    <row r="192" spans="2:8" x14ac:dyDescent="0.35">
      <c r="B192" s="1" t="s">
        <v>1707</v>
      </c>
      <c r="C192" s="1" t="s">
        <v>350</v>
      </c>
      <c r="D192" s="1" t="s">
        <v>210</v>
      </c>
      <c r="E192" s="1" t="s">
        <v>350</v>
      </c>
      <c r="F192" s="8">
        <v>124</v>
      </c>
      <c r="G192" s="8" t="s">
        <v>2934</v>
      </c>
      <c r="H192" s="22"/>
    </row>
    <row r="193" spans="1:8" x14ac:dyDescent="0.35">
      <c r="B193" s="1" t="s">
        <v>1707</v>
      </c>
      <c r="C193" s="1" t="s">
        <v>1223</v>
      </c>
      <c r="D193" s="1" t="s">
        <v>210</v>
      </c>
      <c r="E193" s="1" t="s">
        <v>1223</v>
      </c>
      <c r="F193" s="8">
        <v>124</v>
      </c>
      <c r="G193" s="8" t="s">
        <v>2935</v>
      </c>
      <c r="H193" s="22"/>
    </row>
    <row r="194" spans="1:8" x14ac:dyDescent="0.35">
      <c r="B194" s="1" t="s">
        <v>1707</v>
      </c>
      <c r="C194" s="1" t="s">
        <v>1222</v>
      </c>
      <c r="D194" s="1" t="s">
        <v>210</v>
      </c>
      <c r="E194" s="1" t="s">
        <v>1222</v>
      </c>
      <c r="F194" s="8">
        <v>124</v>
      </c>
      <c r="G194" s="8" t="s">
        <v>2936</v>
      </c>
      <c r="H194" s="22"/>
    </row>
    <row r="195" spans="1:8" x14ac:dyDescent="0.35">
      <c r="B195" s="1" t="s">
        <v>1707</v>
      </c>
      <c r="C195" s="1" t="s">
        <v>1221</v>
      </c>
      <c r="D195" s="1" t="s">
        <v>210</v>
      </c>
      <c r="E195" s="1" t="s">
        <v>1221</v>
      </c>
      <c r="F195" s="8">
        <v>124</v>
      </c>
      <c r="G195" s="8" t="s">
        <v>2937</v>
      </c>
      <c r="H195" s="22"/>
    </row>
    <row r="196" spans="1:8" x14ac:dyDescent="0.35">
      <c r="F196" s="8"/>
      <c r="G196" s="8"/>
      <c r="H196" s="22"/>
    </row>
    <row r="197" spans="1:8" x14ac:dyDescent="0.35">
      <c r="A197" s="1" t="s">
        <v>1718</v>
      </c>
      <c r="B197" s="1" t="s">
        <v>1760</v>
      </c>
      <c r="C197" s="1" t="s">
        <v>386</v>
      </c>
      <c r="D197" s="1" t="s">
        <v>218</v>
      </c>
      <c r="E197" s="1" t="s">
        <v>386</v>
      </c>
      <c r="F197" s="8">
        <v>11</v>
      </c>
      <c r="G197" s="8" t="s">
        <v>2938</v>
      </c>
      <c r="H197" s="22"/>
    </row>
    <row r="198" spans="1:8" x14ac:dyDescent="0.35">
      <c r="B198" s="1" t="s">
        <v>1760</v>
      </c>
      <c r="C198" s="1" t="s">
        <v>521</v>
      </c>
      <c r="D198" s="1" t="s">
        <v>218</v>
      </c>
      <c r="E198" s="1" t="s">
        <v>521</v>
      </c>
      <c r="F198" s="8">
        <v>11</v>
      </c>
      <c r="G198" s="8" t="s">
        <v>2939</v>
      </c>
    </row>
    <row r="199" spans="1:8" x14ac:dyDescent="0.35">
      <c r="B199" s="1" t="s">
        <v>1760</v>
      </c>
      <c r="C199" s="1" t="s">
        <v>520</v>
      </c>
      <c r="D199" s="1" t="s">
        <v>218</v>
      </c>
      <c r="E199" s="1" t="s">
        <v>520</v>
      </c>
      <c r="F199" s="8">
        <v>11</v>
      </c>
      <c r="G199" s="8" t="s">
        <v>2940</v>
      </c>
    </row>
    <row r="200" spans="1:8" x14ac:dyDescent="0.35">
      <c r="B200" s="1" t="s">
        <v>1760</v>
      </c>
      <c r="C200" s="1" t="s">
        <v>519</v>
      </c>
      <c r="D200" s="1" t="s">
        <v>218</v>
      </c>
      <c r="E200" s="1" t="s">
        <v>519</v>
      </c>
      <c r="F200" s="8">
        <v>11</v>
      </c>
      <c r="G200" s="8" t="s">
        <v>2941</v>
      </c>
    </row>
    <row r="201" spans="1:8" x14ac:dyDescent="0.35">
      <c r="B201" s="1" t="s">
        <v>1482</v>
      </c>
      <c r="C201" s="1" t="s">
        <v>386</v>
      </c>
      <c r="D201" s="1" t="s">
        <v>246</v>
      </c>
      <c r="E201" s="1" t="s">
        <v>386</v>
      </c>
      <c r="F201" s="8">
        <v>71</v>
      </c>
      <c r="G201" s="8" t="s">
        <v>2942</v>
      </c>
    </row>
  </sheetData>
  <protectedRanges>
    <protectedRange sqref="D76:G76 D77 C49:E50 B51:E69" name="Plage1_2_2"/>
    <protectedRange sqref="B17 B29:E43 C44:E48 B44:B50 B175:B178 B18:G28 F29:G69 B2:G16" name="Plage1_6_1_2"/>
    <protectedRange sqref="U28:V28 X28 Y26:AC26" name="Plage1"/>
  </protectedRanges>
  <customSheetViews>
    <customSheetView guid="{78C5045A-3FD3-4C60-B2E3-9FBBF1337D5C}" topLeftCell="A166">
      <selection activeCell="G136" sqref="G136"/>
      <pageMargins left="0.7" right="0.7" top="0.75" bottom="0.75" header="0.3" footer="0.3"/>
      <pageSetup paperSize="9" orientation="portrait" r:id="rId1"/>
    </customSheetView>
  </customSheetViews>
  <pageMargins left="0.7" right="0.7" top="0.75" bottom="0.75" header="0.3" footer="0.3"/>
  <pageSetup paperSize="9" orientation="portrait"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AB315"/>
  <sheetViews>
    <sheetView topLeftCell="N1" workbookViewId="0">
      <selection activeCell="T13" sqref="T13"/>
    </sheetView>
  </sheetViews>
  <sheetFormatPr defaultColWidth="8.7265625" defaultRowHeight="14.5" x14ac:dyDescent="0.35"/>
  <cols>
    <col min="1" max="1" width="17.7265625" style="1" bestFit="1" customWidth="1"/>
    <col min="2" max="2" width="17.81640625" style="1" bestFit="1" customWidth="1"/>
    <col min="3" max="3" width="15.7265625" style="1" bestFit="1" customWidth="1"/>
    <col min="4" max="4" width="17.81640625" style="1" bestFit="1" customWidth="1"/>
    <col min="5" max="5" width="23" style="22" bestFit="1" customWidth="1"/>
    <col min="6" max="6" width="23" style="22" customWidth="1"/>
    <col min="7" max="7" width="8.7265625" style="10"/>
    <col min="8" max="8" width="18.81640625" style="12" bestFit="1" customWidth="1"/>
    <col min="9" max="9" width="16.81640625" style="12" customWidth="1"/>
    <col min="10" max="10" width="16.81640625" style="12" bestFit="1" customWidth="1"/>
    <col min="11" max="11" width="19.54296875" style="12" bestFit="1" customWidth="1"/>
    <col min="12" max="12" width="15.81640625" style="12" bestFit="1" customWidth="1"/>
    <col min="13" max="13" width="8.54296875" style="1" customWidth="1"/>
    <col min="14" max="14" width="17.81640625" style="1" bestFit="1" customWidth="1"/>
    <col min="15" max="15" width="18.7265625" style="1" bestFit="1" customWidth="1"/>
    <col min="16" max="16" width="8.7265625" style="1"/>
    <col min="17" max="17" width="21.81640625" style="59" bestFit="1" customWidth="1"/>
    <col min="18" max="18" width="32.1796875" style="56" bestFit="1" customWidth="1"/>
    <col min="19" max="19" width="22.1796875" style="56" bestFit="1" customWidth="1"/>
    <col min="20" max="20" width="24.81640625" style="56" bestFit="1" customWidth="1"/>
    <col min="21" max="21" width="8.7265625" style="1"/>
    <col min="22" max="24" width="21.453125" style="56" customWidth="1"/>
    <col min="25" max="25" width="8.7265625" style="1"/>
    <col min="26" max="26" width="14.54296875" style="12" bestFit="1" customWidth="1"/>
    <col min="27" max="27" width="17.81640625" style="12" bestFit="1" customWidth="1"/>
    <col min="28" max="28" width="13.81640625" style="12" bestFit="1" customWidth="1"/>
    <col min="29" max="16384" width="8.7265625" style="1"/>
  </cols>
  <sheetData>
    <row r="1" spans="1:28" x14ac:dyDescent="0.35">
      <c r="A1" s="2" t="s">
        <v>1612</v>
      </c>
      <c r="B1" s="2" t="s">
        <v>1613</v>
      </c>
      <c r="C1" s="2" t="s">
        <v>1614</v>
      </c>
      <c r="D1" s="2" t="s">
        <v>1615</v>
      </c>
      <c r="E1" s="2" t="s">
        <v>1956</v>
      </c>
      <c r="F1" s="2" t="s">
        <v>1965</v>
      </c>
      <c r="H1" s="2" t="s">
        <v>1612</v>
      </c>
      <c r="I1" s="2" t="s">
        <v>1668</v>
      </c>
      <c r="J1" s="2" t="s">
        <v>1614</v>
      </c>
      <c r="K1" s="2" t="s">
        <v>1615</v>
      </c>
      <c r="L1" s="2" t="s">
        <v>1621</v>
      </c>
      <c r="N1" s="2" t="s">
        <v>1614</v>
      </c>
      <c r="O1" s="2" t="s">
        <v>1669</v>
      </c>
      <c r="Q1" s="2" t="s">
        <v>1969</v>
      </c>
      <c r="R1" s="2" t="s">
        <v>1970</v>
      </c>
      <c r="S1" s="2" t="s">
        <v>1971</v>
      </c>
      <c r="T1" s="2" t="s">
        <v>1972</v>
      </c>
      <c r="V1" s="2" t="s">
        <v>1973</v>
      </c>
      <c r="W1" s="2" t="s">
        <v>1974</v>
      </c>
      <c r="X1" s="2" t="s">
        <v>1975</v>
      </c>
      <c r="Z1" s="14" t="s">
        <v>1612</v>
      </c>
      <c r="AA1" s="14" t="s">
        <v>1613</v>
      </c>
      <c r="AB1" s="14" t="s">
        <v>1745</v>
      </c>
    </row>
    <row r="2" spans="1:28" x14ac:dyDescent="0.35">
      <c r="A2" s="1" t="s">
        <v>1656</v>
      </c>
      <c r="B2" s="1" t="s">
        <v>439</v>
      </c>
      <c r="C2" s="1" t="s">
        <v>263</v>
      </c>
      <c r="D2" s="1" t="s">
        <v>439</v>
      </c>
      <c r="E2" s="22">
        <v>114</v>
      </c>
      <c r="F2" s="22" t="s">
        <v>2864</v>
      </c>
      <c r="G2" s="21"/>
      <c r="Q2" s="55" t="s">
        <v>1656</v>
      </c>
      <c r="R2" s="58" t="s">
        <v>1978</v>
      </c>
      <c r="S2" s="58" t="s">
        <v>1485</v>
      </c>
      <c r="T2" s="58" t="s">
        <v>1978</v>
      </c>
      <c r="V2" s="58"/>
      <c r="W2" s="58"/>
      <c r="X2" s="55"/>
    </row>
    <row r="3" spans="1:28" x14ac:dyDescent="0.35">
      <c r="A3" s="1" t="s">
        <v>1656</v>
      </c>
      <c r="B3" s="1" t="s">
        <v>412</v>
      </c>
      <c r="C3" s="1" t="s">
        <v>263</v>
      </c>
      <c r="D3" s="1" t="s">
        <v>412</v>
      </c>
      <c r="E3" s="22">
        <v>114</v>
      </c>
      <c r="F3" s="22" t="s">
        <v>2865</v>
      </c>
      <c r="G3" s="21"/>
      <c r="Q3" s="55" t="s">
        <v>1656</v>
      </c>
      <c r="R3" s="55" t="s">
        <v>2972</v>
      </c>
      <c r="S3" s="55" t="s">
        <v>1485</v>
      </c>
      <c r="T3" s="55" t="s">
        <v>1978</v>
      </c>
      <c r="V3" s="58"/>
      <c r="W3" s="55"/>
      <c r="X3" s="55"/>
    </row>
    <row r="4" spans="1:28" x14ac:dyDescent="0.35">
      <c r="A4" s="1" t="s">
        <v>1656</v>
      </c>
      <c r="B4" s="1" t="s">
        <v>435</v>
      </c>
      <c r="C4" s="1" t="s">
        <v>263</v>
      </c>
      <c r="D4" s="1" t="s">
        <v>435</v>
      </c>
      <c r="E4" s="22">
        <v>114</v>
      </c>
      <c r="F4" s="22" t="s">
        <v>2866</v>
      </c>
      <c r="G4" s="21"/>
      <c r="Q4" s="55" t="s">
        <v>1656</v>
      </c>
      <c r="R4" s="55" t="s">
        <v>1944</v>
      </c>
      <c r="S4" s="55" t="s">
        <v>1483</v>
      </c>
      <c r="T4" s="55" t="s">
        <v>1944</v>
      </c>
      <c r="V4" s="55"/>
      <c r="W4" s="55"/>
      <c r="X4" s="58"/>
      <c r="Z4" s="1"/>
      <c r="AA4" s="1"/>
      <c r="AB4" s="1"/>
    </row>
    <row r="5" spans="1:28" x14ac:dyDescent="0.35">
      <c r="A5" s="1" t="s">
        <v>1656</v>
      </c>
      <c r="B5" s="1" t="s">
        <v>456</v>
      </c>
      <c r="C5" s="1" t="s">
        <v>263</v>
      </c>
      <c r="D5" s="1" t="s">
        <v>456</v>
      </c>
      <c r="E5" s="22">
        <v>114</v>
      </c>
      <c r="F5" s="22" t="s">
        <v>2867</v>
      </c>
      <c r="G5" s="21"/>
      <c r="Q5" s="55" t="s">
        <v>1656</v>
      </c>
      <c r="R5" s="55" t="s">
        <v>2973</v>
      </c>
      <c r="S5" s="55" t="s">
        <v>1483</v>
      </c>
      <c r="T5" s="55" t="s">
        <v>1944</v>
      </c>
      <c r="V5" s="58"/>
      <c r="W5" s="55"/>
      <c r="X5" s="58"/>
      <c r="Z5" s="1"/>
      <c r="AA5" s="1"/>
      <c r="AB5" s="1"/>
    </row>
    <row r="6" spans="1:28" x14ac:dyDescent="0.35">
      <c r="A6" s="1" t="s">
        <v>1656</v>
      </c>
      <c r="B6" s="1" t="s">
        <v>446</v>
      </c>
      <c r="C6" s="1" t="s">
        <v>263</v>
      </c>
      <c r="D6" s="1" t="s">
        <v>446</v>
      </c>
      <c r="E6" s="22">
        <v>114</v>
      </c>
      <c r="F6" s="22" t="s">
        <v>2868</v>
      </c>
      <c r="G6" s="21"/>
      <c r="Q6" s="1"/>
      <c r="R6" s="1"/>
      <c r="S6" s="55"/>
      <c r="T6" s="55"/>
      <c r="V6" s="55"/>
      <c r="W6" s="55"/>
      <c r="X6" s="55"/>
      <c r="Z6" s="1"/>
      <c r="AA6" s="1"/>
      <c r="AB6" s="1"/>
    </row>
    <row r="7" spans="1:28" x14ac:dyDescent="0.35">
      <c r="A7" s="1" t="s">
        <v>1656</v>
      </c>
      <c r="B7" t="s">
        <v>447</v>
      </c>
      <c r="C7" s="1" t="s">
        <v>263</v>
      </c>
      <c r="D7" t="s">
        <v>447</v>
      </c>
      <c r="E7" s="22">
        <v>114</v>
      </c>
      <c r="F7" s="22" t="s">
        <v>2869</v>
      </c>
      <c r="G7" s="21"/>
      <c r="H7" s="1"/>
      <c r="I7" s="1"/>
      <c r="Q7" s="1"/>
      <c r="R7" s="1"/>
      <c r="S7" s="55"/>
      <c r="T7" s="55"/>
      <c r="V7" s="55"/>
      <c r="W7" s="55"/>
      <c r="X7" s="55"/>
      <c r="Z7" s="1"/>
      <c r="AA7" s="1"/>
      <c r="AB7" s="1"/>
    </row>
    <row r="8" spans="1:28" x14ac:dyDescent="0.35">
      <c r="A8" s="1" t="s">
        <v>1656</v>
      </c>
      <c r="B8" s="1" t="s">
        <v>457</v>
      </c>
      <c r="C8" s="1" t="s">
        <v>263</v>
      </c>
      <c r="D8" s="1" t="s">
        <v>457</v>
      </c>
      <c r="E8" s="22">
        <v>114</v>
      </c>
      <c r="F8" s="22" t="s">
        <v>2870</v>
      </c>
      <c r="G8" s="21"/>
      <c r="Q8" s="1"/>
      <c r="R8" s="1"/>
      <c r="S8" s="55"/>
      <c r="T8" s="55"/>
      <c r="V8" s="55"/>
      <c r="W8" s="55"/>
      <c r="X8" s="55"/>
      <c r="Z8" s="1"/>
      <c r="AA8" s="1"/>
      <c r="AB8" s="1"/>
    </row>
    <row r="9" spans="1:28" x14ac:dyDescent="0.35">
      <c r="G9" s="21"/>
      <c r="H9" s="1"/>
      <c r="I9" s="1"/>
      <c r="K9" s="1"/>
      <c r="Q9" s="1"/>
      <c r="R9" s="1"/>
      <c r="S9" s="55"/>
      <c r="T9" s="55"/>
      <c r="V9" s="55"/>
      <c r="W9" s="55"/>
      <c r="X9" s="55"/>
      <c r="Z9" s="1"/>
      <c r="AA9" s="1"/>
      <c r="AB9" s="1"/>
    </row>
    <row r="10" spans="1:28" x14ac:dyDescent="0.35">
      <c r="G10" s="21"/>
      <c r="Z10" s="1"/>
      <c r="AA10" s="1"/>
      <c r="AB10" s="1"/>
    </row>
    <row r="11" spans="1:28" x14ac:dyDescent="0.35">
      <c r="G11" s="21"/>
      <c r="H11" s="1"/>
      <c r="I11" s="1"/>
      <c r="Q11" s="55"/>
      <c r="R11" s="55"/>
      <c r="S11" s="58"/>
      <c r="T11" s="55"/>
      <c r="V11" s="55"/>
      <c r="W11" s="55"/>
      <c r="X11" s="55"/>
      <c r="Z11" s="1"/>
      <c r="AA11" s="1"/>
      <c r="AB11" s="1"/>
    </row>
    <row r="12" spans="1:28" x14ac:dyDescent="0.35">
      <c r="B12"/>
      <c r="D12"/>
      <c r="G12" s="21"/>
      <c r="H12" s="8"/>
      <c r="I12" s="8"/>
      <c r="J12" s="8"/>
      <c r="K12" s="8"/>
      <c r="L12" s="8"/>
      <c r="Z12" s="1"/>
      <c r="AA12" s="1"/>
      <c r="AB12" s="1"/>
    </row>
    <row r="13" spans="1:28" x14ac:dyDescent="0.35">
      <c r="G13" s="21"/>
      <c r="H13" s="8"/>
      <c r="I13" s="8"/>
      <c r="J13" s="8"/>
      <c r="K13" s="8"/>
      <c r="L13" s="8"/>
      <c r="Q13" s="1"/>
      <c r="R13" s="1"/>
      <c r="Z13" s="1"/>
      <c r="AA13" s="1"/>
      <c r="AB13" s="1"/>
    </row>
    <row r="14" spans="1:28" x14ac:dyDescent="0.35">
      <c r="G14" s="21"/>
      <c r="Q14" s="55"/>
      <c r="R14" s="55"/>
      <c r="S14" s="55"/>
      <c r="T14" s="55"/>
      <c r="V14" s="55"/>
      <c r="W14" s="55"/>
      <c r="X14" s="55"/>
      <c r="Z14" s="1"/>
      <c r="AA14" s="1"/>
      <c r="AB14" s="1"/>
    </row>
    <row r="15" spans="1:28" x14ac:dyDescent="0.35">
      <c r="G15" s="21"/>
      <c r="Z15" s="1"/>
      <c r="AA15" s="1"/>
      <c r="AB15" s="1"/>
    </row>
    <row r="16" spans="1:28" x14ac:dyDescent="0.35">
      <c r="G16" s="21"/>
      <c r="Q16" s="1"/>
      <c r="R16" s="1"/>
      <c r="S16" s="1"/>
      <c r="T16" s="1"/>
      <c r="V16" s="1"/>
      <c r="W16" s="1"/>
      <c r="X16" s="1"/>
      <c r="Z16" s="1"/>
      <c r="AA16" s="1"/>
      <c r="AB16" s="1"/>
    </row>
    <row r="17" spans="2:28" x14ac:dyDescent="0.35">
      <c r="G17" s="21"/>
      <c r="Q17" s="1"/>
      <c r="R17" s="1"/>
      <c r="S17" s="1"/>
      <c r="T17" s="1"/>
      <c r="V17" s="1"/>
      <c r="W17" s="1"/>
      <c r="X17" s="1"/>
      <c r="Z17" s="1"/>
      <c r="AA17" s="1"/>
      <c r="AB17" s="1"/>
    </row>
    <row r="18" spans="2:28" x14ac:dyDescent="0.35">
      <c r="G18" s="21"/>
      <c r="Z18" s="1"/>
      <c r="AA18" s="1"/>
      <c r="AB18" s="1"/>
    </row>
    <row r="19" spans="2:28" x14ac:dyDescent="0.35">
      <c r="G19" s="21"/>
      <c r="Q19" s="1"/>
      <c r="R19" s="1"/>
      <c r="S19" s="55"/>
      <c r="T19" s="1"/>
      <c r="V19" s="1"/>
      <c r="W19" s="1"/>
      <c r="X19" s="1"/>
      <c r="Z19" s="1"/>
      <c r="AA19" s="1"/>
      <c r="AB19" s="1"/>
    </row>
    <row r="20" spans="2:28" x14ac:dyDescent="0.35">
      <c r="B20"/>
      <c r="D20"/>
      <c r="G20" s="21"/>
      <c r="Q20" s="1"/>
      <c r="R20" s="1"/>
      <c r="S20" s="55"/>
      <c r="T20" s="1"/>
      <c r="V20" s="1"/>
      <c r="W20" s="1"/>
      <c r="X20" s="1"/>
      <c r="Z20" s="1"/>
      <c r="AA20" s="1"/>
      <c r="AB20" s="1"/>
    </row>
    <row r="21" spans="2:28" x14ac:dyDescent="0.35">
      <c r="G21" s="21"/>
      <c r="Z21" s="1"/>
      <c r="AA21" s="1"/>
      <c r="AB21" s="1"/>
    </row>
    <row r="22" spans="2:28" x14ac:dyDescent="0.35">
      <c r="G22" s="21"/>
      <c r="Q22" s="1"/>
      <c r="R22" s="1"/>
      <c r="S22" s="55"/>
      <c r="T22" s="55"/>
      <c r="V22" s="55"/>
      <c r="W22" s="55"/>
      <c r="X22" s="55"/>
      <c r="Z22" s="1"/>
      <c r="AA22" s="1"/>
      <c r="AB22" s="1"/>
    </row>
    <row r="23" spans="2:28" x14ac:dyDescent="0.35">
      <c r="G23" s="21"/>
      <c r="Z23" s="1"/>
      <c r="AA23" s="1"/>
      <c r="AB23" s="1"/>
    </row>
    <row r="24" spans="2:28" x14ac:dyDescent="0.35">
      <c r="G24" s="21"/>
      <c r="Q24" s="1"/>
      <c r="R24" s="1"/>
      <c r="T24" s="55"/>
      <c r="V24" s="55"/>
      <c r="W24" s="55"/>
      <c r="X24" s="55"/>
      <c r="Z24" s="1"/>
      <c r="AA24" s="1"/>
      <c r="AB24" s="1"/>
    </row>
    <row r="25" spans="2:28" x14ac:dyDescent="0.35">
      <c r="G25" s="21"/>
      <c r="Z25" s="1"/>
      <c r="AA25" s="1"/>
      <c r="AB25" s="1"/>
    </row>
    <row r="26" spans="2:28" x14ac:dyDescent="0.35">
      <c r="G26" s="21"/>
      <c r="Q26" s="17"/>
      <c r="R26" s="17"/>
      <c r="T26" s="17"/>
      <c r="V26" s="17"/>
      <c r="W26" s="17"/>
      <c r="X26" s="17"/>
      <c r="Z26" s="1"/>
      <c r="AA26" s="1"/>
      <c r="AB26" s="1"/>
    </row>
    <row r="27" spans="2:28" x14ac:dyDescent="0.35">
      <c r="G27" s="21"/>
      <c r="Q27" s="1"/>
      <c r="R27" s="1"/>
      <c r="S27" s="1"/>
      <c r="T27" s="1"/>
      <c r="V27" s="1"/>
      <c r="W27" s="1"/>
      <c r="X27" s="1"/>
      <c r="Z27" s="1"/>
      <c r="AA27" s="1"/>
      <c r="AB27" s="1"/>
    </row>
    <row r="28" spans="2:28" x14ac:dyDescent="0.35">
      <c r="G28" s="21"/>
      <c r="Z28" s="1"/>
      <c r="AA28" s="1"/>
      <c r="AB28" s="1"/>
    </row>
    <row r="29" spans="2:28" x14ac:dyDescent="0.35">
      <c r="G29" s="21"/>
      <c r="Q29" s="1"/>
      <c r="R29" s="1"/>
      <c r="T29" s="55"/>
      <c r="V29" s="55"/>
      <c r="W29" s="55"/>
      <c r="X29" s="55"/>
      <c r="Z29" s="1"/>
      <c r="AA29" s="1"/>
      <c r="AB29" s="1"/>
    </row>
    <row r="30" spans="2:28" x14ac:dyDescent="0.35">
      <c r="G30" s="21"/>
      <c r="Z30" s="1"/>
      <c r="AA30" s="1"/>
      <c r="AB30" s="1"/>
    </row>
    <row r="31" spans="2:28" x14ac:dyDescent="0.35">
      <c r="G31" s="21"/>
      <c r="Q31" s="1"/>
      <c r="R31"/>
      <c r="S31" s="1"/>
      <c r="T31"/>
      <c r="V31"/>
      <c r="W31"/>
      <c r="X31"/>
      <c r="Z31" s="1"/>
      <c r="AA31" s="1"/>
      <c r="AB31" s="1"/>
    </row>
    <row r="32" spans="2:28" x14ac:dyDescent="0.35">
      <c r="G32" s="21"/>
      <c r="Q32" s="1"/>
      <c r="R32"/>
      <c r="S32" s="55"/>
      <c r="T32" s="55"/>
      <c r="V32" s="55"/>
      <c r="W32" s="55"/>
      <c r="X32" s="55"/>
      <c r="Z32" s="1"/>
      <c r="AA32" s="1"/>
      <c r="AB32" s="1"/>
    </row>
    <row r="33" spans="7:28" x14ac:dyDescent="0.35">
      <c r="G33" s="21"/>
      <c r="Q33" s="1"/>
      <c r="R33"/>
      <c r="S33" s="55"/>
      <c r="T33" s="55"/>
      <c r="V33" s="55"/>
      <c r="W33" s="55"/>
      <c r="X33" s="55"/>
      <c r="Z33" s="1"/>
      <c r="AA33" s="1"/>
      <c r="AB33" s="1"/>
    </row>
    <row r="34" spans="7:28" x14ac:dyDescent="0.35">
      <c r="G34" s="21"/>
      <c r="Z34" s="1"/>
      <c r="AA34" s="1"/>
      <c r="AB34" s="1"/>
    </row>
    <row r="35" spans="7:28" x14ac:dyDescent="0.35">
      <c r="G35" s="21"/>
      <c r="Z35" s="1"/>
      <c r="AA35" s="1"/>
      <c r="AB35" s="1"/>
    </row>
    <row r="36" spans="7:28" x14ac:dyDescent="0.35">
      <c r="G36" s="21"/>
      <c r="Z36" s="1"/>
      <c r="AA36" s="1"/>
      <c r="AB36" s="1"/>
    </row>
    <row r="37" spans="7:28" x14ac:dyDescent="0.35">
      <c r="G37" s="21"/>
      <c r="Q37" s="55"/>
      <c r="Z37" s="1"/>
      <c r="AA37" s="1"/>
      <c r="AB37" s="1"/>
    </row>
    <row r="38" spans="7:28" x14ac:dyDescent="0.35">
      <c r="G38" s="21"/>
      <c r="Q38" s="55"/>
      <c r="R38" s="55"/>
      <c r="S38" s="55"/>
      <c r="T38" s="55"/>
      <c r="V38" s="55"/>
      <c r="W38" s="55"/>
      <c r="X38" s="55"/>
      <c r="Z38" s="1"/>
      <c r="AA38" s="1"/>
      <c r="AB38" s="1"/>
    </row>
    <row r="39" spans="7:28" x14ac:dyDescent="0.35">
      <c r="G39" s="21"/>
      <c r="Q39" s="55"/>
      <c r="R39" s="55"/>
      <c r="S39" s="55"/>
      <c r="T39" s="55"/>
      <c r="V39" s="55"/>
      <c r="W39" s="55"/>
      <c r="X39" s="55"/>
      <c r="Z39" s="1"/>
      <c r="AA39" s="1"/>
      <c r="AB39" s="1"/>
    </row>
    <row r="40" spans="7:28" x14ac:dyDescent="0.35">
      <c r="G40" s="21"/>
      <c r="Q40" s="55"/>
      <c r="R40" s="55"/>
      <c r="S40" s="55"/>
      <c r="T40" s="55"/>
      <c r="V40" s="55"/>
      <c r="W40" s="55"/>
      <c r="X40" s="55"/>
      <c r="Z40" s="1"/>
      <c r="AA40" s="1"/>
      <c r="AB40" s="1"/>
    </row>
    <row r="41" spans="7:28" x14ac:dyDescent="0.35">
      <c r="G41" s="21"/>
      <c r="Q41" s="55"/>
      <c r="R41" s="55"/>
      <c r="S41" s="55"/>
      <c r="T41" s="55"/>
      <c r="V41" s="55"/>
      <c r="W41" s="55"/>
      <c r="X41" s="55"/>
      <c r="Z41" s="1"/>
      <c r="AA41" s="1"/>
      <c r="AB41" s="1"/>
    </row>
    <row r="42" spans="7:28" x14ac:dyDescent="0.35">
      <c r="G42" s="21"/>
      <c r="Q42" s="55"/>
      <c r="R42" s="55"/>
      <c r="S42" s="55"/>
      <c r="T42" s="55"/>
      <c r="V42" s="55"/>
      <c r="W42" s="55"/>
      <c r="X42" s="55"/>
      <c r="Z42" s="1"/>
      <c r="AA42" s="1"/>
      <c r="AB42" s="1"/>
    </row>
    <row r="43" spans="7:28" x14ac:dyDescent="0.35">
      <c r="G43" s="21"/>
      <c r="Q43" s="55"/>
      <c r="R43" s="55"/>
      <c r="S43" s="55"/>
      <c r="T43" s="55"/>
      <c r="V43" s="55"/>
      <c r="W43" s="55"/>
      <c r="X43" s="55"/>
      <c r="Z43" s="1"/>
      <c r="AA43" s="1"/>
      <c r="AB43" s="1"/>
    </row>
    <row r="44" spans="7:28" x14ac:dyDescent="0.35">
      <c r="G44" s="21"/>
      <c r="Q44" s="55"/>
      <c r="R44" s="55"/>
      <c r="S44" s="55"/>
      <c r="T44" s="55"/>
      <c r="V44" s="55"/>
      <c r="W44" s="55"/>
      <c r="X44" s="55"/>
      <c r="Z44" s="1"/>
      <c r="AA44" s="1"/>
      <c r="AB44" s="1"/>
    </row>
    <row r="45" spans="7:28" x14ac:dyDescent="0.35">
      <c r="G45" s="21"/>
      <c r="Q45" s="55"/>
      <c r="R45" s="55"/>
      <c r="S45" s="55"/>
      <c r="T45" s="55"/>
      <c r="V45" s="55"/>
      <c r="W45" s="55"/>
      <c r="X45" s="55"/>
      <c r="Z45" s="1"/>
      <c r="AA45" s="1"/>
      <c r="AB45" s="1"/>
    </row>
    <row r="46" spans="7:28" x14ac:dyDescent="0.35">
      <c r="G46" s="21"/>
      <c r="Q46" s="55"/>
      <c r="R46" s="55"/>
      <c r="S46" s="55"/>
      <c r="T46" s="55"/>
      <c r="V46" s="55"/>
      <c r="W46" s="55"/>
      <c r="X46" s="55"/>
      <c r="Z46" s="1"/>
      <c r="AA46" s="1"/>
      <c r="AB46" s="1"/>
    </row>
    <row r="47" spans="7:28" x14ac:dyDescent="0.35">
      <c r="G47" s="21"/>
      <c r="Q47" s="55"/>
      <c r="R47" s="55"/>
      <c r="S47" s="55"/>
      <c r="T47" s="55"/>
      <c r="V47" s="55"/>
      <c r="W47" s="55"/>
      <c r="X47" s="55"/>
      <c r="Z47" s="1"/>
      <c r="AA47" s="1"/>
      <c r="AB47" s="1"/>
    </row>
    <row r="48" spans="7:28" x14ac:dyDescent="0.35">
      <c r="G48" s="21"/>
      <c r="Q48" s="55"/>
      <c r="R48" s="55"/>
      <c r="S48" s="55"/>
      <c r="T48" s="55"/>
      <c r="V48" s="55"/>
      <c r="W48" s="55"/>
      <c r="X48" s="55"/>
      <c r="Z48" s="1"/>
      <c r="AA48" s="1"/>
      <c r="AB48" s="1"/>
    </row>
    <row r="49" spans="2:28" x14ac:dyDescent="0.35">
      <c r="G49" s="21"/>
      <c r="Q49" s="55"/>
      <c r="R49" s="55"/>
      <c r="S49" s="55"/>
      <c r="T49" s="55"/>
      <c r="V49" s="55"/>
      <c r="W49" s="55"/>
      <c r="X49" s="55"/>
      <c r="Z49" s="1"/>
      <c r="AA49" s="1"/>
      <c r="AB49" s="1"/>
    </row>
    <row r="50" spans="2:28" x14ac:dyDescent="0.35">
      <c r="G50" s="21"/>
      <c r="Q50" s="55"/>
      <c r="R50" s="55"/>
      <c r="S50" s="55"/>
      <c r="T50" s="55"/>
      <c r="V50" s="55"/>
      <c r="W50" s="55"/>
      <c r="X50" s="55"/>
      <c r="Z50" s="1"/>
      <c r="AA50" s="1"/>
      <c r="AB50" s="1"/>
    </row>
    <row r="51" spans="2:28" x14ac:dyDescent="0.35">
      <c r="G51" s="21"/>
      <c r="Q51" s="55"/>
      <c r="R51" s="55"/>
      <c r="S51" s="55"/>
      <c r="T51" s="55"/>
      <c r="V51" s="55"/>
      <c r="W51" s="55"/>
      <c r="X51" s="55"/>
      <c r="Z51" s="1"/>
      <c r="AA51" s="1"/>
      <c r="AB51" s="1"/>
    </row>
    <row r="52" spans="2:28" x14ac:dyDescent="0.35">
      <c r="G52" s="21"/>
      <c r="Q52" s="55"/>
      <c r="R52" s="55"/>
      <c r="S52" s="55"/>
      <c r="T52" s="55"/>
      <c r="V52" s="55"/>
      <c r="W52" s="55"/>
      <c r="X52" s="55"/>
      <c r="Z52" s="1"/>
      <c r="AA52" s="1"/>
      <c r="AB52" s="1"/>
    </row>
    <row r="53" spans="2:28" x14ac:dyDescent="0.35">
      <c r="G53" s="21"/>
      <c r="Q53" s="55"/>
      <c r="R53" s="55"/>
      <c r="S53" s="55"/>
      <c r="T53" s="55"/>
      <c r="V53" s="55"/>
      <c r="W53" s="55"/>
      <c r="X53" s="55"/>
      <c r="Z53" s="1"/>
      <c r="AA53" s="1"/>
      <c r="AB53" s="1"/>
    </row>
    <row r="54" spans="2:28" x14ac:dyDescent="0.35">
      <c r="B54"/>
      <c r="D54"/>
      <c r="G54" s="21"/>
      <c r="Q54" s="55"/>
      <c r="R54" s="55"/>
      <c r="S54" s="55"/>
      <c r="T54" s="55"/>
      <c r="V54" s="55"/>
      <c r="W54" s="55"/>
      <c r="X54" s="55"/>
      <c r="Z54" s="1"/>
      <c r="AA54" s="1"/>
      <c r="AB54" s="1"/>
    </row>
    <row r="55" spans="2:28" x14ac:dyDescent="0.35">
      <c r="G55" s="21"/>
      <c r="Q55" s="55"/>
      <c r="R55" s="55"/>
      <c r="S55" s="55"/>
      <c r="T55" s="55"/>
      <c r="V55" s="55"/>
      <c r="W55" s="55"/>
      <c r="X55" s="55"/>
      <c r="Z55" s="1"/>
      <c r="AA55" s="1"/>
      <c r="AB55" s="1"/>
    </row>
    <row r="56" spans="2:28" x14ac:dyDescent="0.35">
      <c r="G56" s="21"/>
      <c r="Q56" s="55"/>
      <c r="R56" s="55"/>
      <c r="S56" s="55"/>
      <c r="T56" s="55"/>
      <c r="V56" s="55"/>
      <c r="W56" s="55"/>
      <c r="X56" s="55"/>
      <c r="Z56" s="1"/>
      <c r="AA56" s="1"/>
      <c r="AB56" s="1"/>
    </row>
    <row r="57" spans="2:28" x14ac:dyDescent="0.35">
      <c r="G57" s="21"/>
      <c r="Q57" s="55"/>
      <c r="R57" s="55"/>
      <c r="S57" s="55"/>
      <c r="T57" s="55"/>
      <c r="V57" s="55"/>
      <c r="W57" s="55"/>
      <c r="X57" s="55"/>
      <c r="Z57" s="1"/>
      <c r="AA57" s="1"/>
      <c r="AB57" s="1"/>
    </row>
    <row r="58" spans="2:28" x14ac:dyDescent="0.35">
      <c r="B58"/>
      <c r="D58"/>
      <c r="G58" s="21"/>
      <c r="Q58" s="55"/>
      <c r="R58" s="55"/>
      <c r="S58" s="55"/>
      <c r="T58" s="55"/>
      <c r="V58" s="55"/>
      <c r="W58" s="55"/>
      <c r="X58" s="55"/>
      <c r="Z58"/>
      <c r="AA58"/>
      <c r="AB58"/>
    </row>
    <row r="59" spans="2:28" x14ac:dyDescent="0.35">
      <c r="G59" s="21"/>
      <c r="Q59" s="55"/>
      <c r="R59" s="55"/>
      <c r="S59" s="55"/>
      <c r="T59" s="55"/>
      <c r="V59" s="55"/>
      <c r="W59" s="55"/>
      <c r="X59" s="55"/>
      <c r="Z59"/>
      <c r="AA59"/>
      <c r="AB59"/>
    </row>
    <row r="60" spans="2:28" x14ac:dyDescent="0.35">
      <c r="G60" s="21"/>
      <c r="Q60" s="55"/>
      <c r="R60" s="55"/>
      <c r="S60" s="55"/>
      <c r="T60" s="55"/>
      <c r="V60" s="55"/>
      <c r="W60" s="55"/>
      <c r="X60" s="55"/>
      <c r="Z60"/>
      <c r="AA60"/>
      <c r="AB60"/>
    </row>
    <row r="61" spans="2:28" x14ac:dyDescent="0.35">
      <c r="G61" s="21"/>
      <c r="Q61" s="55"/>
      <c r="R61" s="55"/>
      <c r="S61" s="55"/>
      <c r="T61" s="55"/>
      <c r="V61" s="55"/>
      <c r="W61" s="55"/>
      <c r="X61" s="55"/>
      <c r="Z61"/>
      <c r="AA61"/>
      <c r="AB61"/>
    </row>
    <row r="62" spans="2:28" x14ac:dyDescent="0.35">
      <c r="G62" s="21"/>
      <c r="Q62" s="55"/>
      <c r="R62" s="55"/>
      <c r="S62" s="55"/>
      <c r="T62" s="55"/>
      <c r="V62" s="55"/>
      <c r="W62" s="55"/>
      <c r="X62" s="55"/>
      <c r="Z62"/>
      <c r="AA62"/>
      <c r="AB62"/>
    </row>
    <row r="63" spans="2:28" x14ac:dyDescent="0.35">
      <c r="G63" s="21"/>
      <c r="Q63" s="55"/>
      <c r="R63" s="55"/>
      <c r="S63" s="55"/>
      <c r="T63" s="55"/>
      <c r="V63" s="55"/>
      <c r="W63" s="55"/>
      <c r="X63" s="55"/>
      <c r="Z63"/>
      <c r="AA63"/>
      <c r="AB63"/>
    </row>
    <row r="64" spans="2:28" x14ac:dyDescent="0.35">
      <c r="G64" s="21"/>
      <c r="Q64" s="55"/>
      <c r="R64" s="55"/>
      <c r="S64" s="55"/>
      <c r="T64" s="55"/>
      <c r="V64" s="55"/>
      <c r="W64" s="55"/>
      <c r="X64" s="55"/>
      <c r="Z64"/>
      <c r="AA64"/>
      <c r="AB64"/>
    </row>
    <row r="65" spans="2:28" x14ac:dyDescent="0.35">
      <c r="G65" s="21"/>
      <c r="Q65" s="55"/>
      <c r="R65" s="55"/>
      <c r="S65" s="55"/>
      <c r="T65" s="55"/>
      <c r="V65" s="55"/>
      <c r="W65" s="55"/>
      <c r="X65" s="55"/>
      <c r="Z65"/>
      <c r="AA65"/>
      <c r="AB65"/>
    </row>
    <row r="66" spans="2:28" x14ac:dyDescent="0.35">
      <c r="G66" s="21"/>
      <c r="Q66" s="55"/>
      <c r="Z66"/>
      <c r="AA66"/>
      <c r="AB66"/>
    </row>
    <row r="67" spans="2:28" x14ac:dyDescent="0.35">
      <c r="C67" s="20"/>
      <c r="G67" s="21"/>
      <c r="Q67" s="55"/>
      <c r="Z67"/>
      <c r="AA67"/>
      <c r="AB67"/>
    </row>
    <row r="68" spans="2:28" x14ac:dyDescent="0.35">
      <c r="G68" s="21"/>
      <c r="Q68" s="55"/>
      <c r="Z68"/>
      <c r="AA68"/>
      <c r="AB68"/>
    </row>
    <row r="69" spans="2:28" x14ac:dyDescent="0.35">
      <c r="G69" s="21"/>
      <c r="Q69" s="55"/>
      <c r="Z69"/>
      <c r="AA69"/>
      <c r="AB69"/>
    </row>
    <row r="70" spans="2:28" x14ac:dyDescent="0.35">
      <c r="G70" s="21"/>
      <c r="Q70" s="55"/>
      <c r="Z70" s="1"/>
      <c r="AA70" s="1"/>
      <c r="AB70" s="1"/>
    </row>
    <row r="71" spans="2:28" x14ac:dyDescent="0.35">
      <c r="B71"/>
      <c r="D71"/>
      <c r="G71" s="21"/>
      <c r="Q71" s="55"/>
      <c r="Z71" s="1"/>
      <c r="AA71" s="1"/>
      <c r="AB71" s="1"/>
    </row>
    <row r="72" spans="2:28" x14ac:dyDescent="0.35">
      <c r="G72" s="21"/>
      <c r="Q72" s="55"/>
      <c r="Z72" s="1"/>
      <c r="AA72" s="1"/>
      <c r="AB72" s="1"/>
    </row>
    <row r="73" spans="2:28" x14ac:dyDescent="0.35">
      <c r="G73" s="21"/>
      <c r="Q73" s="55"/>
      <c r="Z73" s="1"/>
      <c r="AA73" s="1"/>
      <c r="AB73" s="1"/>
    </row>
    <row r="74" spans="2:28" x14ac:dyDescent="0.35">
      <c r="G74" s="21"/>
      <c r="Q74" s="55"/>
      <c r="Z74" s="1"/>
      <c r="AA74" s="1"/>
      <c r="AB74" s="1"/>
    </row>
    <row r="75" spans="2:28" x14ac:dyDescent="0.35">
      <c r="G75" s="21"/>
      <c r="Q75" s="55"/>
      <c r="Z75" s="1"/>
      <c r="AA75" s="1"/>
      <c r="AB75" s="1"/>
    </row>
    <row r="76" spans="2:28" x14ac:dyDescent="0.35">
      <c r="G76" s="21"/>
      <c r="Q76" s="55"/>
      <c r="Z76" s="1"/>
      <c r="AA76" s="1"/>
      <c r="AB76" s="1"/>
    </row>
    <row r="77" spans="2:28" x14ac:dyDescent="0.35">
      <c r="G77" s="21"/>
      <c r="Q77" s="55"/>
      <c r="Z77" s="1"/>
      <c r="AA77" s="1"/>
      <c r="AB77" s="1"/>
    </row>
    <row r="78" spans="2:28" x14ac:dyDescent="0.35">
      <c r="G78" s="21"/>
      <c r="Q78" s="55"/>
      <c r="Z78" s="1"/>
      <c r="AA78" s="1"/>
      <c r="AB78" s="1"/>
    </row>
    <row r="79" spans="2:28" x14ac:dyDescent="0.35">
      <c r="G79" s="21"/>
      <c r="Q79" s="55"/>
      <c r="Z79" s="1"/>
      <c r="AA79" s="1"/>
      <c r="AB79" s="1"/>
    </row>
    <row r="80" spans="2:28" x14ac:dyDescent="0.35">
      <c r="G80" s="21"/>
      <c r="Q80" s="55"/>
      <c r="Z80" s="1"/>
      <c r="AA80" s="1"/>
      <c r="AB80" s="1"/>
    </row>
    <row r="81" spans="1:28" x14ac:dyDescent="0.35">
      <c r="G81" s="21"/>
      <c r="Q81" s="55"/>
      <c r="Z81" s="1"/>
      <c r="AA81" s="1"/>
      <c r="AB81" s="1"/>
    </row>
    <row r="82" spans="1:28" x14ac:dyDescent="0.35">
      <c r="G82" s="21"/>
      <c r="Q82" s="55"/>
      <c r="Z82" s="1"/>
      <c r="AA82" s="1"/>
      <c r="AB82" s="1"/>
    </row>
    <row r="83" spans="1:28" x14ac:dyDescent="0.35">
      <c r="G83" s="21"/>
      <c r="Q83" s="55"/>
      <c r="Z83" s="1"/>
      <c r="AA83" s="1"/>
      <c r="AB83" s="1"/>
    </row>
    <row r="84" spans="1:28" x14ac:dyDescent="0.35">
      <c r="G84" s="21"/>
      <c r="Q84" s="55"/>
      <c r="Z84" s="1"/>
      <c r="AA84" s="1"/>
      <c r="AB84" s="1"/>
    </row>
    <row r="85" spans="1:28" x14ac:dyDescent="0.35">
      <c r="G85" s="21"/>
      <c r="Q85" s="55"/>
      <c r="Z85" s="1"/>
      <c r="AA85" s="1"/>
      <c r="AB85" s="1"/>
    </row>
    <row r="86" spans="1:28" x14ac:dyDescent="0.35">
      <c r="G86" s="21"/>
      <c r="Q86" s="55"/>
      <c r="Z86" s="1"/>
      <c r="AA86" s="1"/>
      <c r="AB86" s="1"/>
    </row>
    <row r="87" spans="1:28" x14ac:dyDescent="0.35">
      <c r="G87" s="21"/>
      <c r="Q87" s="55"/>
      <c r="Z87" s="1"/>
      <c r="AA87" s="1"/>
      <c r="AB87" s="1"/>
    </row>
    <row r="88" spans="1:28" x14ac:dyDescent="0.35">
      <c r="A88"/>
      <c r="B88"/>
      <c r="G88" s="21"/>
      <c r="Q88" s="55"/>
      <c r="Z88" s="1"/>
      <c r="AA88" s="1"/>
      <c r="AB88" s="1"/>
    </row>
    <row r="89" spans="1:28" x14ac:dyDescent="0.35">
      <c r="G89" s="21"/>
      <c r="Q89" s="55"/>
      <c r="Z89" s="1"/>
      <c r="AA89" s="1"/>
      <c r="AB89" s="1"/>
    </row>
    <row r="90" spans="1:28" x14ac:dyDescent="0.35">
      <c r="G90" s="21"/>
      <c r="Z90" s="1"/>
      <c r="AA90" s="1"/>
      <c r="AB90" s="1"/>
    </row>
    <row r="91" spans="1:28" x14ac:dyDescent="0.35">
      <c r="G91" s="21"/>
      <c r="Q91" s="55"/>
      <c r="Z91" s="1"/>
      <c r="AA91" s="1"/>
      <c r="AB91" s="1"/>
    </row>
    <row r="92" spans="1:28" x14ac:dyDescent="0.35">
      <c r="G92" s="21"/>
      <c r="Z92" s="1"/>
      <c r="AA92" s="1"/>
      <c r="AB92" s="1"/>
    </row>
    <row r="93" spans="1:28" x14ac:dyDescent="0.35">
      <c r="G93" s="21"/>
      <c r="Q93" s="55"/>
      <c r="Z93" s="1"/>
      <c r="AA93" s="1"/>
      <c r="AB93" s="1"/>
    </row>
    <row r="94" spans="1:28" x14ac:dyDescent="0.35">
      <c r="G94" s="21"/>
      <c r="Q94" s="55"/>
      <c r="Z94" s="1"/>
      <c r="AA94" s="1"/>
      <c r="AB94" s="1"/>
    </row>
    <row r="95" spans="1:28" x14ac:dyDescent="0.35">
      <c r="Q95" s="55"/>
      <c r="Z95" s="1"/>
      <c r="AA95" s="1"/>
      <c r="AB95" s="1"/>
    </row>
    <row r="96" spans="1:28" x14ac:dyDescent="0.35">
      <c r="Q96" s="55"/>
      <c r="Z96" s="1"/>
      <c r="AA96" s="1"/>
      <c r="AB96" s="1"/>
    </row>
    <row r="97" spans="7:28" x14ac:dyDescent="0.35">
      <c r="Q97" s="55"/>
      <c r="Z97" s="1"/>
      <c r="AA97" s="1"/>
      <c r="AB97" s="1"/>
    </row>
    <row r="98" spans="7:28" x14ac:dyDescent="0.35">
      <c r="Q98" s="55"/>
      <c r="Z98" s="1"/>
      <c r="AA98" s="1"/>
      <c r="AB98" s="1"/>
    </row>
    <row r="99" spans="7:28" x14ac:dyDescent="0.35">
      <c r="Q99" s="55"/>
      <c r="Z99" s="1"/>
      <c r="AA99" s="1"/>
      <c r="AB99" s="1"/>
    </row>
    <row r="100" spans="7:28" x14ac:dyDescent="0.35">
      <c r="Q100" s="55"/>
    </row>
    <row r="101" spans="7:28" x14ac:dyDescent="0.35">
      <c r="Q101" s="55"/>
    </row>
    <row r="102" spans="7:28" x14ac:dyDescent="0.35">
      <c r="Q102" s="55"/>
    </row>
    <row r="103" spans="7:28" x14ac:dyDescent="0.35">
      <c r="Q103" s="55"/>
    </row>
    <row r="104" spans="7:28" x14ac:dyDescent="0.35">
      <c r="Q104" s="55"/>
    </row>
    <row r="105" spans="7:28" x14ac:dyDescent="0.35">
      <c r="G105" s="23"/>
      <c r="H105" s="25"/>
      <c r="I105" s="25"/>
      <c r="Q105" s="55"/>
      <c r="Z105" s="1"/>
      <c r="AA105" s="1"/>
      <c r="AB105" s="1"/>
    </row>
    <row r="106" spans="7:28" x14ac:dyDescent="0.35">
      <c r="Q106" s="55"/>
      <c r="Z106" s="1"/>
      <c r="AA106" s="1"/>
      <c r="AB106" s="1"/>
    </row>
    <row r="107" spans="7:28" x14ac:dyDescent="0.35">
      <c r="Q107" s="55"/>
      <c r="Z107" s="1"/>
      <c r="AA107" s="1"/>
      <c r="AB107" s="1"/>
    </row>
    <row r="108" spans="7:28" x14ac:dyDescent="0.35">
      <c r="Q108" s="55"/>
      <c r="Z108" s="1"/>
      <c r="AA108" s="1"/>
      <c r="AB108" s="1"/>
    </row>
    <row r="109" spans="7:28" x14ac:dyDescent="0.35">
      <c r="Q109" s="55"/>
      <c r="Z109" s="1"/>
      <c r="AA109" s="1"/>
      <c r="AB109" s="1"/>
    </row>
    <row r="110" spans="7:28" x14ac:dyDescent="0.35">
      <c r="Q110" s="55"/>
      <c r="Z110" s="1"/>
      <c r="AA110" s="1"/>
      <c r="AB110" s="1"/>
    </row>
    <row r="111" spans="7:28" x14ac:dyDescent="0.35">
      <c r="Q111" s="55"/>
      <c r="Z111" s="1"/>
      <c r="AA111" s="1"/>
      <c r="AB111" s="1"/>
    </row>
    <row r="112" spans="7:28" x14ac:dyDescent="0.35">
      <c r="Q112" s="55"/>
      <c r="Z112" s="1"/>
      <c r="AA112" s="1"/>
      <c r="AB112" s="1"/>
    </row>
    <row r="113" spans="17:28" x14ac:dyDescent="0.35">
      <c r="Q113" s="55"/>
      <c r="Z113" s="1"/>
      <c r="AA113" s="1"/>
      <c r="AB113" s="1"/>
    </row>
    <row r="114" spans="17:28" x14ac:dyDescent="0.35">
      <c r="Q114" s="55"/>
      <c r="Z114" s="1"/>
      <c r="AA114" s="1"/>
      <c r="AB114" s="1"/>
    </row>
    <row r="115" spans="17:28" x14ac:dyDescent="0.35">
      <c r="Q115" s="55"/>
      <c r="Z115" s="1"/>
      <c r="AA115" s="1"/>
      <c r="AB115" s="1"/>
    </row>
    <row r="116" spans="17:28" x14ac:dyDescent="0.35">
      <c r="Q116" s="55"/>
      <c r="Z116" s="1"/>
      <c r="AA116" s="1"/>
      <c r="AB116" s="1"/>
    </row>
    <row r="117" spans="17:28" x14ac:dyDescent="0.35">
      <c r="Q117" s="55"/>
      <c r="Z117" s="1"/>
      <c r="AA117" s="1"/>
      <c r="AB117" s="1"/>
    </row>
    <row r="118" spans="17:28" x14ac:dyDescent="0.35">
      <c r="Q118" s="55"/>
      <c r="Z118" s="1"/>
      <c r="AA118" s="1"/>
      <c r="AB118" s="1"/>
    </row>
    <row r="119" spans="17:28" x14ac:dyDescent="0.35">
      <c r="Q119" s="55"/>
      <c r="Z119" s="1"/>
      <c r="AA119" s="1"/>
      <c r="AB119" s="1"/>
    </row>
    <row r="120" spans="17:28" x14ac:dyDescent="0.35">
      <c r="Q120" s="55"/>
      <c r="Z120" s="1"/>
      <c r="AA120" s="1"/>
      <c r="AB120" s="1"/>
    </row>
    <row r="121" spans="17:28" x14ac:dyDescent="0.35">
      <c r="Q121" s="55"/>
      <c r="Z121" s="1"/>
      <c r="AA121" s="1"/>
      <c r="AB121" s="1"/>
    </row>
    <row r="122" spans="17:28" x14ac:dyDescent="0.35">
      <c r="Q122" s="55"/>
      <c r="Z122" s="1"/>
      <c r="AA122" s="1"/>
      <c r="AB122" s="1"/>
    </row>
    <row r="123" spans="17:28" x14ac:dyDescent="0.35">
      <c r="Q123" s="55"/>
      <c r="Z123" s="1"/>
      <c r="AA123" s="1"/>
      <c r="AB123" s="1"/>
    </row>
    <row r="124" spans="17:28" x14ac:dyDescent="0.35">
      <c r="Q124" s="55"/>
      <c r="Z124" s="1"/>
      <c r="AA124" s="1"/>
      <c r="AB124" s="1"/>
    </row>
    <row r="125" spans="17:28" x14ac:dyDescent="0.35">
      <c r="Q125" s="55"/>
      <c r="Z125" s="1"/>
      <c r="AA125" s="1"/>
      <c r="AB125" s="1"/>
    </row>
    <row r="126" spans="17:28" x14ac:dyDescent="0.35">
      <c r="Q126" s="55"/>
    </row>
    <row r="127" spans="17:28" x14ac:dyDescent="0.35">
      <c r="Q127" s="55"/>
    </row>
    <row r="128" spans="17:28" x14ac:dyDescent="0.35">
      <c r="Q128" s="55"/>
    </row>
    <row r="129" spans="1:24" x14ac:dyDescent="0.35">
      <c r="Q129" s="55"/>
    </row>
    <row r="130" spans="1:24" x14ac:dyDescent="0.35">
      <c r="Q130" s="55"/>
    </row>
    <row r="131" spans="1:24" x14ac:dyDescent="0.35">
      <c r="Q131" s="55"/>
    </row>
    <row r="132" spans="1:24" x14ac:dyDescent="0.35">
      <c r="Q132" s="55"/>
    </row>
    <row r="133" spans="1:24" x14ac:dyDescent="0.35">
      <c r="Q133" s="55"/>
    </row>
    <row r="134" spans="1:24" x14ac:dyDescent="0.35">
      <c r="A134"/>
      <c r="B134"/>
      <c r="Q134" s="55"/>
    </row>
    <row r="135" spans="1:24" x14ac:dyDescent="0.35">
      <c r="Q135" s="55"/>
    </row>
    <row r="136" spans="1:24" x14ac:dyDescent="0.35">
      <c r="Q136" s="55"/>
    </row>
    <row r="137" spans="1:24" x14ac:dyDescent="0.35">
      <c r="Q137" s="55"/>
    </row>
    <row r="138" spans="1:24" x14ac:dyDescent="0.35">
      <c r="Q138" s="55"/>
    </row>
    <row r="139" spans="1:24" x14ac:dyDescent="0.35">
      <c r="Q139" s="55"/>
    </row>
    <row r="140" spans="1:24" x14ac:dyDescent="0.35">
      <c r="Q140" s="55"/>
    </row>
    <row r="141" spans="1:24" x14ac:dyDescent="0.35">
      <c r="Q141" s="55"/>
    </row>
    <row r="142" spans="1:24" x14ac:dyDescent="0.35">
      <c r="Q142" s="55"/>
    </row>
    <row r="143" spans="1:24" x14ac:dyDescent="0.35">
      <c r="Q143" s="55"/>
    </row>
    <row r="144" spans="1:24" x14ac:dyDescent="0.35">
      <c r="Q144" s="55"/>
      <c r="R144" s="57"/>
      <c r="S144" s="57"/>
      <c r="T144" s="57"/>
      <c r="V144" s="57"/>
      <c r="W144" s="57"/>
      <c r="X144" s="57"/>
    </row>
    <row r="145" spans="1:28" x14ac:dyDescent="0.35">
      <c r="Q145" s="55"/>
      <c r="R145" s="57"/>
      <c r="S145" s="57"/>
      <c r="T145" s="57"/>
      <c r="V145" s="57"/>
      <c r="W145" s="57"/>
      <c r="X145" s="57"/>
    </row>
    <row r="146" spans="1:28" x14ac:dyDescent="0.35">
      <c r="A146"/>
      <c r="B146"/>
      <c r="Q146" s="55"/>
      <c r="R146" s="57"/>
      <c r="S146" s="57"/>
      <c r="T146" s="57"/>
      <c r="V146" s="57"/>
      <c r="W146" s="57"/>
      <c r="X146" s="57"/>
    </row>
    <row r="147" spans="1:28" x14ac:dyDescent="0.35">
      <c r="Q147" s="55"/>
    </row>
    <row r="148" spans="1:28" x14ac:dyDescent="0.35">
      <c r="Q148" s="55"/>
    </row>
    <row r="149" spans="1:28" x14ac:dyDescent="0.35">
      <c r="Q149" s="55"/>
    </row>
    <row r="150" spans="1:28" x14ac:dyDescent="0.35">
      <c r="Q150" s="55"/>
    </row>
    <row r="151" spans="1:28" x14ac:dyDescent="0.35">
      <c r="Q151" s="55"/>
      <c r="Z151" s="1"/>
      <c r="AA151" s="1"/>
      <c r="AB151" s="1"/>
    </row>
    <row r="152" spans="1:28" x14ac:dyDescent="0.35">
      <c r="Z152" s="1"/>
      <c r="AA152" s="1"/>
      <c r="AB152" s="1"/>
    </row>
    <row r="153" spans="1:28" x14ac:dyDescent="0.35">
      <c r="Z153" s="1"/>
      <c r="AA153" s="1"/>
      <c r="AB153" s="1"/>
    </row>
    <row r="154" spans="1:28" x14ac:dyDescent="0.35">
      <c r="Z154" s="1"/>
      <c r="AA154" s="1"/>
      <c r="AB154" s="1"/>
    </row>
    <row r="155" spans="1:28" x14ac:dyDescent="0.35">
      <c r="B155"/>
      <c r="D155"/>
      <c r="Z155" s="1"/>
      <c r="AA155" s="1"/>
      <c r="AB155" s="1"/>
    </row>
    <row r="156" spans="1:28" x14ac:dyDescent="0.35">
      <c r="Z156" s="1"/>
      <c r="AA156" s="1"/>
      <c r="AB156" s="1"/>
    </row>
    <row r="157" spans="1:28" x14ac:dyDescent="0.35">
      <c r="Z157" s="1"/>
      <c r="AA157" s="1"/>
      <c r="AB157" s="1"/>
    </row>
    <row r="158" spans="1:28" x14ac:dyDescent="0.35">
      <c r="Z158" s="1"/>
      <c r="AA158" s="1"/>
      <c r="AB158" s="1"/>
    </row>
    <row r="159" spans="1:28" x14ac:dyDescent="0.35">
      <c r="Z159" s="1"/>
      <c r="AA159" s="1"/>
      <c r="AB159" s="1"/>
    </row>
    <row r="160" spans="1:28" x14ac:dyDescent="0.35">
      <c r="Z160" s="1"/>
      <c r="AA160" s="1"/>
      <c r="AB160" s="1"/>
    </row>
    <row r="161" spans="26:28" x14ac:dyDescent="0.35">
      <c r="Z161" s="1"/>
      <c r="AA161" s="1"/>
      <c r="AB161" s="1"/>
    </row>
    <row r="162" spans="26:28" x14ac:dyDescent="0.35">
      <c r="Z162" s="1"/>
      <c r="AA162" s="1"/>
      <c r="AB162" s="1"/>
    </row>
    <row r="163" spans="26:28" x14ac:dyDescent="0.35">
      <c r="Z163" s="1"/>
      <c r="AA163" s="1"/>
      <c r="AB163" s="1"/>
    </row>
    <row r="164" spans="26:28" x14ac:dyDescent="0.35">
      <c r="Z164" s="1"/>
      <c r="AA164" s="1"/>
      <c r="AB164" s="1"/>
    </row>
    <row r="165" spans="26:28" x14ac:dyDescent="0.35">
      <c r="Z165" s="1"/>
      <c r="AA165" s="1"/>
      <c r="AB165" s="1"/>
    </row>
    <row r="166" spans="26:28" x14ac:dyDescent="0.35">
      <c r="Z166" s="1"/>
      <c r="AA166" s="1"/>
      <c r="AB166" s="1"/>
    </row>
    <row r="167" spans="26:28" x14ac:dyDescent="0.35">
      <c r="Z167" s="1"/>
      <c r="AA167" s="1"/>
      <c r="AB167" s="1"/>
    </row>
    <row r="168" spans="26:28" x14ac:dyDescent="0.35">
      <c r="Z168" s="1"/>
      <c r="AA168" s="1"/>
      <c r="AB168" s="1"/>
    </row>
    <row r="169" spans="26:28" x14ac:dyDescent="0.35">
      <c r="Z169" s="1"/>
      <c r="AA169" s="1"/>
      <c r="AB169" s="1"/>
    </row>
    <row r="170" spans="26:28" x14ac:dyDescent="0.35">
      <c r="Z170" s="1"/>
      <c r="AA170" s="1"/>
      <c r="AB170" s="1"/>
    </row>
    <row r="171" spans="26:28" x14ac:dyDescent="0.35">
      <c r="Z171" s="1"/>
      <c r="AA171" s="1"/>
      <c r="AB171" s="1"/>
    </row>
    <row r="172" spans="26:28" x14ac:dyDescent="0.35">
      <c r="Z172" s="1"/>
      <c r="AA172" s="1"/>
      <c r="AB172" s="1"/>
    </row>
    <row r="173" spans="26:28" x14ac:dyDescent="0.35">
      <c r="Z173" s="1"/>
      <c r="AA173" s="1"/>
      <c r="AB173" s="1"/>
    </row>
    <row r="174" spans="26:28" x14ac:dyDescent="0.35">
      <c r="Z174" s="1"/>
      <c r="AA174" s="1"/>
      <c r="AB174" s="1"/>
    </row>
    <row r="175" spans="26:28" x14ac:dyDescent="0.35">
      <c r="Z175" s="1"/>
      <c r="AA175" s="1"/>
      <c r="AB175" s="1"/>
    </row>
    <row r="176" spans="26:28" x14ac:dyDescent="0.35">
      <c r="Z176" s="1"/>
      <c r="AA176" s="1"/>
      <c r="AB176" s="1"/>
    </row>
    <row r="177" spans="2:28" x14ac:dyDescent="0.35">
      <c r="Z177" s="1"/>
      <c r="AA177" s="1"/>
      <c r="AB177" s="1"/>
    </row>
    <row r="178" spans="2:28" x14ac:dyDescent="0.35">
      <c r="Z178" s="1"/>
      <c r="AA178" s="1"/>
      <c r="AB178" s="1"/>
    </row>
    <row r="179" spans="2:28" x14ac:dyDescent="0.35">
      <c r="Z179" s="1"/>
      <c r="AA179" s="1"/>
      <c r="AB179" s="1"/>
    </row>
    <row r="180" spans="2:28" x14ac:dyDescent="0.35">
      <c r="Z180" s="1"/>
      <c r="AA180" s="1"/>
      <c r="AB180" s="1"/>
    </row>
    <row r="181" spans="2:28" x14ac:dyDescent="0.35">
      <c r="Z181" s="1"/>
      <c r="AA181" s="1"/>
      <c r="AB181" s="1"/>
    </row>
    <row r="182" spans="2:28" x14ac:dyDescent="0.35">
      <c r="Z182" s="1"/>
      <c r="AA182" s="1"/>
      <c r="AB182" s="1"/>
    </row>
    <row r="183" spans="2:28" x14ac:dyDescent="0.35">
      <c r="B183"/>
      <c r="D183"/>
      <c r="Z183" s="1"/>
      <c r="AA183" s="1"/>
      <c r="AB183" s="1"/>
    </row>
    <row r="184" spans="2:28" x14ac:dyDescent="0.35">
      <c r="Z184" s="1"/>
      <c r="AA184" s="1"/>
      <c r="AB184" s="1"/>
    </row>
    <row r="185" spans="2:28" x14ac:dyDescent="0.35">
      <c r="Z185" s="1"/>
      <c r="AA185" s="1"/>
      <c r="AB185" s="1"/>
    </row>
    <row r="186" spans="2:28" x14ac:dyDescent="0.35">
      <c r="Z186" s="1"/>
      <c r="AA186" s="1"/>
      <c r="AB186" s="1"/>
    </row>
    <row r="187" spans="2:28" x14ac:dyDescent="0.35">
      <c r="Z187" s="1"/>
      <c r="AA187" s="1"/>
      <c r="AB187" s="1"/>
    </row>
    <row r="188" spans="2:28" x14ac:dyDescent="0.35">
      <c r="Z188" s="1"/>
      <c r="AA188" s="1"/>
      <c r="AB188" s="1"/>
    </row>
    <row r="189" spans="2:28" x14ac:dyDescent="0.35">
      <c r="Z189" s="1"/>
      <c r="AA189" s="1"/>
      <c r="AB189" s="1"/>
    </row>
    <row r="226" spans="1:2" x14ac:dyDescent="0.35">
      <c r="A226"/>
      <c r="B226"/>
    </row>
    <row r="262" spans="1:4" x14ac:dyDescent="0.35">
      <c r="B262"/>
      <c r="D262"/>
    </row>
    <row r="269" spans="1:4" x14ac:dyDescent="0.35">
      <c r="A269"/>
      <c r="B269"/>
    </row>
    <row r="314" spans="1:3" x14ac:dyDescent="0.35">
      <c r="A314"/>
      <c r="B314"/>
    </row>
    <row r="315" spans="1:3" x14ac:dyDescent="0.35">
      <c r="C315" s="20"/>
    </row>
  </sheetData>
  <protectedRanges>
    <protectedRange sqref="A48:D73 C80:C81 C79:F79" name="Plage1_2"/>
    <protectedRange sqref="A18:D47 A17 E18:F73 A2:F16" name="Plage1_6_1"/>
    <protectedRange sqref="Q26:R26 T26" name="Plage1"/>
    <protectedRange sqref="V26:X26" name="Plage1_1"/>
  </protectedRanges>
  <sortState ref="A2:F8">
    <sortCondition ref="F2"/>
  </sortState>
  <customSheetViews>
    <customSheetView guid="{78C5045A-3FD3-4C60-B2E3-9FBBF1337D5C}" topLeftCell="D1">
      <selection activeCell="J17" sqref="J17"/>
      <pageMargins left="0.7" right="0.7" top="0.75" bottom="0.75" header="0.3" footer="0.3"/>
      <pageSetup paperSize="9" orientation="portrait" r:id="rId1"/>
    </customSheetView>
  </customSheetView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sheetPr>
  <dimension ref="A1:XFD39"/>
  <sheetViews>
    <sheetView tabSelected="1" zoomScale="70" zoomScaleNormal="70" workbookViewId="0"/>
  </sheetViews>
  <sheetFormatPr defaultColWidth="9.1796875" defaultRowHeight="14.5" x14ac:dyDescent="0.35"/>
  <cols>
    <col min="1" max="1" width="21.453125" style="3" customWidth="1"/>
    <col min="2" max="2" width="11.7265625" style="3" customWidth="1"/>
    <col min="3" max="3" width="17.1796875" style="3" customWidth="1"/>
    <col min="4" max="7" width="9.1796875" style="3"/>
    <col min="8" max="8" width="5.7265625" style="36" customWidth="1"/>
    <col min="9" max="9" width="12.81640625" style="3" customWidth="1"/>
    <col min="10" max="10" width="9.1796875" style="3" customWidth="1"/>
    <col min="11" max="11" width="10.81640625" style="3" customWidth="1"/>
    <col min="12" max="14" width="9.1796875" style="3"/>
    <col min="15" max="15" width="11" style="3" customWidth="1"/>
    <col min="16" max="16" width="9.1796875" style="3" customWidth="1"/>
    <col min="17" max="17" width="9.1796875" style="3"/>
    <col min="18" max="19" width="9.1796875" style="3" customWidth="1"/>
    <col min="20" max="20" width="12.54296875" style="3" customWidth="1"/>
    <col min="21" max="21" width="9.1796875" style="3"/>
    <col min="22" max="22" width="11.453125" style="3" customWidth="1"/>
    <col min="23" max="16384" width="9.1796875" style="3"/>
  </cols>
  <sheetData>
    <row r="1" spans="1:16384" s="54" customFormat="1" ht="30" customHeight="1" x14ac:dyDescent="0.7">
      <c r="A1" s="52" t="s">
        <v>1927</v>
      </c>
      <c r="B1" s="53"/>
      <c r="C1" s="53" t="s">
        <v>1924</v>
      </c>
      <c r="D1" s="53"/>
      <c r="E1" s="53"/>
      <c r="F1" s="53"/>
      <c r="G1" s="53"/>
      <c r="H1" s="53"/>
      <c r="I1" s="53"/>
      <c r="J1" s="53"/>
      <c r="K1" s="53" t="s">
        <v>2823</v>
      </c>
      <c r="L1" s="53"/>
      <c r="M1" s="53"/>
      <c r="N1" s="53"/>
      <c r="O1" s="53"/>
      <c r="P1" s="53"/>
      <c r="Q1" s="53"/>
      <c r="R1" s="53"/>
      <c r="S1" s="53"/>
      <c r="T1" s="53" t="s">
        <v>1925</v>
      </c>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c r="CD1" s="53"/>
      <c r="CE1" s="53"/>
      <c r="CF1" s="53"/>
      <c r="CG1" s="53"/>
      <c r="CH1" s="53"/>
      <c r="CI1" s="53"/>
      <c r="CJ1" s="53"/>
      <c r="CK1" s="53"/>
      <c r="CL1" s="53"/>
      <c r="CM1" s="53"/>
      <c r="CN1" s="53"/>
      <c r="CO1" s="53"/>
      <c r="CP1" s="53"/>
      <c r="CQ1" s="53"/>
      <c r="CR1" s="53"/>
      <c r="CS1" s="53"/>
      <c r="CT1" s="53"/>
      <c r="CU1" s="53"/>
      <c r="CV1" s="53"/>
      <c r="CW1" s="53"/>
      <c r="CX1" s="53"/>
      <c r="CY1" s="53"/>
      <c r="CZ1" s="53"/>
      <c r="DA1" s="53"/>
      <c r="DB1" s="53"/>
      <c r="DC1" s="53"/>
      <c r="DD1" s="53"/>
      <c r="DE1" s="53"/>
      <c r="DF1" s="53"/>
      <c r="DG1" s="53"/>
      <c r="DH1" s="53"/>
      <c r="DI1" s="53"/>
      <c r="DJ1" s="53"/>
      <c r="DK1" s="53"/>
      <c r="DL1" s="53"/>
      <c r="DM1" s="53"/>
      <c r="DN1" s="53"/>
      <c r="DO1" s="53"/>
      <c r="DP1" s="53"/>
      <c r="DQ1" s="53"/>
      <c r="DR1" s="53"/>
      <c r="DS1" s="53"/>
      <c r="DT1" s="53"/>
      <c r="DU1" s="53"/>
      <c r="DV1" s="53"/>
      <c r="DW1" s="53"/>
      <c r="DX1" s="53"/>
      <c r="DY1" s="53"/>
      <c r="DZ1" s="53"/>
      <c r="EA1" s="53"/>
      <c r="EB1" s="53"/>
      <c r="EC1" s="53"/>
      <c r="ED1" s="53"/>
      <c r="EE1" s="53"/>
      <c r="EF1" s="53"/>
      <c r="EG1" s="53"/>
      <c r="EH1" s="53"/>
      <c r="EI1" s="53"/>
      <c r="EJ1" s="53"/>
      <c r="EK1" s="53"/>
      <c r="EL1" s="53"/>
      <c r="EM1" s="53"/>
      <c r="EN1" s="53"/>
      <c r="EO1" s="53"/>
      <c r="EP1" s="53"/>
      <c r="EQ1" s="53"/>
      <c r="ER1" s="53"/>
      <c r="ES1" s="53"/>
      <c r="ET1" s="53"/>
      <c r="EU1" s="53"/>
      <c r="EV1" s="53"/>
      <c r="EW1" s="53"/>
      <c r="EX1" s="53"/>
      <c r="EY1" s="53"/>
      <c r="EZ1" s="53"/>
      <c r="FA1" s="53"/>
      <c r="FB1" s="53"/>
      <c r="FC1" s="53"/>
      <c r="FD1" s="53"/>
      <c r="FE1" s="53"/>
      <c r="FF1" s="53"/>
      <c r="FG1" s="53"/>
      <c r="FH1" s="53"/>
      <c r="FI1" s="53"/>
      <c r="FJ1" s="53"/>
      <c r="FK1" s="53"/>
      <c r="FL1" s="53"/>
      <c r="FM1" s="53"/>
      <c r="FN1" s="53"/>
      <c r="FO1" s="53"/>
      <c r="FP1" s="53"/>
      <c r="FQ1" s="53"/>
      <c r="FR1" s="53"/>
      <c r="FS1" s="53"/>
      <c r="FT1" s="53"/>
      <c r="FU1" s="53"/>
      <c r="FV1" s="53"/>
      <c r="FW1" s="53"/>
      <c r="FX1" s="53"/>
      <c r="FY1" s="53"/>
      <c r="FZ1" s="53"/>
      <c r="GA1" s="53"/>
      <c r="GB1" s="53"/>
      <c r="GC1" s="53"/>
      <c r="GD1" s="53"/>
      <c r="GE1" s="53"/>
      <c r="GF1" s="53"/>
      <c r="GG1" s="53"/>
      <c r="GH1" s="53"/>
      <c r="GI1" s="53"/>
      <c r="GJ1" s="53"/>
      <c r="GK1" s="53"/>
      <c r="GL1" s="53"/>
      <c r="GM1" s="53"/>
      <c r="GN1" s="53"/>
      <c r="GO1" s="53"/>
      <c r="GP1" s="53"/>
      <c r="GQ1" s="53"/>
      <c r="GR1" s="53"/>
      <c r="GS1" s="53"/>
      <c r="GT1" s="53"/>
      <c r="GU1" s="53"/>
      <c r="GV1" s="53"/>
      <c r="GW1" s="53"/>
      <c r="GX1" s="53"/>
      <c r="GY1" s="53"/>
      <c r="GZ1" s="53"/>
      <c r="HA1" s="53"/>
      <c r="HB1" s="53"/>
      <c r="HC1" s="53"/>
      <c r="HD1" s="53"/>
      <c r="HE1" s="53"/>
      <c r="HF1" s="53"/>
      <c r="HG1" s="53"/>
      <c r="HH1" s="53"/>
      <c r="HI1" s="53"/>
      <c r="HJ1" s="53"/>
      <c r="HK1" s="53"/>
      <c r="HL1" s="53"/>
      <c r="HM1" s="53"/>
      <c r="HN1" s="53"/>
      <c r="HO1" s="53"/>
      <c r="HP1" s="53"/>
      <c r="HQ1" s="53"/>
      <c r="HR1" s="53"/>
      <c r="HS1" s="53"/>
      <c r="HT1" s="53"/>
      <c r="HU1" s="53"/>
      <c r="HV1" s="53"/>
      <c r="HW1" s="53"/>
      <c r="HX1" s="53"/>
      <c r="HY1" s="53"/>
      <c r="HZ1" s="53"/>
      <c r="IA1" s="53"/>
      <c r="IB1" s="53"/>
      <c r="IC1" s="53"/>
      <c r="ID1" s="53"/>
      <c r="IE1" s="53"/>
      <c r="IF1" s="53"/>
      <c r="IG1" s="53"/>
      <c r="IH1" s="53"/>
      <c r="II1" s="53"/>
      <c r="IJ1" s="53"/>
      <c r="IK1" s="53"/>
      <c r="IL1" s="53"/>
      <c r="IM1" s="53"/>
      <c r="IN1" s="53"/>
      <c r="IO1" s="53"/>
      <c r="IP1" s="53"/>
      <c r="IQ1" s="53"/>
      <c r="IR1" s="53"/>
      <c r="IS1" s="53"/>
      <c r="IT1" s="53"/>
      <c r="IU1" s="53"/>
      <c r="IV1" s="53"/>
      <c r="IW1" s="53"/>
      <c r="IX1" s="53"/>
      <c r="IY1" s="53"/>
      <c r="IZ1" s="53"/>
      <c r="JA1" s="53"/>
      <c r="JB1" s="53"/>
      <c r="JC1" s="53"/>
      <c r="JD1" s="53"/>
      <c r="JE1" s="53"/>
      <c r="JF1" s="53"/>
      <c r="JG1" s="53"/>
      <c r="JH1" s="53"/>
      <c r="JI1" s="53"/>
      <c r="JJ1" s="53"/>
      <c r="JK1" s="53"/>
      <c r="JL1" s="53"/>
      <c r="JM1" s="53"/>
      <c r="JN1" s="53"/>
      <c r="JO1" s="53"/>
      <c r="JP1" s="53"/>
      <c r="JQ1" s="53"/>
      <c r="JR1" s="53"/>
      <c r="JS1" s="53"/>
      <c r="JT1" s="53"/>
      <c r="JU1" s="53"/>
      <c r="JV1" s="53"/>
      <c r="JW1" s="53"/>
      <c r="JX1" s="53"/>
      <c r="JY1" s="53"/>
      <c r="JZ1" s="53"/>
      <c r="KA1" s="53"/>
      <c r="KB1" s="53"/>
      <c r="KC1" s="53"/>
      <c r="KD1" s="53"/>
      <c r="KE1" s="53"/>
      <c r="KF1" s="53"/>
      <c r="KG1" s="53"/>
      <c r="KH1" s="53"/>
      <c r="KI1" s="53"/>
      <c r="KJ1" s="53"/>
      <c r="KK1" s="53"/>
      <c r="KL1" s="53"/>
      <c r="KM1" s="53"/>
      <c r="KN1" s="53"/>
      <c r="KO1" s="53"/>
      <c r="KP1" s="53"/>
      <c r="KQ1" s="53"/>
      <c r="KR1" s="53"/>
      <c r="KS1" s="53"/>
      <c r="KT1" s="53"/>
      <c r="KU1" s="53"/>
      <c r="KV1" s="53"/>
      <c r="KW1" s="53"/>
      <c r="KX1" s="53"/>
      <c r="KY1" s="53"/>
      <c r="KZ1" s="53"/>
      <c r="LA1" s="53"/>
      <c r="LB1" s="53"/>
      <c r="LC1" s="53"/>
      <c r="LD1" s="53"/>
      <c r="LE1" s="53"/>
      <c r="LF1" s="53"/>
      <c r="LG1" s="53"/>
      <c r="LH1" s="53"/>
      <c r="LI1" s="53"/>
      <c r="LJ1" s="53"/>
      <c r="LK1" s="53"/>
      <c r="LL1" s="53"/>
      <c r="LM1" s="53"/>
      <c r="LN1" s="53"/>
      <c r="LO1" s="53"/>
      <c r="LP1" s="53"/>
      <c r="LQ1" s="53"/>
      <c r="LR1" s="53"/>
      <c r="LS1" s="53"/>
      <c r="LT1" s="53"/>
      <c r="LU1" s="53"/>
      <c r="LV1" s="53"/>
      <c r="LW1" s="53"/>
      <c r="LX1" s="53"/>
      <c r="LY1" s="53"/>
      <c r="LZ1" s="53"/>
      <c r="MA1" s="53"/>
      <c r="MB1" s="53"/>
      <c r="MC1" s="53"/>
      <c r="MD1" s="53"/>
      <c r="ME1" s="53"/>
      <c r="MF1" s="53"/>
      <c r="MG1" s="53"/>
      <c r="MH1" s="53"/>
      <c r="MI1" s="53"/>
      <c r="MJ1" s="53"/>
      <c r="MK1" s="53"/>
      <c r="ML1" s="53"/>
      <c r="MM1" s="53"/>
      <c r="MN1" s="53"/>
      <c r="MO1" s="53"/>
      <c r="MP1" s="53"/>
      <c r="MQ1" s="53"/>
      <c r="MR1" s="53"/>
      <c r="MS1" s="53"/>
      <c r="MT1" s="53"/>
      <c r="MU1" s="53"/>
      <c r="MV1" s="53"/>
      <c r="MW1" s="53"/>
      <c r="MX1" s="53"/>
      <c r="MY1" s="53"/>
      <c r="MZ1" s="53"/>
      <c r="NA1" s="53"/>
      <c r="NB1" s="53"/>
      <c r="NC1" s="53"/>
      <c r="ND1" s="53"/>
      <c r="NE1" s="53"/>
      <c r="NF1" s="53"/>
      <c r="NG1" s="53"/>
      <c r="NH1" s="53"/>
      <c r="NI1" s="53"/>
      <c r="NJ1" s="53"/>
      <c r="NK1" s="53"/>
      <c r="NL1" s="53"/>
      <c r="NM1" s="53"/>
      <c r="NN1" s="53"/>
      <c r="NO1" s="53"/>
      <c r="NP1" s="53"/>
      <c r="NQ1" s="53"/>
      <c r="NR1" s="53"/>
      <c r="NS1" s="53"/>
      <c r="NT1" s="53"/>
      <c r="NU1" s="53"/>
      <c r="NV1" s="53"/>
      <c r="NW1" s="53"/>
      <c r="NX1" s="53"/>
      <c r="NY1" s="53"/>
      <c r="NZ1" s="53"/>
      <c r="OA1" s="53"/>
      <c r="OB1" s="53"/>
      <c r="OC1" s="53"/>
      <c r="OD1" s="53"/>
      <c r="OE1" s="53"/>
      <c r="OF1" s="53"/>
      <c r="OG1" s="53"/>
      <c r="OH1" s="53"/>
      <c r="OI1" s="53"/>
      <c r="OJ1" s="53"/>
      <c r="OK1" s="53"/>
      <c r="OL1" s="53"/>
      <c r="OM1" s="53"/>
      <c r="ON1" s="53"/>
      <c r="OO1" s="53"/>
      <c r="OP1" s="53"/>
      <c r="OQ1" s="53"/>
      <c r="OR1" s="53"/>
      <c r="OS1" s="53"/>
      <c r="OT1" s="53"/>
      <c r="OU1" s="53"/>
      <c r="OV1" s="53"/>
      <c r="OW1" s="53"/>
      <c r="OX1" s="53"/>
      <c r="OY1" s="53"/>
      <c r="OZ1" s="53"/>
      <c r="PA1" s="53"/>
      <c r="PB1" s="53"/>
      <c r="PC1" s="53"/>
      <c r="PD1" s="53"/>
      <c r="PE1" s="53"/>
      <c r="PF1" s="53"/>
      <c r="PG1" s="53"/>
      <c r="PH1" s="53"/>
      <c r="PI1" s="53"/>
      <c r="PJ1" s="53"/>
      <c r="PK1" s="53"/>
      <c r="PL1" s="53"/>
      <c r="PM1" s="53"/>
      <c r="PN1" s="53"/>
      <c r="PO1" s="53"/>
      <c r="PP1" s="53"/>
      <c r="PQ1" s="53"/>
      <c r="PR1" s="53"/>
      <c r="PS1" s="53"/>
      <c r="PT1" s="53"/>
      <c r="PU1" s="53"/>
      <c r="PV1" s="53"/>
      <c r="PW1" s="53"/>
      <c r="PX1" s="53"/>
      <c r="PY1" s="53"/>
      <c r="PZ1" s="53"/>
      <c r="QA1" s="53"/>
      <c r="QB1" s="53"/>
      <c r="QC1" s="53"/>
      <c r="QD1" s="53"/>
      <c r="QE1" s="53"/>
      <c r="QF1" s="53"/>
      <c r="QG1" s="53"/>
      <c r="QH1" s="53"/>
      <c r="QI1" s="53"/>
      <c r="QJ1" s="53"/>
      <c r="QK1" s="53"/>
      <c r="QL1" s="53"/>
      <c r="QM1" s="53"/>
      <c r="QN1" s="53"/>
      <c r="QO1" s="53"/>
      <c r="QP1" s="53"/>
      <c r="QQ1" s="53"/>
      <c r="QR1" s="53"/>
      <c r="QS1" s="53"/>
      <c r="QT1" s="53"/>
      <c r="QU1" s="53"/>
      <c r="QV1" s="53"/>
      <c r="QW1" s="53"/>
      <c r="QX1" s="53"/>
      <c r="QY1" s="53"/>
      <c r="QZ1" s="53"/>
      <c r="RA1" s="53"/>
      <c r="RB1" s="53"/>
      <c r="RC1" s="53"/>
      <c r="RD1" s="53"/>
      <c r="RE1" s="53"/>
      <c r="RF1" s="53"/>
      <c r="RG1" s="53"/>
      <c r="RH1" s="53"/>
      <c r="RI1" s="53"/>
      <c r="RJ1" s="53"/>
      <c r="RK1" s="53"/>
      <c r="RL1" s="53"/>
      <c r="RM1" s="53"/>
      <c r="RN1" s="53"/>
      <c r="RO1" s="53"/>
      <c r="RP1" s="53"/>
      <c r="RQ1" s="53"/>
      <c r="RR1" s="53"/>
      <c r="RS1" s="53"/>
      <c r="RT1" s="53"/>
      <c r="RU1" s="53"/>
      <c r="RV1" s="53"/>
      <c r="RW1" s="53"/>
      <c r="RX1" s="53"/>
      <c r="RY1" s="53"/>
      <c r="RZ1" s="53"/>
      <c r="SA1" s="53"/>
      <c r="SB1" s="53"/>
      <c r="SC1" s="53"/>
      <c r="SD1" s="53"/>
      <c r="SE1" s="53"/>
      <c r="SF1" s="53"/>
      <c r="SG1" s="53"/>
      <c r="SH1" s="53"/>
      <c r="SI1" s="53"/>
      <c r="SJ1" s="53"/>
      <c r="SK1" s="53"/>
      <c r="SL1" s="53"/>
      <c r="SM1" s="53"/>
      <c r="SN1" s="53"/>
      <c r="SO1" s="53"/>
      <c r="SP1" s="53"/>
      <c r="SQ1" s="53"/>
      <c r="SR1" s="53"/>
      <c r="SS1" s="53"/>
      <c r="ST1" s="53"/>
      <c r="SU1" s="53"/>
      <c r="SV1" s="53"/>
      <c r="SW1" s="53"/>
      <c r="SX1" s="53"/>
      <c r="SY1" s="53"/>
      <c r="SZ1" s="53"/>
      <c r="TA1" s="53"/>
      <c r="TB1" s="53"/>
      <c r="TC1" s="53"/>
      <c r="TD1" s="53"/>
      <c r="TE1" s="53"/>
      <c r="TF1" s="53"/>
      <c r="TG1" s="53"/>
      <c r="TH1" s="53"/>
      <c r="TI1" s="53"/>
      <c r="TJ1" s="53"/>
      <c r="TK1" s="53"/>
      <c r="TL1" s="53"/>
      <c r="TM1" s="53"/>
      <c r="TN1" s="53"/>
      <c r="TO1" s="53"/>
      <c r="TP1" s="53"/>
      <c r="TQ1" s="53"/>
      <c r="TR1" s="53"/>
      <c r="TS1" s="53"/>
      <c r="TT1" s="53"/>
      <c r="TU1" s="53"/>
      <c r="TV1" s="53"/>
      <c r="TW1" s="53"/>
      <c r="TX1" s="53"/>
      <c r="TY1" s="53"/>
      <c r="TZ1" s="53"/>
      <c r="UA1" s="53"/>
      <c r="UB1" s="53"/>
      <c r="UC1" s="53"/>
      <c r="UD1" s="53"/>
      <c r="UE1" s="53"/>
      <c r="UF1" s="53"/>
      <c r="UG1" s="53"/>
      <c r="UH1" s="53"/>
      <c r="UI1" s="53"/>
      <c r="UJ1" s="53"/>
      <c r="UK1" s="53"/>
      <c r="UL1" s="53"/>
      <c r="UM1" s="53"/>
      <c r="UN1" s="53"/>
      <c r="UO1" s="53"/>
      <c r="UP1" s="53"/>
      <c r="UQ1" s="53"/>
      <c r="UR1" s="53"/>
      <c r="US1" s="53"/>
      <c r="UT1" s="53"/>
      <c r="UU1" s="53"/>
      <c r="UV1" s="53"/>
      <c r="UW1" s="53"/>
      <c r="UX1" s="53"/>
      <c r="UY1" s="53"/>
      <c r="UZ1" s="53"/>
      <c r="VA1" s="53"/>
      <c r="VB1" s="53"/>
      <c r="VC1" s="53"/>
      <c r="VD1" s="53"/>
      <c r="VE1" s="53"/>
      <c r="VF1" s="53"/>
      <c r="VG1" s="53"/>
      <c r="VH1" s="53"/>
      <c r="VI1" s="53"/>
      <c r="VJ1" s="53"/>
      <c r="VK1" s="53"/>
      <c r="VL1" s="53"/>
      <c r="VM1" s="53"/>
      <c r="VN1" s="53"/>
      <c r="VO1" s="53"/>
      <c r="VP1" s="53"/>
      <c r="VQ1" s="53"/>
      <c r="VR1" s="53"/>
      <c r="VS1" s="53"/>
      <c r="VT1" s="53"/>
      <c r="VU1" s="53"/>
      <c r="VV1" s="53"/>
      <c r="VW1" s="53"/>
      <c r="VX1" s="53"/>
      <c r="VY1" s="53"/>
      <c r="VZ1" s="53"/>
      <c r="WA1" s="53"/>
      <c r="WB1" s="53"/>
      <c r="WC1" s="53"/>
      <c r="WD1" s="53"/>
      <c r="WE1" s="53"/>
      <c r="WF1" s="53"/>
      <c r="WG1" s="53"/>
      <c r="WH1" s="53"/>
      <c r="WI1" s="53"/>
      <c r="WJ1" s="53"/>
      <c r="WK1" s="53"/>
      <c r="WL1" s="53"/>
      <c r="WM1" s="53"/>
      <c r="WN1" s="53"/>
      <c r="WO1" s="53"/>
      <c r="WP1" s="53"/>
      <c r="WQ1" s="53"/>
      <c r="WR1" s="53"/>
      <c r="WS1" s="53"/>
      <c r="WT1" s="53"/>
      <c r="WU1" s="53"/>
      <c r="WV1" s="53"/>
      <c r="WW1" s="53"/>
      <c r="WX1" s="53"/>
      <c r="WY1" s="53"/>
      <c r="WZ1" s="53"/>
      <c r="XA1" s="53"/>
      <c r="XB1" s="53"/>
      <c r="XC1" s="53"/>
      <c r="XD1" s="53"/>
      <c r="XE1" s="53"/>
      <c r="XF1" s="53"/>
      <c r="XG1" s="53"/>
      <c r="XH1" s="53"/>
      <c r="XI1" s="53"/>
      <c r="XJ1" s="53"/>
      <c r="XK1" s="53"/>
      <c r="XL1" s="53"/>
      <c r="XM1" s="53"/>
      <c r="XN1" s="53"/>
      <c r="XO1" s="53"/>
      <c r="XP1" s="53"/>
      <c r="XQ1" s="53"/>
      <c r="XR1" s="53"/>
      <c r="XS1" s="53"/>
      <c r="XT1" s="53"/>
      <c r="XU1" s="53"/>
      <c r="XV1" s="53"/>
      <c r="XW1" s="53"/>
      <c r="XX1" s="53"/>
      <c r="XY1" s="53"/>
      <c r="XZ1" s="53"/>
      <c r="YA1" s="53"/>
      <c r="YB1" s="53"/>
      <c r="YC1" s="53"/>
      <c r="YD1" s="53"/>
      <c r="YE1" s="53"/>
      <c r="YF1" s="53"/>
      <c r="YG1" s="53"/>
      <c r="YH1" s="53"/>
      <c r="YI1" s="53"/>
      <c r="YJ1" s="53"/>
      <c r="YK1" s="53"/>
      <c r="YL1" s="53"/>
      <c r="YM1" s="53"/>
      <c r="YN1" s="53"/>
      <c r="YO1" s="53"/>
      <c r="YP1" s="53"/>
      <c r="YQ1" s="53"/>
      <c r="YR1" s="53"/>
      <c r="YS1" s="53"/>
      <c r="YT1" s="53"/>
      <c r="YU1" s="53"/>
      <c r="YV1" s="53"/>
      <c r="YW1" s="53"/>
      <c r="YX1" s="53"/>
      <c r="YY1" s="53"/>
      <c r="YZ1" s="53"/>
      <c r="ZA1" s="53"/>
      <c r="ZB1" s="53"/>
      <c r="ZC1" s="53"/>
      <c r="ZD1" s="53"/>
      <c r="ZE1" s="53"/>
      <c r="ZF1" s="53"/>
      <c r="ZG1" s="53"/>
      <c r="ZH1" s="53"/>
      <c r="ZI1" s="53"/>
      <c r="ZJ1" s="53"/>
      <c r="ZK1" s="53"/>
      <c r="ZL1" s="53"/>
      <c r="ZM1" s="53"/>
      <c r="ZN1" s="53"/>
      <c r="ZO1" s="53"/>
      <c r="ZP1" s="53"/>
      <c r="ZQ1" s="53"/>
      <c r="ZR1" s="53"/>
      <c r="ZS1" s="53"/>
      <c r="ZT1" s="53"/>
      <c r="ZU1" s="53"/>
      <c r="ZV1" s="53"/>
      <c r="ZW1" s="53"/>
      <c r="ZX1" s="53"/>
      <c r="ZY1" s="53"/>
      <c r="ZZ1" s="53"/>
      <c r="AAA1" s="53"/>
      <c r="AAB1" s="53"/>
      <c r="AAC1" s="53"/>
      <c r="AAD1" s="53"/>
      <c r="AAE1" s="53"/>
      <c r="AAF1" s="53"/>
      <c r="AAG1" s="53"/>
      <c r="AAH1" s="53"/>
      <c r="AAI1" s="53"/>
      <c r="AAJ1" s="53"/>
      <c r="AAK1" s="53"/>
      <c r="AAL1" s="53"/>
      <c r="AAM1" s="53"/>
      <c r="AAN1" s="53"/>
      <c r="AAO1" s="53"/>
      <c r="AAP1" s="53"/>
      <c r="AAQ1" s="53"/>
      <c r="AAR1" s="53"/>
      <c r="AAS1" s="53"/>
      <c r="AAT1" s="53"/>
      <c r="AAU1" s="53"/>
      <c r="AAV1" s="53"/>
      <c r="AAW1" s="53"/>
      <c r="AAX1" s="53"/>
      <c r="AAY1" s="53"/>
      <c r="AAZ1" s="53"/>
      <c r="ABA1" s="53"/>
      <c r="ABB1" s="53"/>
      <c r="ABC1" s="53"/>
      <c r="ABD1" s="53"/>
      <c r="ABE1" s="53"/>
      <c r="ABF1" s="53"/>
      <c r="ABG1" s="53"/>
      <c r="ABH1" s="53"/>
      <c r="ABI1" s="53"/>
      <c r="ABJ1" s="53"/>
      <c r="ABK1" s="53"/>
      <c r="ABL1" s="53"/>
      <c r="ABM1" s="53"/>
      <c r="ABN1" s="53"/>
      <c r="ABO1" s="53"/>
      <c r="ABP1" s="53"/>
      <c r="ABQ1" s="53"/>
      <c r="ABR1" s="53"/>
      <c r="ABS1" s="53"/>
      <c r="ABT1" s="53"/>
      <c r="ABU1" s="53"/>
      <c r="ABV1" s="53"/>
      <c r="ABW1" s="53"/>
      <c r="ABX1" s="53"/>
      <c r="ABY1" s="53"/>
      <c r="ABZ1" s="53"/>
      <c r="ACA1" s="53"/>
      <c r="ACB1" s="53"/>
      <c r="ACC1" s="53"/>
      <c r="ACD1" s="53"/>
      <c r="ACE1" s="53"/>
      <c r="ACF1" s="53"/>
      <c r="ACG1" s="53"/>
      <c r="ACH1" s="53"/>
      <c r="ACI1" s="53"/>
      <c r="ACJ1" s="53"/>
      <c r="ACK1" s="53"/>
      <c r="ACL1" s="53"/>
      <c r="ACM1" s="53"/>
      <c r="ACN1" s="53"/>
      <c r="ACO1" s="53"/>
      <c r="ACP1" s="53"/>
      <c r="ACQ1" s="53"/>
      <c r="ACR1" s="53"/>
      <c r="ACS1" s="53"/>
      <c r="ACT1" s="53"/>
      <c r="ACU1" s="53"/>
      <c r="ACV1" s="53"/>
      <c r="ACW1" s="53"/>
      <c r="ACX1" s="53"/>
      <c r="ACY1" s="53"/>
      <c r="ACZ1" s="53"/>
      <c r="ADA1" s="53"/>
      <c r="ADB1" s="53"/>
      <c r="ADC1" s="53"/>
      <c r="ADD1" s="53"/>
      <c r="ADE1" s="53"/>
      <c r="ADF1" s="53"/>
      <c r="ADG1" s="53"/>
      <c r="ADH1" s="53"/>
      <c r="ADI1" s="53"/>
      <c r="ADJ1" s="53"/>
      <c r="ADK1" s="53"/>
      <c r="ADL1" s="53"/>
      <c r="ADM1" s="53"/>
      <c r="ADN1" s="53"/>
      <c r="ADO1" s="53"/>
      <c r="ADP1" s="53"/>
      <c r="ADQ1" s="53"/>
      <c r="ADR1" s="53"/>
      <c r="ADS1" s="53"/>
      <c r="ADT1" s="53"/>
      <c r="ADU1" s="53"/>
      <c r="ADV1" s="53"/>
      <c r="ADW1" s="53"/>
      <c r="ADX1" s="53"/>
      <c r="ADY1" s="53"/>
      <c r="ADZ1" s="53"/>
      <c r="AEA1" s="53"/>
      <c r="AEB1" s="53"/>
      <c r="AEC1" s="53"/>
      <c r="AED1" s="53"/>
      <c r="AEE1" s="53"/>
      <c r="AEF1" s="53"/>
      <c r="AEG1" s="53"/>
      <c r="AEH1" s="53"/>
      <c r="AEI1" s="53"/>
      <c r="AEJ1" s="53"/>
      <c r="AEK1" s="53"/>
      <c r="AEL1" s="53"/>
      <c r="AEM1" s="53"/>
      <c r="AEN1" s="53"/>
      <c r="AEO1" s="53"/>
      <c r="AEP1" s="53"/>
      <c r="AEQ1" s="53"/>
      <c r="AER1" s="53"/>
      <c r="AES1" s="53"/>
      <c r="AET1" s="53"/>
      <c r="AEU1" s="53"/>
      <c r="AEV1" s="53"/>
      <c r="AEW1" s="53"/>
      <c r="AEX1" s="53"/>
      <c r="AEY1" s="53"/>
      <c r="AEZ1" s="53"/>
      <c r="AFA1" s="53"/>
      <c r="AFB1" s="53"/>
      <c r="AFC1" s="53"/>
      <c r="AFD1" s="53"/>
      <c r="AFE1" s="53"/>
      <c r="AFF1" s="53"/>
      <c r="AFG1" s="53"/>
      <c r="AFH1" s="53"/>
      <c r="AFI1" s="53"/>
      <c r="AFJ1" s="53"/>
      <c r="AFK1" s="53"/>
      <c r="AFL1" s="53"/>
      <c r="AFM1" s="53"/>
      <c r="AFN1" s="53"/>
      <c r="AFO1" s="53"/>
      <c r="AFP1" s="53"/>
      <c r="AFQ1" s="53"/>
      <c r="AFR1" s="53"/>
      <c r="AFS1" s="53"/>
      <c r="AFT1" s="53"/>
      <c r="AFU1" s="53"/>
      <c r="AFV1" s="53"/>
      <c r="AFW1" s="53"/>
      <c r="AFX1" s="53"/>
      <c r="AFY1" s="53"/>
      <c r="AFZ1" s="53"/>
      <c r="AGA1" s="53"/>
      <c r="AGB1" s="53"/>
      <c r="AGC1" s="53"/>
      <c r="AGD1" s="53"/>
      <c r="AGE1" s="53"/>
      <c r="AGF1" s="53"/>
      <c r="AGG1" s="53"/>
      <c r="AGH1" s="53"/>
      <c r="AGI1" s="53"/>
      <c r="AGJ1" s="53"/>
      <c r="AGK1" s="53"/>
      <c r="AGL1" s="53"/>
      <c r="AGM1" s="53"/>
      <c r="AGN1" s="53"/>
      <c r="AGO1" s="53"/>
      <c r="AGP1" s="53"/>
      <c r="AGQ1" s="53"/>
      <c r="AGR1" s="53"/>
      <c r="AGS1" s="53"/>
      <c r="AGT1" s="53"/>
      <c r="AGU1" s="53"/>
      <c r="AGV1" s="53"/>
      <c r="AGW1" s="53"/>
      <c r="AGX1" s="53"/>
      <c r="AGY1" s="53"/>
      <c r="AGZ1" s="53"/>
      <c r="AHA1" s="53"/>
      <c r="AHB1" s="53"/>
      <c r="AHC1" s="53"/>
      <c r="AHD1" s="53"/>
      <c r="AHE1" s="53"/>
      <c r="AHF1" s="53"/>
      <c r="AHG1" s="53"/>
      <c r="AHH1" s="53"/>
      <c r="AHI1" s="53"/>
      <c r="AHJ1" s="53"/>
      <c r="AHK1" s="53"/>
      <c r="AHL1" s="53"/>
      <c r="AHM1" s="53"/>
      <c r="AHN1" s="53"/>
      <c r="AHO1" s="53"/>
      <c r="AHP1" s="53"/>
      <c r="AHQ1" s="53"/>
      <c r="AHR1" s="53"/>
      <c r="AHS1" s="53"/>
      <c r="AHT1" s="53"/>
      <c r="AHU1" s="53"/>
      <c r="AHV1" s="53"/>
      <c r="AHW1" s="53"/>
      <c r="AHX1" s="53"/>
      <c r="AHY1" s="53"/>
      <c r="AHZ1" s="53"/>
      <c r="AIA1" s="53"/>
      <c r="AIB1" s="53"/>
      <c r="AIC1" s="53"/>
      <c r="AID1" s="53"/>
      <c r="AIE1" s="53"/>
      <c r="AIF1" s="53"/>
      <c r="AIG1" s="53"/>
      <c r="AIH1" s="53"/>
      <c r="AII1" s="53"/>
      <c r="AIJ1" s="53"/>
      <c r="AIK1" s="53"/>
      <c r="AIL1" s="53"/>
      <c r="AIM1" s="53"/>
      <c r="AIN1" s="53"/>
      <c r="AIO1" s="53"/>
      <c r="AIP1" s="53"/>
      <c r="AIQ1" s="53"/>
      <c r="AIR1" s="53"/>
      <c r="AIS1" s="53"/>
      <c r="AIT1" s="53"/>
      <c r="AIU1" s="53"/>
      <c r="AIV1" s="53"/>
      <c r="AIW1" s="53"/>
      <c r="AIX1" s="53"/>
      <c r="AIY1" s="53"/>
      <c r="AIZ1" s="53"/>
      <c r="AJA1" s="53"/>
      <c r="AJB1" s="53"/>
      <c r="AJC1" s="53"/>
      <c r="AJD1" s="53"/>
      <c r="AJE1" s="53"/>
      <c r="AJF1" s="53"/>
      <c r="AJG1" s="53"/>
      <c r="AJH1" s="53"/>
      <c r="AJI1" s="53"/>
      <c r="AJJ1" s="53"/>
      <c r="AJK1" s="53"/>
      <c r="AJL1" s="53"/>
      <c r="AJM1" s="53"/>
      <c r="AJN1" s="53"/>
      <c r="AJO1" s="53"/>
      <c r="AJP1" s="53"/>
      <c r="AJQ1" s="53"/>
      <c r="AJR1" s="53"/>
      <c r="AJS1" s="53"/>
      <c r="AJT1" s="53"/>
      <c r="AJU1" s="53"/>
      <c r="AJV1" s="53"/>
      <c r="AJW1" s="53"/>
      <c r="AJX1" s="53"/>
      <c r="AJY1" s="53"/>
      <c r="AJZ1" s="53"/>
      <c r="AKA1" s="53"/>
      <c r="AKB1" s="53"/>
      <c r="AKC1" s="53"/>
      <c r="AKD1" s="53"/>
      <c r="AKE1" s="53"/>
      <c r="AKF1" s="53"/>
      <c r="AKG1" s="53"/>
      <c r="AKH1" s="53"/>
      <c r="AKI1" s="53"/>
      <c r="AKJ1" s="53"/>
      <c r="AKK1" s="53"/>
      <c r="AKL1" s="53"/>
      <c r="AKM1" s="53"/>
      <c r="AKN1" s="53"/>
      <c r="AKO1" s="53"/>
      <c r="AKP1" s="53"/>
      <c r="AKQ1" s="53"/>
      <c r="AKR1" s="53"/>
      <c r="AKS1" s="53"/>
      <c r="AKT1" s="53"/>
      <c r="AKU1" s="53"/>
      <c r="AKV1" s="53"/>
      <c r="AKW1" s="53"/>
      <c r="AKX1" s="53"/>
      <c r="AKY1" s="53"/>
      <c r="AKZ1" s="53"/>
      <c r="ALA1" s="53"/>
      <c r="ALB1" s="53"/>
      <c r="ALC1" s="53"/>
      <c r="ALD1" s="53"/>
      <c r="ALE1" s="53"/>
      <c r="ALF1" s="53"/>
      <c r="ALG1" s="53"/>
      <c r="ALH1" s="53"/>
      <c r="ALI1" s="53"/>
      <c r="ALJ1" s="53"/>
      <c r="ALK1" s="53"/>
      <c r="ALL1" s="53"/>
      <c r="ALM1" s="53"/>
      <c r="ALN1" s="53"/>
      <c r="ALO1" s="53"/>
      <c r="ALP1" s="53"/>
      <c r="ALQ1" s="53"/>
      <c r="ALR1" s="53"/>
      <c r="ALS1" s="53"/>
      <c r="ALT1" s="53"/>
      <c r="ALU1" s="53"/>
      <c r="ALV1" s="53"/>
      <c r="ALW1" s="53"/>
      <c r="ALX1" s="53"/>
      <c r="ALY1" s="53"/>
      <c r="ALZ1" s="53"/>
      <c r="AMA1" s="53"/>
      <c r="AMB1" s="53"/>
      <c r="AMC1" s="53"/>
      <c r="AMD1" s="53"/>
      <c r="AME1" s="53"/>
      <c r="AMF1" s="53"/>
      <c r="AMG1" s="53"/>
      <c r="AMH1" s="53"/>
      <c r="AMI1" s="53"/>
      <c r="AMJ1" s="53"/>
      <c r="AMK1" s="53"/>
      <c r="AML1" s="53"/>
      <c r="AMM1" s="53"/>
      <c r="AMN1" s="53"/>
      <c r="AMO1" s="53"/>
      <c r="AMP1" s="53"/>
      <c r="AMQ1" s="53"/>
      <c r="AMR1" s="53"/>
      <c r="AMS1" s="53"/>
      <c r="AMT1" s="53"/>
      <c r="AMU1" s="53"/>
      <c r="AMV1" s="53"/>
      <c r="AMW1" s="53"/>
      <c r="AMX1" s="53"/>
      <c r="AMY1" s="53"/>
      <c r="AMZ1" s="53"/>
      <c r="ANA1" s="53"/>
      <c r="ANB1" s="53"/>
      <c r="ANC1" s="53"/>
      <c r="AND1" s="53"/>
      <c r="ANE1" s="53"/>
      <c r="ANF1" s="53"/>
      <c r="ANG1" s="53"/>
      <c r="ANH1" s="53"/>
      <c r="ANI1" s="53"/>
      <c r="ANJ1" s="53"/>
      <c r="ANK1" s="53"/>
      <c r="ANL1" s="53"/>
      <c r="ANM1" s="53"/>
      <c r="ANN1" s="53"/>
      <c r="ANO1" s="53"/>
      <c r="ANP1" s="53"/>
      <c r="ANQ1" s="53"/>
      <c r="ANR1" s="53"/>
      <c r="ANS1" s="53"/>
      <c r="ANT1" s="53"/>
      <c r="ANU1" s="53"/>
      <c r="ANV1" s="53"/>
      <c r="ANW1" s="53"/>
      <c r="ANX1" s="53"/>
      <c r="ANY1" s="53"/>
      <c r="ANZ1" s="53"/>
      <c r="AOA1" s="53"/>
      <c r="AOB1" s="53"/>
      <c r="AOC1" s="53"/>
      <c r="AOD1" s="53"/>
      <c r="AOE1" s="53"/>
      <c r="AOF1" s="53"/>
      <c r="AOG1" s="53"/>
      <c r="AOH1" s="53"/>
      <c r="AOI1" s="53"/>
      <c r="AOJ1" s="53"/>
      <c r="AOK1" s="53"/>
      <c r="AOL1" s="53"/>
      <c r="AOM1" s="53"/>
      <c r="AON1" s="53"/>
      <c r="AOO1" s="53"/>
      <c r="AOP1" s="53"/>
      <c r="AOQ1" s="53"/>
      <c r="AOR1" s="53"/>
      <c r="AOS1" s="53"/>
      <c r="AOT1" s="53"/>
      <c r="AOU1" s="53"/>
      <c r="AOV1" s="53"/>
      <c r="AOW1" s="53"/>
      <c r="AOX1" s="53"/>
      <c r="AOY1" s="53"/>
      <c r="AOZ1" s="53"/>
      <c r="APA1" s="53"/>
      <c r="APB1" s="53"/>
      <c r="APC1" s="53"/>
      <c r="APD1" s="53"/>
      <c r="APE1" s="53"/>
      <c r="APF1" s="53"/>
      <c r="APG1" s="53"/>
      <c r="APH1" s="53"/>
      <c r="API1" s="53"/>
      <c r="APJ1" s="53"/>
      <c r="APK1" s="53"/>
      <c r="APL1" s="53"/>
      <c r="APM1" s="53"/>
      <c r="APN1" s="53"/>
      <c r="APO1" s="53"/>
      <c r="APP1" s="53"/>
      <c r="APQ1" s="53"/>
      <c r="APR1" s="53"/>
      <c r="APS1" s="53"/>
      <c r="APT1" s="53"/>
      <c r="APU1" s="53"/>
      <c r="APV1" s="53"/>
      <c r="APW1" s="53"/>
      <c r="APX1" s="53"/>
      <c r="APY1" s="53"/>
      <c r="APZ1" s="53"/>
      <c r="AQA1" s="53"/>
      <c r="AQB1" s="53"/>
      <c r="AQC1" s="53"/>
      <c r="AQD1" s="53"/>
      <c r="AQE1" s="53"/>
      <c r="AQF1" s="53"/>
      <c r="AQG1" s="53"/>
      <c r="AQH1" s="53"/>
      <c r="AQI1" s="53"/>
      <c r="AQJ1" s="53"/>
      <c r="AQK1" s="53"/>
      <c r="AQL1" s="53"/>
      <c r="AQM1" s="53"/>
      <c r="AQN1" s="53"/>
      <c r="AQO1" s="53"/>
      <c r="AQP1" s="53"/>
      <c r="AQQ1" s="53"/>
      <c r="AQR1" s="53"/>
      <c r="AQS1" s="53"/>
      <c r="AQT1" s="53"/>
      <c r="AQU1" s="53"/>
      <c r="AQV1" s="53"/>
      <c r="AQW1" s="53"/>
      <c r="AQX1" s="53"/>
      <c r="AQY1" s="53"/>
      <c r="AQZ1" s="53"/>
      <c r="ARA1" s="53"/>
      <c r="ARB1" s="53"/>
      <c r="ARC1" s="53"/>
      <c r="ARD1" s="53"/>
      <c r="ARE1" s="53"/>
      <c r="ARF1" s="53"/>
      <c r="ARG1" s="53"/>
      <c r="ARH1" s="53"/>
      <c r="ARI1" s="53"/>
      <c r="ARJ1" s="53"/>
      <c r="ARK1" s="53"/>
      <c r="ARL1" s="53"/>
      <c r="ARM1" s="53"/>
      <c r="ARN1" s="53"/>
      <c r="ARO1" s="53"/>
      <c r="ARP1" s="53"/>
      <c r="ARQ1" s="53"/>
      <c r="ARR1" s="53"/>
      <c r="ARS1" s="53"/>
      <c r="ART1" s="53"/>
      <c r="ARU1" s="53"/>
      <c r="ARV1" s="53"/>
      <c r="ARW1" s="53"/>
      <c r="ARX1" s="53"/>
      <c r="ARY1" s="53"/>
      <c r="ARZ1" s="53"/>
      <c r="ASA1" s="53"/>
      <c r="ASB1" s="53"/>
      <c r="ASC1" s="53"/>
      <c r="ASD1" s="53"/>
      <c r="ASE1" s="53"/>
      <c r="ASF1" s="53"/>
      <c r="ASG1" s="53"/>
      <c r="ASH1" s="53"/>
      <c r="ASI1" s="53"/>
      <c r="ASJ1" s="53"/>
      <c r="ASK1" s="53"/>
      <c r="ASL1" s="53"/>
      <c r="ASM1" s="53"/>
      <c r="ASN1" s="53"/>
      <c r="ASO1" s="53"/>
      <c r="ASP1" s="53"/>
      <c r="ASQ1" s="53"/>
      <c r="ASR1" s="53"/>
      <c r="ASS1" s="53"/>
      <c r="AST1" s="53"/>
      <c r="ASU1" s="53"/>
      <c r="ASV1" s="53"/>
      <c r="ASW1" s="53"/>
      <c r="ASX1" s="53"/>
      <c r="ASY1" s="53"/>
      <c r="ASZ1" s="53"/>
      <c r="ATA1" s="53"/>
      <c r="ATB1" s="53"/>
      <c r="ATC1" s="53"/>
      <c r="ATD1" s="53"/>
      <c r="ATE1" s="53"/>
      <c r="ATF1" s="53"/>
      <c r="ATG1" s="53"/>
      <c r="ATH1" s="53"/>
      <c r="ATI1" s="53"/>
      <c r="ATJ1" s="53"/>
      <c r="ATK1" s="53"/>
      <c r="ATL1" s="53"/>
      <c r="ATM1" s="53"/>
      <c r="ATN1" s="53"/>
      <c r="ATO1" s="53"/>
      <c r="ATP1" s="53"/>
      <c r="ATQ1" s="53"/>
      <c r="ATR1" s="53"/>
      <c r="ATS1" s="53"/>
      <c r="ATT1" s="53"/>
      <c r="ATU1" s="53"/>
      <c r="ATV1" s="53"/>
      <c r="ATW1" s="53"/>
      <c r="ATX1" s="53"/>
      <c r="ATY1" s="53"/>
      <c r="ATZ1" s="53"/>
      <c r="AUA1" s="53"/>
      <c r="AUB1" s="53"/>
      <c r="AUC1" s="53"/>
      <c r="AUD1" s="53"/>
      <c r="AUE1" s="53"/>
      <c r="AUF1" s="53"/>
      <c r="AUG1" s="53"/>
      <c r="AUH1" s="53"/>
      <c r="AUI1" s="53"/>
      <c r="AUJ1" s="53"/>
      <c r="AUK1" s="53"/>
      <c r="AUL1" s="53"/>
      <c r="AUM1" s="53"/>
      <c r="AUN1" s="53"/>
      <c r="AUO1" s="53"/>
      <c r="AUP1" s="53"/>
      <c r="AUQ1" s="53"/>
      <c r="AUR1" s="53"/>
      <c r="AUS1" s="53"/>
      <c r="AUT1" s="53"/>
      <c r="AUU1" s="53"/>
      <c r="AUV1" s="53"/>
      <c r="AUW1" s="53"/>
      <c r="AUX1" s="53"/>
      <c r="AUY1" s="53"/>
      <c r="AUZ1" s="53"/>
      <c r="AVA1" s="53"/>
      <c r="AVB1" s="53"/>
      <c r="AVC1" s="53"/>
      <c r="AVD1" s="53"/>
      <c r="AVE1" s="53"/>
      <c r="AVF1" s="53"/>
      <c r="AVG1" s="53"/>
      <c r="AVH1" s="53"/>
      <c r="AVI1" s="53"/>
      <c r="AVJ1" s="53"/>
      <c r="AVK1" s="53"/>
      <c r="AVL1" s="53"/>
      <c r="AVM1" s="53"/>
      <c r="AVN1" s="53"/>
      <c r="AVO1" s="53"/>
      <c r="AVP1" s="53"/>
      <c r="AVQ1" s="53"/>
      <c r="AVR1" s="53"/>
      <c r="AVS1" s="53"/>
      <c r="AVT1" s="53"/>
      <c r="AVU1" s="53"/>
      <c r="AVV1" s="53"/>
      <c r="AVW1" s="53"/>
      <c r="AVX1" s="53"/>
      <c r="AVY1" s="53"/>
      <c r="AVZ1" s="53"/>
      <c r="AWA1" s="53"/>
      <c r="AWB1" s="53"/>
      <c r="AWC1" s="53"/>
      <c r="AWD1" s="53"/>
      <c r="AWE1" s="53"/>
      <c r="AWF1" s="53"/>
      <c r="AWG1" s="53"/>
      <c r="AWH1" s="53"/>
      <c r="AWI1" s="53"/>
      <c r="AWJ1" s="53"/>
      <c r="AWK1" s="53"/>
      <c r="AWL1" s="53"/>
      <c r="AWM1" s="53"/>
      <c r="AWN1" s="53"/>
      <c r="AWO1" s="53"/>
      <c r="AWP1" s="53"/>
      <c r="AWQ1" s="53"/>
      <c r="AWR1" s="53"/>
      <c r="AWS1" s="53"/>
      <c r="AWT1" s="53"/>
      <c r="AWU1" s="53"/>
      <c r="AWV1" s="53"/>
      <c r="AWW1" s="53"/>
      <c r="AWX1" s="53"/>
      <c r="AWY1" s="53"/>
      <c r="AWZ1" s="53"/>
      <c r="AXA1" s="53"/>
      <c r="AXB1" s="53"/>
      <c r="AXC1" s="53"/>
      <c r="AXD1" s="53"/>
      <c r="AXE1" s="53"/>
      <c r="AXF1" s="53"/>
      <c r="AXG1" s="53"/>
      <c r="AXH1" s="53"/>
      <c r="AXI1" s="53"/>
      <c r="AXJ1" s="53"/>
      <c r="AXK1" s="53"/>
      <c r="AXL1" s="53"/>
      <c r="AXM1" s="53"/>
      <c r="AXN1" s="53"/>
      <c r="AXO1" s="53"/>
      <c r="AXP1" s="53"/>
      <c r="AXQ1" s="53"/>
      <c r="AXR1" s="53"/>
      <c r="AXS1" s="53"/>
      <c r="AXT1" s="53"/>
      <c r="AXU1" s="53"/>
      <c r="AXV1" s="53"/>
      <c r="AXW1" s="53"/>
      <c r="AXX1" s="53"/>
      <c r="AXY1" s="53"/>
      <c r="AXZ1" s="53"/>
      <c r="AYA1" s="53"/>
      <c r="AYB1" s="53"/>
      <c r="AYC1" s="53"/>
      <c r="AYD1" s="53"/>
      <c r="AYE1" s="53"/>
      <c r="AYF1" s="53"/>
      <c r="AYG1" s="53"/>
      <c r="AYH1" s="53"/>
      <c r="AYI1" s="53"/>
      <c r="AYJ1" s="53"/>
      <c r="AYK1" s="53"/>
      <c r="AYL1" s="53"/>
      <c r="AYM1" s="53"/>
      <c r="AYN1" s="53"/>
      <c r="AYO1" s="53"/>
      <c r="AYP1" s="53"/>
      <c r="AYQ1" s="53"/>
      <c r="AYR1" s="53"/>
      <c r="AYS1" s="53"/>
      <c r="AYT1" s="53"/>
      <c r="AYU1" s="53"/>
      <c r="AYV1" s="53"/>
      <c r="AYW1" s="53"/>
      <c r="AYX1" s="53"/>
      <c r="AYY1" s="53"/>
      <c r="AYZ1" s="53"/>
      <c r="AZA1" s="53"/>
      <c r="AZB1" s="53"/>
      <c r="AZC1" s="53"/>
      <c r="AZD1" s="53"/>
      <c r="AZE1" s="53"/>
      <c r="AZF1" s="53"/>
      <c r="AZG1" s="53"/>
      <c r="AZH1" s="53"/>
      <c r="AZI1" s="53"/>
      <c r="AZJ1" s="53"/>
      <c r="AZK1" s="53"/>
      <c r="AZL1" s="53"/>
      <c r="AZM1" s="53"/>
      <c r="AZN1" s="53"/>
      <c r="AZO1" s="53"/>
      <c r="AZP1" s="53"/>
      <c r="AZQ1" s="53"/>
      <c r="AZR1" s="53"/>
      <c r="AZS1" s="53"/>
      <c r="AZT1" s="53"/>
      <c r="AZU1" s="53"/>
      <c r="AZV1" s="53"/>
      <c r="AZW1" s="53"/>
      <c r="AZX1" s="53"/>
      <c r="AZY1" s="53"/>
      <c r="AZZ1" s="53"/>
      <c r="BAA1" s="53"/>
      <c r="BAB1" s="53"/>
      <c r="BAC1" s="53"/>
      <c r="BAD1" s="53"/>
      <c r="BAE1" s="53"/>
      <c r="BAF1" s="53"/>
      <c r="BAG1" s="53"/>
      <c r="BAH1" s="53"/>
      <c r="BAI1" s="53"/>
      <c r="BAJ1" s="53"/>
      <c r="BAK1" s="53"/>
      <c r="BAL1" s="53"/>
      <c r="BAM1" s="53"/>
      <c r="BAN1" s="53"/>
      <c r="BAO1" s="53"/>
      <c r="BAP1" s="53"/>
      <c r="BAQ1" s="53"/>
      <c r="BAR1" s="53"/>
      <c r="BAS1" s="53"/>
      <c r="BAT1" s="53"/>
      <c r="BAU1" s="53"/>
      <c r="BAV1" s="53"/>
      <c r="BAW1" s="53"/>
      <c r="BAX1" s="53"/>
      <c r="BAY1" s="53"/>
      <c r="BAZ1" s="53"/>
      <c r="BBA1" s="53"/>
      <c r="BBB1" s="53"/>
      <c r="BBC1" s="53"/>
      <c r="BBD1" s="53"/>
      <c r="BBE1" s="53"/>
      <c r="BBF1" s="53"/>
      <c r="BBG1" s="53"/>
      <c r="BBH1" s="53"/>
      <c r="BBI1" s="53"/>
      <c r="BBJ1" s="53"/>
      <c r="BBK1" s="53"/>
      <c r="BBL1" s="53"/>
      <c r="BBM1" s="53"/>
      <c r="BBN1" s="53"/>
      <c r="BBO1" s="53"/>
      <c r="BBP1" s="53"/>
      <c r="BBQ1" s="53"/>
      <c r="BBR1" s="53"/>
      <c r="BBS1" s="53"/>
      <c r="BBT1" s="53"/>
      <c r="BBU1" s="53"/>
      <c r="BBV1" s="53"/>
      <c r="BBW1" s="53"/>
      <c r="BBX1" s="53"/>
      <c r="BBY1" s="53"/>
      <c r="BBZ1" s="53"/>
      <c r="BCA1" s="53"/>
      <c r="BCB1" s="53"/>
      <c r="BCC1" s="53"/>
      <c r="BCD1" s="53"/>
      <c r="BCE1" s="53"/>
      <c r="BCF1" s="53"/>
      <c r="BCG1" s="53"/>
      <c r="BCH1" s="53"/>
      <c r="BCI1" s="53"/>
      <c r="BCJ1" s="53"/>
      <c r="BCK1" s="53"/>
      <c r="BCL1" s="53"/>
      <c r="BCM1" s="53"/>
      <c r="BCN1" s="53"/>
      <c r="BCO1" s="53"/>
      <c r="BCP1" s="53"/>
      <c r="BCQ1" s="53"/>
      <c r="BCR1" s="53"/>
      <c r="BCS1" s="53"/>
      <c r="BCT1" s="53"/>
      <c r="BCU1" s="53"/>
      <c r="BCV1" s="53"/>
      <c r="BCW1" s="53"/>
      <c r="BCX1" s="53"/>
      <c r="BCY1" s="53"/>
      <c r="BCZ1" s="53"/>
      <c r="BDA1" s="53"/>
      <c r="BDB1" s="53"/>
      <c r="BDC1" s="53"/>
      <c r="BDD1" s="53"/>
      <c r="BDE1" s="53"/>
      <c r="BDF1" s="53"/>
      <c r="BDG1" s="53"/>
      <c r="BDH1" s="53"/>
      <c r="BDI1" s="53"/>
      <c r="BDJ1" s="53"/>
      <c r="BDK1" s="53"/>
      <c r="BDL1" s="53"/>
      <c r="BDM1" s="53"/>
      <c r="BDN1" s="53"/>
      <c r="BDO1" s="53"/>
      <c r="BDP1" s="53"/>
      <c r="BDQ1" s="53"/>
      <c r="BDR1" s="53"/>
      <c r="BDS1" s="53"/>
      <c r="BDT1" s="53"/>
      <c r="BDU1" s="53"/>
      <c r="BDV1" s="53"/>
      <c r="BDW1" s="53"/>
      <c r="BDX1" s="53"/>
      <c r="BDY1" s="53"/>
      <c r="BDZ1" s="53"/>
      <c r="BEA1" s="53"/>
      <c r="BEB1" s="53"/>
      <c r="BEC1" s="53"/>
      <c r="BED1" s="53"/>
      <c r="BEE1" s="53"/>
      <c r="BEF1" s="53"/>
      <c r="BEG1" s="53"/>
      <c r="BEH1" s="53"/>
      <c r="BEI1" s="53"/>
      <c r="BEJ1" s="53"/>
      <c r="BEK1" s="53"/>
      <c r="BEL1" s="53"/>
      <c r="BEM1" s="53"/>
      <c r="BEN1" s="53"/>
      <c r="BEO1" s="53"/>
      <c r="BEP1" s="53"/>
      <c r="BEQ1" s="53"/>
      <c r="BER1" s="53"/>
      <c r="BES1" s="53"/>
      <c r="BET1" s="53"/>
      <c r="BEU1" s="53"/>
      <c r="BEV1" s="53"/>
      <c r="BEW1" s="53"/>
      <c r="BEX1" s="53"/>
      <c r="BEY1" s="53"/>
      <c r="BEZ1" s="53"/>
      <c r="BFA1" s="53"/>
      <c r="BFB1" s="53"/>
      <c r="BFC1" s="53"/>
      <c r="BFD1" s="53"/>
      <c r="BFE1" s="53"/>
      <c r="BFF1" s="53"/>
      <c r="BFG1" s="53"/>
      <c r="BFH1" s="53"/>
      <c r="BFI1" s="53"/>
      <c r="BFJ1" s="53"/>
      <c r="BFK1" s="53"/>
      <c r="BFL1" s="53"/>
      <c r="BFM1" s="53"/>
      <c r="BFN1" s="53"/>
      <c r="BFO1" s="53"/>
      <c r="BFP1" s="53"/>
      <c r="BFQ1" s="53"/>
      <c r="BFR1" s="53"/>
      <c r="BFS1" s="53"/>
      <c r="BFT1" s="53"/>
      <c r="BFU1" s="53"/>
      <c r="BFV1" s="53"/>
      <c r="BFW1" s="53"/>
      <c r="BFX1" s="53"/>
      <c r="BFY1" s="53"/>
      <c r="BFZ1" s="53"/>
      <c r="BGA1" s="53"/>
      <c r="BGB1" s="53"/>
      <c r="BGC1" s="53"/>
      <c r="BGD1" s="53"/>
      <c r="BGE1" s="53"/>
      <c r="BGF1" s="53"/>
      <c r="BGG1" s="53"/>
      <c r="BGH1" s="53"/>
      <c r="BGI1" s="53"/>
      <c r="BGJ1" s="53"/>
      <c r="BGK1" s="53"/>
      <c r="BGL1" s="53"/>
      <c r="BGM1" s="53"/>
      <c r="BGN1" s="53"/>
      <c r="BGO1" s="53"/>
      <c r="BGP1" s="53"/>
      <c r="BGQ1" s="53"/>
      <c r="BGR1" s="53"/>
      <c r="BGS1" s="53"/>
      <c r="BGT1" s="53"/>
      <c r="BGU1" s="53"/>
      <c r="BGV1" s="53"/>
      <c r="BGW1" s="53"/>
      <c r="BGX1" s="53"/>
      <c r="BGY1" s="53"/>
      <c r="BGZ1" s="53"/>
      <c r="BHA1" s="53"/>
      <c r="BHB1" s="53"/>
      <c r="BHC1" s="53"/>
      <c r="BHD1" s="53"/>
      <c r="BHE1" s="53"/>
      <c r="BHF1" s="53"/>
      <c r="BHG1" s="53"/>
      <c r="BHH1" s="53"/>
      <c r="BHI1" s="53"/>
      <c r="BHJ1" s="53"/>
      <c r="BHK1" s="53"/>
      <c r="BHL1" s="53"/>
      <c r="BHM1" s="53"/>
      <c r="BHN1" s="53"/>
      <c r="BHO1" s="53"/>
      <c r="BHP1" s="53"/>
      <c r="BHQ1" s="53"/>
      <c r="BHR1" s="53"/>
      <c r="BHS1" s="53"/>
      <c r="BHT1" s="53"/>
      <c r="BHU1" s="53"/>
      <c r="BHV1" s="53"/>
      <c r="BHW1" s="53"/>
      <c r="BHX1" s="53"/>
      <c r="BHY1" s="53"/>
      <c r="BHZ1" s="53"/>
      <c r="BIA1" s="53"/>
      <c r="BIB1" s="53"/>
      <c r="BIC1" s="53"/>
      <c r="BID1" s="53"/>
      <c r="BIE1" s="53"/>
      <c r="BIF1" s="53"/>
      <c r="BIG1" s="53"/>
      <c r="BIH1" s="53"/>
      <c r="BII1" s="53"/>
      <c r="BIJ1" s="53"/>
      <c r="BIK1" s="53"/>
      <c r="BIL1" s="53"/>
      <c r="BIM1" s="53"/>
      <c r="BIN1" s="53"/>
      <c r="BIO1" s="53"/>
      <c r="BIP1" s="53"/>
      <c r="BIQ1" s="53"/>
      <c r="BIR1" s="53"/>
      <c r="BIS1" s="53"/>
      <c r="BIT1" s="53"/>
      <c r="BIU1" s="53"/>
      <c r="BIV1" s="53"/>
      <c r="BIW1" s="53"/>
      <c r="BIX1" s="53"/>
      <c r="BIY1" s="53"/>
      <c r="BIZ1" s="53"/>
      <c r="BJA1" s="53"/>
      <c r="BJB1" s="53"/>
      <c r="BJC1" s="53"/>
      <c r="BJD1" s="53"/>
      <c r="BJE1" s="53"/>
      <c r="BJF1" s="53"/>
      <c r="BJG1" s="53"/>
      <c r="BJH1" s="53"/>
      <c r="BJI1" s="53"/>
      <c r="BJJ1" s="53"/>
      <c r="BJK1" s="53"/>
      <c r="BJL1" s="53"/>
      <c r="BJM1" s="53"/>
      <c r="BJN1" s="53"/>
      <c r="BJO1" s="53"/>
      <c r="BJP1" s="53"/>
      <c r="BJQ1" s="53"/>
      <c r="BJR1" s="53"/>
      <c r="BJS1" s="53"/>
      <c r="BJT1" s="53"/>
      <c r="BJU1" s="53"/>
      <c r="BJV1" s="53"/>
      <c r="BJW1" s="53"/>
      <c r="BJX1" s="53"/>
      <c r="BJY1" s="53"/>
      <c r="BJZ1" s="53"/>
      <c r="BKA1" s="53"/>
      <c r="BKB1" s="53"/>
      <c r="BKC1" s="53"/>
      <c r="BKD1" s="53"/>
      <c r="BKE1" s="53"/>
      <c r="BKF1" s="53"/>
      <c r="BKG1" s="53"/>
      <c r="BKH1" s="53"/>
      <c r="BKI1" s="53"/>
      <c r="BKJ1" s="53"/>
      <c r="BKK1" s="53"/>
      <c r="BKL1" s="53"/>
      <c r="BKM1" s="53"/>
      <c r="BKN1" s="53"/>
      <c r="BKO1" s="53"/>
      <c r="BKP1" s="53"/>
      <c r="BKQ1" s="53"/>
      <c r="BKR1" s="53"/>
      <c r="BKS1" s="53"/>
      <c r="BKT1" s="53"/>
      <c r="BKU1" s="53"/>
      <c r="BKV1" s="53"/>
      <c r="BKW1" s="53"/>
      <c r="BKX1" s="53"/>
      <c r="BKY1" s="53"/>
      <c r="BKZ1" s="53"/>
      <c r="BLA1" s="53"/>
      <c r="BLB1" s="53"/>
      <c r="BLC1" s="53"/>
      <c r="BLD1" s="53"/>
      <c r="BLE1" s="53"/>
      <c r="BLF1" s="53"/>
      <c r="BLG1" s="53"/>
      <c r="BLH1" s="53"/>
      <c r="BLI1" s="53"/>
      <c r="BLJ1" s="53"/>
      <c r="BLK1" s="53"/>
      <c r="BLL1" s="53"/>
      <c r="BLM1" s="53"/>
      <c r="BLN1" s="53"/>
      <c r="BLO1" s="53"/>
      <c r="BLP1" s="53"/>
      <c r="BLQ1" s="53"/>
      <c r="BLR1" s="53"/>
      <c r="BLS1" s="53"/>
      <c r="BLT1" s="53"/>
      <c r="BLU1" s="53"/>
      <c r="BLV1" s="53"/>
      <c r="BLW1" s="53"/>
      <c r="BLX1" s="53"/>
      <c r="BLY1" s="53"/>
      <c r="BLZ1" s="53"/>
      <c r="BMA1" s="53"/>
      <c r="BMB1" s="53"/>
      <c r="BMC1" s="53"/>
      <c r="BMD1" s="53"/>
      <c r="BME1" s="53"/>
      <c r="BMF1" s="53"/>
      <c r="BMG1" s="53"/>
      <c r="BMH1" s="53"/>
      <c r="BMI1" s="53"/>
      <c r="BMJ1" s="53"/>
      <c r="BMK1" s="53"/>
      <c r="BML1" s="53"/>
      <c r="BMM1" s="53"/>
      <c r="BMN1" s="53"/>
      <c r="BMO1" s="53"/>
      <c r="BMP1" s="53"/>
      <c r="BMQ1" s="53"/>
      <c r="BMR1" s="53"/>
      <c r="BMS1" s="53"/>
      <c r="BMT1" s="53"/>
      <c r="BMU1" s="53"/>
      <c r="BMV1" s="53"/>
      <c r="BMW1" s="53"/>
      <c r="BMX1" s="53"/>
      <c r="BMY1" s="53"/>
      <c r="BMZ1" s="53"/>
      <c r="BNA1" s="53"/>
      <c r="BNB1" s="53"/>
      <c r="BNC1" s="53"/>
      <c r="BND1" s="53"/>
      <c r="BNE1" s="53"/>
      <c r="BNF1" s="53"/>
      <c r="BNG1" s="53"/>
      <c r="BNH1" s="53"/>
      <c r="BNI1" s="53"/>
      <c r="BNJ1" s="53"/>
      <c r="BNK1" s="53"/>
      <c r="BNL1" s="53"/>
      <c r="BNM1" s="53"/>
      <c r="BNN1" s="53"/>
      <c r="BNO1" s="53"/>
      <c r="BNP1" s="53"/>
      <c r="BNQ1" s="53"/>
      <c r="BNR1" s="53"/>
      <c r="BNS1" s="53"/>
      <c r="BNT1" s="53"/>
      <c r="BNU1" s="53"/>
      <c r="BNV1" s="53"/>
      <c r="BNW1" s="53"/>
      <c r="BNX1" s="53"/>
      <c r="BNY1" s="53"/>
      <c r="BNZ1" s="53"/>
      <c r="BOA1" s="53"/>
      <c r="BOB1" s="53"/>
      <c r="BOC1" s="53"/>
      <c r="BOD1" s="53"/>
      <c r="BOE1" s="53"/>
      <c r="BOF1" s="53"/>
      <c r="BOG1" s="53"/>
      <c r="BOH1" s="53"/>
      <c r="BOI1" s="53"/>
      <c r="BOJ1" s="53"/>
      <c r="BOK1" s="53"/>
      <c r="BOL1" s="53"/>
      <c r="BOM1" s="53"/>
      <c r="BON1" s="53"/>
      <c r="BOO1" s="53"/>
      <c r="BOP1" s="53"/>
      <c r="BOQ1" s="53"/>
      <c r="BOR1" s="53"/>
      <c r="BOS1" s="53"/>
      <c r="BOT1" s="53"/>
      <c r="BOU1" s="53"/>
      <c r="BOV1" s="53"/>
      <c r="BOW1" s="53"/>
      <c r="BOX1" s="53"/>
      <c r="BOY1" s="53"/>
      <c r="BOZ1" s="53"/>
      <c r="BPA1" s="53"/>
      <c r="BPB1" s="53"/>
      <c r="BPC1" s="53"/>
      <c r="BPD1" s="53"/>
      <c r="BPE1" s="53"/>
      <c r="BPF1" s="53"/>
      <c r="BPG1" s="53"/>
      <c r="BPH1" s="53"/>
      <c r="BPI1" s="53"/>
      <c r="BPJ1" s="53"/>
      <c r="BPK1" s="53"/>
      <c r="BPL1" s="53"/>
      <c r="BPM1" s="53"/>
      <c r="BPN1" s="53"/>
      <c r="BPO1" s="53"/>
      <c r="BPP1" s="53"/>
      <c r="BPQ1" s="53"/>
      <c r="BPR1" s="53"/>
      <c r="BPS1" s="53"/>
      <c r="BPT1" s="53"/>
      <c r="BPU1" s="53"/>
      <c r="BPV1" s="53"/>
      <c r="BPW1" s="53"/>
      <c r="BPX1" s="53"/>
      <c r="BPY1" s="53"/>
      <c r="BPZ1" s="53"/>
      <c r="BQA1" s="53"/>
      <c r="BQB1" s="53"/>
      <c r="BQC1" s="53"/>
      <c r="BQD1" s="53"/>
      <c r="BQE1" s="53"/>
      <c r="BQF1" s="53"/>
      <c r="BQG1" s="53"/>
      <c r="BQH1" s="53"/>
      <c r="BQI1" s="53"/>
      <c r="BQJ1" s="53"/>
      <c r="BQK1" s="53"/>
      <c r="BQL1" s="53"/>
      <c r="BQM1" s="53"/>
      <c r="BQN1" s="53"/>
      <c r="BQO1" s="53"/>
      <c r="BQP1" s="53"/>
      <c r="BQQ1" s="53"/>
      <c r="BQR1" s="53"/>
      <c r="BQS1" s="53"/>
      <c r="BQT1" s="53"/>
      <c r="BQU1" s="53"/>
      <c r="BQV1" s="53"/>
      <c r="BQW1" s="53"/>
      <c r="BQX1" s="53"/>
      <c r="BQY1" s="53"/>
      <c r="BQZ1" s="53"/>
      <c r="BRA1" s="53"/>
      <c r="BRB1" s="53"/>
      <c r="BRC1" s="53"/>
      <c r="BRD1" s="53"/>
      <c r="BRE1" s="53"/>
      <c r="BRF1" s="53"/>
      <c r="BRG1" s="53"/>
      <c r="BRH1" s="53"/>
      <c r="BRI1" s="53"/>
      <c r="BRJ1" s="53"/>
      <c r="BRK1" s="53"/>
      <c r="BRL1" s="53"/>
      <c r="BRM1" s="53"/>
      <c r="BRN1" s="53"/>
      <c r="BRO1" s="53"/>
      <c r="BRP1" s="53"/>
      <c r="BRQ1" s="53"/>
      <c r="BRR1" s="53"/>
      <c r="BRS1" s="53"/>
      <c r="BRT1" s="53"/>
      <c r="BRU1" s="53"/>
      <c r="BRV1" s="53"/>
      <c r="BRW1" s="53"/>
      <c r="BRX1" s="53"/>
      <c r="BRY1" s="53"/>
      <c r="BRZ1" s="53"/>
      <c r="BSA1" s="53"/>
      <c r="BSB1" s="53"/>
      <c r="BSC1" s="53"/>
      <c r="BSD1" s="53"/>
      <c r="BSE1" s="53"/>
      <c r="BSF1" s="53"/>
      <c r="BSG1" s="53"/>
      <c r="BSH1" s="53"/>
      <c r="BSI1" s="53"/>
      <c r="BSJ1" s="53"/>
      <c r="BSK1" s="53"/>
      <c r="BSL1" s="53"/>
      <c r="BSM1" s="53"/>
      <c r="BSN1" s="53"/>
      <c r="BSO1" s="53"/>
      <c r="BSP1" s="53"/>
      <c r="BSQ1" s="53"/>
      <c r="BSR1" s="53"/>
      <c r="BSS1" s="53"/>
      <c r="BST1" s="53"/>
      <c r="BSU1" s="53"/>
      <c r="BSV1" s="53"/>
      <c r="BSW1" s="53"/>
      <c r="BSX1" s="53"/>
      <c r="BSY1" s="53"/>
      <c r="BSZ1" s="53"/>
      <c r="BTA1" s="53"/>
      <c r="BTB1" s="53"/>
      <c r="BTC1" s="53"/>
      <c r="BTD1" s="53"/>
      <c r="BTE1" s="53"/>
      <c r="BTF1" s="53"/>
      <c r="BTG1" s="53"/>
      <c r="BTH1" s="53"/>
      <c r="BTI1" s="53"/>
      <c r="BTJ1" s="53"/>
      <c r="BTK1" s="53"/>
      <c r="BTL1" s="53"/>
      <c r="BTM1" s="53"/>
      <c r="BTN1" s="53"/>
      <c r="BTO1" s="53"/>
      <c r="BTP1" s="53"/>
      <c r="BTQ1" s="53"/>
      <c r="BTR1" s="53"/>
      <c r="BTS1" s="53"/>
      <c r="BTT1" s="53"/>
      <c r="BTU1" s="53"/>
      <c r="BTV1" s="53"/>
      <c r="BTW1" s="53"/>
      <c r="BTX1" s="53"/>
      <c r="BTY1" s="53"/>
      <c r="BTZ1" s="53"/>
      <c r="BUA1" s="53"/>
      <c r="BUB1" s="53"/>
      <c r="BUC1" s="53"/>
      <c r="BUD1" s="53"/>
      <c r="BUE1" s="53"/>
      <c r="BUF1" s="53"/>
      <c r="BUG1" s="53"/>
      <c r="BUH1" s="53"/>
      <c r="BUI1" s="53"/>
      <c r="BUJ1" s="53"/>
      <c r="BUK1" s="53"/>
      <c r="BUL1" s="53"/>
      <c r="BUM1" s="53"/>
      <c r="BUN1" s="53"/>
      <c r="BUO1" s="53"/>
      <c r="BUP1" s="53"/>
      <c r="BUQ1" s="53"/>
      <c r="BUR1" s="53"/>
      <c r="BUS1" s="53"/>
      <c r="BUT1" s="53"/>
      <c r="BUU1" s="53"/>
      <c r="BUV1" s="53"/>
      <c r="BUW1" s="53"/>
      <c r="BUX1" s="53"/>
      <c r="BUY1" s="53"/>
      <c r="BUZ1" s="53"/>
      <c r="BVA1" s="53"/>
      <c r="BVB1" s="53"/>
      <c r="BVC1" s="53"/>
      <c r="BVD1" s="53"/>
      <c r="BVE1" s="53"/>
      <c r="BVF1" s="53"/>
      <c r="BVG1" s="53"/>
      <c r="BVH1" s="53"/>
      <c r="BVI1" s="53"/>
      <c r="BVJ1" s="53"/>
      <c r="BVK1" s="53"/>
      <c r="BVL1" s="53"/>
      <c r="BVM1" s="53"/>
      <c r="BVN1" s="53"/>
      <c r="BVO1" s="53"/>
      <c r="BVP1" s="53"/>
      <c r="BVQ1" s="53"/>
      <c r="BVR1" s="53"/>
      <c r="BVS1" s="53"/>
      <c r="BVT1" s="53"/>
      <c r="BVU1" s="53"/>
      <c r="BVV1" s="53"/>
      <c r="BVW1" s="53"/>
      <c r="BVX1" s="53"/>
      <c r="BVY1" s="53"/>
      <c r="BVZ1" s="53"/>
      <c r="BWA1" s="53"/>
      <c r="BWB1" s="53"/>
      <c r="BWC1" s="53"/>
      <c r="BWD1" s="53"/>
      <c r="BWE1" s="53"/>
      <c r="BWF1" s="53"/>
      <c r="BWG1" s="53"/>
      <c r="BWH1" s="53"/>
      <c r="BWI1" s="53"/>
      <c r="BWJ1" s="53"/>
      <c r="BWK1" s="53"/>
      <c r="BWL1" s="53"/>
      <c r="BWM1" s="53"/>
      <c r="BWN1" s="53"/>
      <c r="BWO1" s="53"/>
      <c r="BWP1" s="53"/>
      <c r="BWQ1" s="53"/>
      <c r="BWR1" s="53"/>
      <c r="BWS1" s="53"/>
      <c r="BWT1" s="53"/>
      <c r="BWU1" s="53"/>
      <c r="BWV1" s="53"/>
      <c r="BWW1" s="53"/>
      <c r="BWX1" s="53"/>
      <c r="BWY1" s="53"/>
      <c r="BWZ1" s="53"/>
      <c r="BXA1" s="53"/>
      <c r="BXB1" s="53"/>
      <c r="BXC1" s="53"/>
      <c r="BXD1" s="53"/>
      <c r="BXE1" s="53"/>
      <c r="BXF1" s="53"/>
      <c r="BXG1" s="53"/>
      <c r="BXH1" s="53"/>
      <c r="BXI1" s="53"/>
      <c r="BXJ1" s="53"/>
      <c r="BXK1" s="53"/>
      <c r="BXL1" s="53"/>
      <c r="BXM1" s="53"/>
      <c r="BXN1" s="53"/>
      <c r="BXO1" s="53"/>
      <c r="BXP1" s="53"/>
      <c r="BXQ1" s="53"/>
      <c r="BXR1" s="53"/>
      <c r="BXS1" s="53"/>
      <c r="BXT1" s="53"/>
      <c r="BXU1" s="53"/>
      <c r="BXV1" s="53"/>
      <c r="BXW1" s="53"/>
      <c r="BXX1" s="53"/>
      <c r="BXY1" s="53"/>
      <c r="BXZ1" s="53"/>
      <c r="BYA1" s="53"/>
      <c r="BYB1" s="53"/>
      <c r="BYC1" s="53"/>
      <c r="BYD1" s="53"/>
      <c r="BYE1" s="53"/>
      <c r="BYF1" s="53"/>
      <c r="BYG1" s="53"/>
      <c r="BYH1" s="53"/>
      <c r="BYI1" s="53"/>
      <c r="BYJ1" s="53"/>
      <c r="BYK1" s="53"/>
      <c r="BYL1" s="53"/>
      <c r="BYM1" s="53"/>
      <c r="BYN1" s="53"/>
      <c r="BYO1" s="53"/>
      <c r="BYP1" s="53"/>
      <c r="BYQ1" s="53"/>
      <c r="BYR1" s="53"/>
      <c r="BYS1" s="53"/>
      <c r="BYT1" s="53"/>
      <c r="BYU1" s="53"/>
      <c r="BYV1" s="53"/>
      <c r="BYW1" s="53"/>
      <c r="BYX1" s="53"/>
      <c r="BYY1" s="53"/>
      <c r="BYZ1" s="53"/>
      <c r="BZA1" s="53"/>
      <c r="BZB1" s="53"/>
      <c r="BZC1" s="53"/>
      <c r="BZD1" s="53"/>
      <c r="BZE1" s="53"/>
      <c r="BZF1" s="53"/>
      <c r="BZG1" s="53"/>
      <c r="BZH1" s="53"/>
      <c r="BZI1" s="53"/>
      <c r="BZJ1" s="53"/>
      <c r="BZK1" s="53"/>
      <c r="BZL1" s="53"/>
      <c r="BZM1" s="53"/>
      <c r="BZN1" s="53"/>
      <c r="BZO1" s="53"/>
      <c r="BZP1" s="53"/>
      <c r="BZQ1" s="53"/>
      <c r="BZR1" s="53"/>
      <c r="BZS1" s="53"/>
      <c r="BZT1" s="53"/>
      <c r="BZU1" s="53"/>
      <c r="BZV1" s="53"/>
      <c r="BZW1" s="53"/>
      <c r="BZX1" s="53"/>
      <c r="BZY1" s="53"/>
      <c r="BZZ1" s="53"/>
      <c r="CAA1" s="53"/>
      <c r="CAB1" s="53"/>
      <c r="CAC1" s="53"/>
      <c r="CAD1" s="53"/>
      <c r="CAE1" s="53"/>
      <c r="CAF1" s="53"/>
      <c r="CAG1" s="53"/>
      <c r="CAH1" s="53"/>
      <c r="CAI1" s="53"/>
      <c r="CAJ1" s="53"/>
      <c r="CAK1" s="53"/>
      <c r="CAL1" s="53"/>
      <c r="CAM1" s="53"/>
      <c r="CAN1" s="53"/>
      <c r="CAO1" s="53"/>
      <c r="CAP1" s="53"/>
      <c r="CAQ1" s="53"/>
      <c r="CAR1" s="53"/>
      <c r="CAS1" s="53"/>
      <c r="CAT1" s="53"/>
      <c r="CAU1" s="53"/>
      <c r="CAV1" s="53"/>
      <c r="CAW1" s="53"/>
      <c r="CAX1" s="53"/>
      <c r="CAY1" s="53"/>
      <c r="CAZ1" s="53"/>
      <c r="CBA1" s="53"/>
      <c r="CBB1" s="53"/>
      <c r="CBC1" s="53"/>
      <c r="CBD1" s="53"/>
      <c r="CBE1" s="53"/>
      <c r="CBF1" s="53"/>
      <c r="CBG1" s="53"/>
      <c r="CBH1" s="53"/>
      <c r="CBI1" s="53"/>
      <c r="CBJ1" s="53"/>
      <c r="CBK1" s="53"/>
      <c r="CBL1" s="53"/>
      <c r="CBM1" s="53"/>
      <c r="CBN1" s="53"/>
      <c r="CBO1" s="53"/>
      <c r="CBP1" s="53"/>
      <c r="CBQ1" s="53"/>
      <c r="CBR1" s="53"/>
      <c r="CBS1" s="53"/>
      <c r="CBT1" s="53"/>
      <c r="CBU1" s="53"/>
      <c r="CBV1" s="53"/>
      <c r="CBW1" s="53"/>
      <c r="CBX1" s="53"/>
      <c r="CBY1" s="53"/>
      <c r="CBZ1" s="53"/>
      <c r="CCA1" s="53"/>
      <c r="CCB1" s="53"/>
      <c r="CCC1" s="53"/>
      <c r="CCD1" s="53"/>
      <c r="CCE1" s="53"/>
      <c r="CCF1" s="53"/>
      <c r="CCG1" s="53"/>
      <c r="CCH1" s="53"/>
      <c r="CCI1" s="53"/>
      <c r="CCJ1" s="53"/>
      <c r="CCK1" s="53"/>
      <c r="CCL1" s="53"/>
      <c r="CCM1" s="53"/>
      <c r="CCN1" s="53"/>
      <c r="CCO1" s="53"/>
      <c r="CCP1" s="53"/>
      <c r="CCQ1" s="53"/>
      <c r="CCR1" s="53"/>
      <c r="CCS1" s="53"/>
      <c r="CCT1" s="53"/>
      <c r="CCU1" s="53"/>
      <c r="CCV1" s="53"/>
      <c r="CCW1" s="53"/>
      <c r="CCX1" s="53"/>
      <c r="CCY1" s="53"/>
      <c r="CCZ1" s="53"/>
      <c r="CDA1" s="53"/>
      <c r="CDB1" s="53"/>
      <c r="CDC1" s="53"/>
      <c r="CDD1" s="53"/>
      <c r="CDE1" s="53"/>
      <c r="CDF1" s="53"/>
      <c r="CDG1" s="53"/>
      <c r="CDH1" s="53"/>
      <c r="CDI1" s="53"/>
      <c r="CDJ1" s="53"/>
      <c r="CDK1" s="53"/>
      <c r="CDL1" s="53"/>
      <c r="CDM1" s="53"/>
      <c r="CDN1" s="53"/>
      <c r="CDO1" s="53"/>
      <c r="CDP1" s="53"/>
      <c r="CDQ1" s="53"/>
      <c r="CDR1" s="53"/>
      <c r="CDS1" s="53"/>
      <c r="CDT1" s="53"/>
      <c r="CDU1" s="53"/>
      <c r="CDV1" s="53"/>
      <c r="CDW1" s="53"/>
      <c r="CDX1" s="53"/>
      <c r="CDY1" s="53"/>
      <c r="CDZ1" s="53"/>
      <c r="CEA1" s="53"/>
      <c r="CEB1" s="53"/>
      <c r="CEC1" s="53"/>
      <c r="CED1" s="53"/>
      <c r="CEE1" s="53"/>
      <c r="CEF1" s="53"/>
      <c r="CEG1" s="53"/>
      <c r="CEH1" s="53"/>
      <c r="CEI1" s="53"/>
      <c r="CEJ1" s="53"/>
      <c r="CEK1" s="53"/>
      <c r="CEL1" s="53"/>
      <c r="CEM1" s="53"/>
      <c r="CEN1" s="53"/>
      <c r="CEO1" s="53"/>
      <c r="CEP1" s="53"/>
      <c r="CEQ1" s="53"/>
      <c r="CER1" s="53"/>
      <c r="CES1" s="53"/>
      <c r="CET1" s="53"/>
      <c r="CEU1" s="53"/>
      <c r="CEV1" s="53"/>
      <c r="CEW1" s="53"/>
      <c r="CEX1" s="53"/>
      <c r="CEY1" s="53"/>
      <c r="CEZ1" s="53"/>
      <c r="CFA1" s="53"/>
      <c r="CFB1" s="53"/>
      <c r="CFC1" s="53"/>
      <c r="CFD1" s="53"/>
      <c r="CFE1" s="53"/>
      <c r="CFF1" s="53"/>
      <c r="CFG1" s="53"/>
      <c r="CFH1" s="53"/>
      <c r="CFI1" s="53"/>
      <c r="CFJ1" s="53"/>
      <c r="CFK1" s="53"/>
      <c r="CFL1" s="53"/>
      <c r="CFM1" s="53"/>
      <c r="CFN1" s="53"/>
      <c r="CFO1" s="53"/>
      <c r="CFP1" s="53"/>
      <c r="CFQ1" s="53"/>
      <c r="CFR1" s="53"/>
      <c r="CFS1" s="53"/>
      <c r="CFT1" s="53"/>
      <c r="CFU1" s="53"/>
      <c r="CFV1" s="53"/>
      <c r="CFW1" s="53"/>
      <c r="CFX1" s="53"/>
      <c r="CFY1" s="53"/>
      <c r="CFZ1" s="53"/>
      <c r="CGA1" s="53"/>
      <c r="CGB1" s="53"/>
      <c r="CGC1" s="53"/>
      <c r="CGD1" s="53"/>
      <c r="CGE1" s="53"/>
      <c r="CGF1" s="53"/>
      <c r="CGG1" s="53"/>
      <c r="CGH1" s="53"/>
      <c r="CGI1" s="53"/>
      <c r="CGJ1" s="53"/>
      <c r="CGK1" s="53"/>
      <c r="CGL1" s="53"/>
      <c r="CGM1" s="53"/>
      <c r="CGN1" s="53"/>
      <c r="CGO1" s="53"/>
      <c r="CGP1" s="53"/>
      <c r="CGQ1" s="53"/>
      <c r="CGR1" s="53"/>
      <c r="CGS1" s="53"/>
      <c r="CGT1" s="53"/>
      <c r="CGU1" s="53"/>
      <c r="CGV1" s="53"/>
      <c r="CGW1" s="53"/>
      <c r="CGX1" s="53"/>
      <c r="CGY1" s="53"/>
      <c r="CGZ1" s="53"/>
      <c r="CHA1" s="53"/>
      <c r="CHB1" s="53"/>
      <c r="CHC1" s="53"/>
      <c r="CHD1" s="53"/>
      <c r="CHE1" s="53"/>
      <c r="CHF1" s="53"/>
      <c r="CHG1" s="53"/>
      <c r="CHH1" s="53"/>
      <c r="CHI1" s="53"/>
      <c r="CHJ1" s="53"/>
      <c r="CHK1" s="53"/>
      <c r="CHL1" s="53"/>
      <c r="CHM1" s="53"/>
      <c r="CHN1" s="53"/>
      <c r="CHO1" s="53"/>
      <c r="CHP1" s="53"/>
      <c r="CHQ1" s="53"/>
      <c r="CHR1" s="53"/>
      <c r="CHS1" s="53"/>
      <c r="CHT1" s="53"/>
      <c r="CHU1" s="53"/>
      <c r="CHV1" s="53"/>
      <c r="CHW1" s="53"/>
      <c r="CHX1" s="53"/>
      <c r="CHY1" s="53"/>
      <c r="CHZ1" s="53"/>
      <c r="CIA1" s="53"/>
      <c r="CIB1" s="53"/>
      <c r="CIC1" s="53"/>
      <c r="CID1" s="53"/>
      <c r="CIE1" s="53"/>
      <c r="CIF1" s="53"/>
      <c r="CIG1" s="53"/>
      <c r="CIH1" s="53"/>
      <c r="CII1" s="53"/>
      <c r="CIJ1" s="53"/>
      <c r="CIK1" s="53"/>
      <c r="CIL1" s="53"/>
      <c r="CIM1" s="53"/>
      <c r="CIN1" s="53"/>
      <c r="CIO1" s="53"/>
      <c r="CIP1" s="53"/>
      <c r="CIQ1" s="53"/>
      <c r="CIR1" s="53"/>
      <c r="CIS1" s="53"/>
      <c r="CIT1" s="53"/>
      <c r="CIU1" s="53"/>
      <c r="CIV1" s="53"/>
      <c r="CIW1" s="53"/>
      <c r="CIX1" s="53"/>
      <c r="CIY1" s="53"/>
      <c r="CIZ1" s="53"/>
      <c r="CJA1" s="53"/>
      <c r="CJB1" s="53"/>
      <c r="CJC1" s="53"/>
      <c r="CJD1" s="53"/>
      <c r="CJE1" s="53"/>
      <c r="CJF1" s="53"/>
      <c r="CJG1" s="53"/>
      <c r="CJH1" s="53"/>
      <c r="CJI1" s="53"/>
      <c r="CJJ1" s="53"/>
      <c r="CJK1" s="53"/>
      <c r="CJL1" s="53"/>
      <c r="CJM1" s="53"/>
      <c r="CJN1" s="53"/>
      <c r="CJO1" s="53"/>
      <c r="CJP1" s="53"/>
      <c r="CJQ1" s="53"/>
      <c r="CJR1" s="53"/>
      <c r="CJS1" s="53"/>
      <c r="CJT1" s="53"/>
      <c r="CJU1" s="53"/>
      <c r="CJV1" s="53"/>
      <c r="CJW1" s="53"/>
      <c r="CJX1" s="53"/>
      <c r="CJY1" s="53"/>
      <c r="CJZ1" s="53"/>
      <c r="CKA1" s="53"/>
      <c r="CKB1" s="53"/>
      <c r="CKC1" s="53"/>
      <c r="CKD1" s="53"/>
      <c r="CKE1" s="53"/>
      <c r="CKF1" s="53"/>
      <c r="CKG1" s="53"/>
      <c r="CKH1" s="53"/>
      <c r="CKI1" s="53"/>
      <c r="CKJ1" s="53"/>
      <c r="CKK1" s="53"/>
      <c r="CKL1" s="53"/>
      <c r="CKM1" s="53"/>
      <c r="CKN1" s="53"/>
      <c r="CKO1" s="53"/>
      <c r="CKP1" s="53"/>
      <c r="CKQ1" s="53"/>
      <c r="CKR1" s="53"/>
      <c r="CKS1" s="53"/>
      <c r="CKT1" s="53"/>
      <c r="CKU1" s="53"/>
      <c r="CKV1" s="53"/>
      <c r="CKW1" s="53"/>
      <c r="CKX1" s="53"/>
      <c r="CKY1" s="53"/>
      <c r="CKZ1" s="53"/>
      <c r="CLA1" s="53"/>
      <c r="CLB1" s="53"/>
      <c r="CLC1" s="53"/>
      <c r="CLD1" s="53"/>
      <c r="CLE1" s="53"/>
      <c r="CLF1" s="53"/>
      <c r="CLG1" s="53"/>
      <c r="CLH1" s="53"/>
      <c r="CLI1" s="53"/>
      <c r="CLJ1" s="53"/>
      <c r="CLK1" s="53"/>
      <c r="CLL1" s="53"/>
      <c r="CLM1" s="53"/>
      <c r="CLN1" s="53"/>
      <c r="CLO1" s="53"/>
      <c r="CLP1" s="53"/>
      <c r="CLQ1" s="53"/>
      <c r="CLR1" s="53"/>
      <c r="CLS1" s="53"/>
      <c r="CLT1" s="53"/>
      <c r="CLU1" s="53"/>
      <c r="CLV1" s="53"/>
      <c r="CLW1" s="53"/>
      <c r="CLX1" s="53"/>
      <c r="CLY1" s="53"/>
      <c r="CLZ1" s="53"/>
      <c r="CMA1" s="53"/>
      <c r="CMB1" s="53"/>
      <c r="CMC1" s="53"/>
      <c r="CMD1" s="53"/>
      <c r="CME1" s="53"/>
      <c r="CMF1" s="53"/>
      <c r="CMG1" s="53"/>
      <c r="CMH1" s="53"/>
      <c r="CMI1" s="53"/>
      <c r="CMJ1" s="53"/>
      <c r="CMK1" s="53"/>
      <c r="CML1" s="53"/>
      <c r="CMM1" s="53"/>
      <c r="CMN1" s="53"/>
      <c r="CMO1" s="53"/>
      <c r="CMP1" s="53"/>
      <c r="CMQ1" s="53"/>
      <c r="CMR1" s="53"/>
      <c r="CMS1" s="53"/>
      <c r="CMT1" s="53"/>
      <c r="CMU1" s="53"/>
      <c r="CMV1" s="53"/>
      <c r="CMW1" s="53"/>
      <c r="CMX1" s="53"/>
      <c r="CMY1" s="53"/>
      <c r="CMZ1" s="53"/>
      <c r="CNA1" s="53"/>
      <c r="CNB1" s="53"/>
      <c r="CNC1" s="53"/>
      <c r="CND1" s="53"/>
      <c r="CNE1" s="53"/>
      <c r="CNF1" s="53"/>
      <c r="CNG1" s="53"/>
      <c r="CNH1" s="53"/>
      <c r="CNI1" s="53"/>
      <c r="CNJ1" s="53"/>
      <c r="CNK1" s="53"/>
      <c r="CNL1" s="53"/>
      <c r="CNM1" s="53"/>
      <c r="CNN1" s="53"/>
      <c r="CNO1" s="53"/>
      <c r="CNP1" s="53"/>
      <c r="CNQ1" s="53"/>
      <c r="CNR1" s="53"/>
      <c r="CNS1" s="53"/>
      <c r="CNT1" s="53"/>
      <c r="CNU1" s="53"/>
      <c r="CNV1" s="53"/>
      <c r="CNW1" s="53"/>
      <c r="CNX1" s="53"/>
      <c r="CNY1" s="53"/>
      <c r="CNZ1" s="53"/>
      <c r="COA1" s="53"/>
      <c r="COB1" s="53"/>
      <c r="COC1" s="53"/>
      <c r="COD1" s="53"/>
      <c r="COE1" s="53"/>
      <c r="COF1" s="53"/>
      <c r="COG1" s="53"/>
      <c r="COH1" s="53"/>
      <c r="COI1" s="53"/>
      <c r="COJ1" s="53"/>
      <c r="COK1" s="53"/>
      <c r="COL1" s="53"/>
      <c r="COM1" s="53"/>
      <c r="CON1" s="53"/>
      <c r="COO1" s="53"/>
      <c r="COP1" s="53"/>
      <c r="COQ1" s="53"/>
      <c r="COR1" s="53"/>
      <c r="COS1" s="53"/>
      <c r="COT1" s="53"/>
      <c r="COU1" s="53"/>
      <c r="COV1" s="53"/>
      <c r="COW1" s="53"/>
      <c r="COX1" s="53"/>
      <c r="COY1" s="53"/>
      <c r="COZ1" s="53"/>
      <c r="CPA1" s="53"/>
      <c r="CPB1" s="53"/>
      <c r="CPC1" s="53"/>
      <c r="CPD1" s="53"/>
      <c r="CPE1" s="53"/>
      <c r="CPF1" s="53"/>
      <c r="CPG1" s="53"/>
      <c r="CPH1" s="53"/>
      <c r="CPI1" s="53"/>
      <c r="CPJ1" s="53"/>
      <c r="CPK1" s="53"/>
      <c r="CPL1" s="53"/>
      <c r="CPM1" s="53"/>
      <c r="CPN1" s="53"/>
      <c r="CPO1" s="53"/>
      <c r="CPP1" s="53"/>
      <c r="CPQ1" s="53"/>
      <c r="CPR1" s="53"/>
      <c r="CPS1" s="53"/>
      <c r="CPT1" s="53"/>
      <c r="CPU1" s="53"/>
      <c r="CPV1" s="53"/>
      <c r="CPW1" s="53"/>
      <c r="CPX1" s="53"/>
      <c r="CPY1" s="53"/>
      <c r="CPZ1" s="53"/>
      <c r="CQA1" s="53"/>
      <c r="CQB1" s="53"/>
      <c r="CQC1" s="53"/>
      <c r="CQD1" s="53"/>
      <c r="CQE1" s="53"/>
      <c r="CQF1" s="53"/>
      <c r="CQG1" s="53"/>
      <c r="CQH1" s="53"/>
      <c r="CQI1" s="53"/>
      <c r="CQJ1" s="53"/>
      <c r="CQK1" s="53"/>
      <c r="CQL1" s="53"/>
      <c r="CQM1" s="53"/>
      <c r="CQN1" s="53"/>
      <c r="CQO1" s="53"/>
      <c r="CQP1" s="53"/>
      <c r="CQQ1" s="53"/>
      <c r="CQR1" s="53"/>
      <c r="CQS1" s="53"/>
      <c r="CQT1" s="53"/>
      <c r="CQU1" s="53"/>
      <c r="CQV1" s="53"/>
      <c r="CQW1" s="53"/>
      <c r="CQX1" s="53"/>
      <c r="CQY1" s="53"/>
      <c r="CQZ1" s="53"/>
      <c r="CRA1" s="53"/>
      <c r="CRB1" s="53"/>
      <c r="CRC1" s="53"/>
      <c r="CRD1" s="53"/>
      <c r="CRE1" s="53"/>
      <c r="CRF1" s="53"/>
      <c r="CRG1" s="53"/>
      <c r="CRH1" s="53"/>
      <c r="CRI1" s="53"/>
      <c r="CRJ1" s="53"/>
      <c r="CRK1" s="53"/>
      <c r="CRL1" s="53"/>
      <c r="CRM1" s="53"/>
      <c r="CRN1" s="53"/>
      <c r="CRO1" s="53"/>
      <c r="CRP1" s="53"/>
      <c r="CRQ1" s="53"/>
      <c r="CRR1" s="53"/>
      <c r="CRS1" s="53"/>
      <c r="CRT1" s="53"/>
      <c r="CRU1" s="53"/>
      <c r="CRV1" s="53"/>
      <c r="CRW1" s="53"/>
      <c r="CRX1" s="53"/>
      <c r="CRY1" s="53"/>
      <c r="CRZ1" s="53"/>
      <c r="CSA1" s="53"/>
      <c r="CSB1" s="53"/>
      <c r="CSC1" s="53"/>
      <c r="CSD1" s="53"/>
      <c r="CSE1" s="53"/>
      <c r="CSF1" s="53"/>
      <c r="CSG1" s="53"/>
      <c r="CSH1" s="53"/>
      <c r="CSI1" s="53"/>
      <c r="CSJ1" s="53"/>
      <c r="CSK1" s="53"/>
      <c r="CSL1" s="53"/>
      <c r="CSM1" s="53"/>
      <c r="CSN1" s="53"/>
      <c r="CSO1" s="53"/>
      <c r="CSP1" s="53"/>
      <c r="CSQ1" s="53"/>
      <c r="CSR1" s="53"/>
      <c r="CSS1" s="53"/>
      <c r="CST1" s="53"/>
      <c r="CSU1" s="53"/>
      <c r="CSV1" s="53"/>
      <c r="CSW1" s="53"/>
      <c r="CSX1" s="53"/>
      <c r="CSY1" s="53"/>
      <c r="CSZ1" s="53"/>
      <c r="CTA1" s="53"/>
      <c r="CTB1" s="53"/>
      <c r="CTC1" s="53"/>
      <c r="CTD1" s="53"/>
      <c r="CTE1" s="53"/>
      <c r="CTF1" s="53"/>
      <c r="CTG1" s="53"/>
      <c r="CTH1" s="53"/>
      <c r="CTI1" s="53"/>
      <c r="CTJ1" s="53"/>
      <c r="CTK1" s="53"/>
      <c r="CTL1" s="53"/>
      <c r="CTM1" s="53"/>
      <c r="CTN1" s="53"/>
      <c r="CTO1" s="53"/>
      <c r="CTP1" s="53"/>
      <c r="CTQ1" s="53"/>
      <c r="CTR1" s="53"/>
      <c r="CTS1" s="53"/>
      <c r="CTT1" s="53"/>
      <c r="CTU1" s="53"/>
      <c r="CTV1" s="53"/>
      <c r="CTW1" s="53"/>
      <c r="CTX1" s="53"/>
      <c r="CTY1" s="53"/>
      <c r="CTZ1" s="53"/>
      <c r="CUA1" s="53"/>
      <c r="CUB1" s="53"/>
      <c r="CUC1" s="53"/>
      <c r="CUD1" s="53"/>
      <c r="CUE1" s="53"/>
      <c r="CUF1" s="53"/>
      <c r="CUG1" s="53"/>
      <c r="CUH1" s="53"/>
      <c r="CUI1" s="53"/>
      <c r="CUJ1" s="53"/>
      <c r="CUK1" s="53"/>
      <c r="CUL1" s="53"/>
      <c r="CUM1" s="53"/>
      <c r="CUN1" s="53"/>
      <c r="CUO1" s="53"/>
      <c r="CUP1" s="53"/>
      <c r="CUQ1" s="53"/>
      <c r="CUR1" s="53"/>
      <c r="CUS1" s="53"/>
      <c r="CUT1" s="53"/>
      <c r="CUU1" s="53"/>
      <c r="CUV1" s="53"/>
      <c r="CUW1" s="53"/>
      <c r="CUX1" s="53"/>
      <c r="CUY1" s="53"/>
      <c r="CUZ1" s="53"/>
      <c r="CVA1" s="53"/>
      <c r="CVB1" s="53"/>
      <c r="CVC1" s="53"/>
      <c r="CVD1" s="53"/>
      <c r="CVE1" s="53"/>
      <c r="CVF1" s="53"/>
      <c r="CVG1" s="53"/>
      <c r="CVH1" s="53"/>
      <c r="CVI1" s="53"/>
      <c r="CVJ1" s="53"/>
      <c r="CVK1" s="53"/>
      <c r="CVL1" s="53"/>
      <c r="CVM1" s="53"/>
      <c r="CVN1" s="53"/>
      <c r="CVO1" s="53"/>
      <c r="CVP1" s="53"/>
      <c r="CVQ1" s="53"/>
      <c r="CVR1" s="53"/>
      <c r="CVS1" s="53"/>
      <c r="CVT1" s="53"/>
      <c r="CVU1" s="53"/>
      <c r="CVV1" s="53"/>
      <c r="CVW1" s="53"/>
      <c r="CVX1" s="53"/>
      <c r="CVY1" s="53"/>
      <c r="CVZ1" s="53"/>
      <c r="CWA1" s="53"/>
      <c r="CWB1" s="53"/>
      <c r="CWC1" s="53"/>
      <c r="CWD1" s="53"/>
      <c r="CWE1" s="53"/>
      <c r="CWF1" s="53"/>
      <c r="CWG1" s="53"/>
      <c r="CWH1" s="53"/>
      <c r="CWI1" s="53"/>
      <c r="CWJ1" s="53"/>
      <c r="CWK1" s="53"/>
      <c r="CWL1" s="53"/>
      <c r="CWM1" s="53"/>
      <c r="CWN1" s="53"/>
      <c r="CWO1" s="53"/>
      <c r="CWP1" s="53"/>
      <c r="CWQ1" s="53"/>
      <c r="CWR1" s="53"/>
      <c r="CWS1" s="53"/>
      <c r="CWT1" s="53"/>
      <c r="CWU1" s="53"/>
      <c r="CWV1" s="53"/>
      <c r="CWW1" s="53"/>
      <c r="CWX1" s="53"/>
      <c r="CWY1" s="53"/>
      <c r="CWZ1" s="53"/>
      <c r="CXA1" s="53"/>
      <c r="CXB1" s="53"/>
      <c r="CXC1" s="53"/>
      <c r="CXD1" s="53"/>
      <c r="CXE1" s="53"/>
      <c r="CXF1" s="53"/>
      <c r="CXG1" s="53"/>
      <c r="CXH1" s="53"/>
      <c r="CXI1" s="53"/>
      <c r="CXJ1" s="53"/>
      <c r="CXK1" s="53"/>
      <c r="CXL1" s="53"/>
      <c r="CXM1" s="53"/>
      <c r="CXN1" s="53"/>
      <c r="CXO1" s="53"/>
      <c r="CXP1" s="53"/>
      <c r="CXQ1" s="53"/>
      <c r="CXR1" s="53"/>
      <c r="CXS1" s="53"/>
      <c r="CXT1" s="53"/>
      <c r="CXU1" s="53"/>
      <c r="CXV1" s="53"/>
      <c r="CXW1" s="53"/>
      <c r="CXX1" s="53"/>
      <c r="CXY1" s="53"/>
      <c r="CXZ1" s="53"/>
      <c r="CYA1" s="53"/>
      <c r="CYB1" s="53"/>
      <c r="CYC1" s="53"/>
      <c r="CYD1" s="53"/>
      <c r="CYE1" s="53"/>
      <c r="CYF1" s="53"/>
      <c r="CYG1" s="53"/>
      <c r="CYH1" s="53"/>
      <c r="CYI1" s="53"/>
      <c r="CYJ1" s="53"/>
      <c r="CYK1" s="53"/>
      <c r="CYL1" s="53"/>
      <c r="CYM1" s="53"/>
      <c r="CYN1" s="53"/>
      <c r="CYO1" s="53"/>
      <c r="CYP1" s="53"/>
      <c r="CYQ1" s="53"/>
      <c r="CYR1" s="53"/>
      <c r="CYS1" s="53"/>
      <c r="CYT1" s="53"/>
      <c r="CYU1" s="53"/>
      <c r="CYV1" s="53"/>
      <c r="CYW1" s="53"/>
      <c r="CYX1" s="53"/>
      <c r="CYY1" s="53"/>
      <c r="CYZ1" s="53"/>
      <c r="CZA1" s="53"/>
      <c r="CZB1" s="53"/>
      <c r="CZC1" s="53"/>
      <c r="CZD1" s="53"/>
      <c r="CZE1" s="53"/>
      <c r="CZF1" s="53"/>
      <c r="CZG1" s="53"/>
      <c r="CZH1" s="53"/>
      <c r="CZI1" s="53"/>
      <c r="CZJ1" s="53"/>
      <c r="CZK1" s="53"/>
      <c r="CZL1" s="53"/>
      <c r="CZM1" s="53"/>
      <c r="CZN1" s="53"/>
      <c r="CZO1" s="53"/>
      <c r="CZP1" s="53"/>
      <c r="CZQ1" s="53"/>
      <c r="CZR1" s="53"/>
      <c r="CZS1" s="53"/>
      <c r="CZT1" s="53"/>
      <c r="CZU1" s="53"/>
      <c r="CZV1" s="53"/>
      <c r="CZW1" s="53"/>
      <c r="CZX1" s="53"/>
      <c r="CZY1" s="53"/>
      <c r="CZZ1" s="53"/>
      <c r="DAA1" s="53"/>
      <c r="DAB1" s="53"/>
      <c r="DAC1" s="53"/>
      <c r="DAD1" s="53"/>
      <c r="DAE1" s="53"/>
      <c r="DAF1" s="53"/>
      <c r="DAG1" s="53"/>
      <c r="DAH1" s="53"/>
      <c r="DAI1" s="53"/>
      <c r="DAJ1" s="53"/>
      <c r="DAK1" s="53"/>
      <c r="DAL1" s="53"/>
      <c r="DAM1" s="53"/>
      <c r="DAN1" s="53"/>
      <c r="DAO1" s="53"/>
      <c r="DAP1" s="53"/>
      <c r="DAQ1" s="53"/>
      <c r="DAR1" s="53"/>
      <c r="DAS1" s="53"/>
      <c r="DAT1" s="53"/>
      <c r="DAU1" s="53"/>
      <c r="DAV1" s="53"/>
      <c r="DAW1" s="53"/>
      <c r="DAX1" s="53"/>
      <c r="DAY1" s="53"/>
      <c r="DAZ1" s="53"/>
      <c r="DBA1" s="53"/>
      <c r="DBB1" s="53"/>
      <c r="DBC1" s="53"/>
      <c r="DBD1" s="53"/>
      <c r="DBE1" s="53"/>
      <c r="DBF1" s="53"/>
      <c r="DBG1" s="53"/>
      <c r="DBH1" s="53"/>
      <c r="DBI1" s="53"/>
      <c r="DBJ1" s="53"/>
      <c r="DBK1" s="53"/>
      <c r="DBL1" s="53"/>
      <c r="DBM1" s="53"/>
      <c r="DBN1" s="53"/>
      <c r="DBO1" s="53"/>
      <c r="DBP1" s="53"/>
      <c r="DBQ1" s="53"/>
      <c r="DBR1" s="53"/>
      <c r="DBS1" s="53"/>
      <c r="DBT1" s="53"/>
      <c r="DBU1" s="53"/>
      <c r="DBV1" s="53"/>
      <c r="DBW1" s="53"/>
      <c r="DBX1" s="53"/>
      <c r="DBY1" s="53"/>
      <c r="DBZ1" s="53"/>
      <c r="DCA1" s="53"/>
      <c r="DCB1" s="53"/>
      <c r="DCC1" s="53"/>
      <c r="DCD1" s="53"/>
      <c r="DCE1" s="53"/>
      <c r="DCF1" s="53"/>
      <c r="DCG1" s="53"/>
      <c r="DCH1" s="53"/>
      <c r="DCI1" s="53"/>
      <c r="DCJ1" s="53"/>
      <c r="DCK1" s="53"/>
      <c r="DCL1" s="53"/>
      <c r="DCM1" s="53"/>
      <c r="DCN1" s="53"/>
      <c r="DCO1" s="53"/>
      <c r="DCP1" s="53"/>
      <c r="DCQ1" s="53"/>
      <c r="DCR1" s="53"/>
      <c r="DCS1" s="53"/>
      <c r="DCT1" s="53"/>
      <c r="DCU1" s="53"/>
      <c r="DCV1" s="53"/>
      <c r="DCW1" s="53"/>
      <c r="DCX1" s="53"/>
      <c r="DCY1" s="53"/>
      <c r="DCZ1" s="53"/>
      <c r="DDA1" s="53"/>
      <c r="DDB1" s="53"/>
      <c r="DDC1" s="53"/>
      <c r="DDD1" s="53"/>
      <c r="DDE1" s="53"/>
      <c r="DDF1" s="53"/>
      <c r="DDG1" s="53"/>
      <c r="DDH1" s="53"/>
      <c r="DDI1" s="53"/>
      <c r="DDJ1" s="53"/>
      <c r="DDK1" s="53"/>
      <c r="DDL1" s="53"/>
      <c r="DDM1" s="53"/>
      <c r="DDN1" s="53"/>
      <c r="DDO1" s="53"/>
      <c r="DDP1" s="53"/>
      <c r="DDQ1" s="53"/>
      <c r="DDR1" s="53"/>
      <c r="DDS1" s="53"/>
      <c r="DDT1" s="53"/>
      <c r="DDU1" s="53"/>
      <c r="DDV1" s="53"/>
      <c r="DDW1" s="53"/>
      <c r="DDX1" s="53"/>
      <c r="DDY1" s="53"/>
      <c r="DDZ1" s="53"/>
      <c r="DEA1" s="53"/>
      <c r="DEB1" s="53"/>
      <c r="DEC1" s="53"/>
      <c r="DED1" s="53"/>
      <c r="DEE1" s="53"/>
      <c r="DEF1" s="53"/>
      <c r="DEG1" s="53"/>
      <c r="DEH1" s="53"/>
      <c r="DEI1" s="53"/>
      <c r="DEJ1" s="53"/>
      <c r="DEK1" s="53"/>
      <c r="DEL1" s="53"/>
      <c r="DEM1" s="53"/>
      <c r="DEN1" s="53"/>
      <c r="DEO1" s="53"/>
      <c r="DEP1" s="53"/>
      <c r="DEQ1" s="53"/>
      <c r="DER1" s="53"/>
      <c r="DES1" s="53"/>
      <c r="DET1" s="53"/>
      <c r="DEU1" s="53"/>
      <c r="DEV1" s="53"/>
      <c r="DEW1" s="53"/>
      <c r="DEX1" s="53"/>
      <c r="DEY1" s="53"/>
      <c r="DEZ1" s="53"/>
      <c r="DFA1" s="53"/>
      <c r="DFB1" s="53"/>
      <c r="DFC1" s="53"/>
      <c r="DFD1" s="53"/>
      <c r="DFE1" s="53"/>
      <c r="DFF1" s="53"/>
      <c r="DFG1" s="53"/>
      <c r="DFH1" s="53"/>
      <c r="DFI1" s="53"/>
      <c r="DFJ1" s="53"/>
      <c r="DFK1" s="53"/>
      <c r="DFL1" s="53"/>
      <c r="DFM1" s="53"/>
      <c r="DFN1" s="53"/>
      <c r="DFO1" s="53"/>
      <c r="DFP1" s="53"/>
      <c r="DFQ1" s="53"/>
      <c r="DFR1" s="53"/>
      <c r="DFS1" s="53"/>
      <c r="DFT1" s="53"/>
      <c r="DFU1" s="53"/>
      <c r="DFV1" s="53"/>
      <c r="DFW1" s="53"/>
      <c r="DFX1" s="53"/>
      <c r="DFY1" s="53"/>
      <c r="DFZ1" s="53"/>
      <c r="DGA1" s="53"/>
      <c r="DGB1" s="53"/>
      <c r="DGC1" s="53"/>
      <c r="DGD1" s="53"/>
      <c r="DGE1" s="53"/>
      <c r="DGF1" s="53"/>
      <c r="DGG1" s="53"/>
      <c r="DGH1" s="53"/>
      <c r="DGI1" s="53"/>
      <c r="DGJ1" s="53"/>
      <c r="DGK1" s="53"/>
      <c r="DGL1" s="53"/>
      <c r="DGM1" s="53"/>
      <c r="DGN1" s="53"/>
      <c r="DGO1" s="53"/>
      <c r="DGP1" s="53"/>
      <c r="DGQ1" s="53"/>
      <c r="DGR1" s="53"/>
      <c r="DGS1" s="53"/>
      <c r="DGT1" s="53"/>
      <c r="DGU1" s="53"/>
      <c r="DGV1" s="53"/>
      <c r="DGW1" s="53"/>
      <c r="DGX1" s="53"/>
      <c r="DGY1" s="53"/>
      <c r="DGZ1" s="53"/>
      <c r="DHA1" s="53"/>
      <c r="DHB1" s="53"/>
      <c r="DHC1" s="53"/>
      <c r="DHD1" s="53"/>
      <c r="DHE1" s="53"/>
      <c r="DHF1" s="53"/>
      <c r="DHG1" s="53"/>
      <c r="DHH1" s="53"/>
      <c r="DHI1" s="53"/>
      <c r="DHJ1" s="53"/>
      <c r="DHK1" s="53"/>
      <c r="DHL1" s="53"/>
      <c r="DHM1" s="53"/>
      <c r="DHN1" s="53"/>
      <c r="DHO1" s="53"/>
      <c r="DHP1" s="53"/>
      <c r="DHQ1" s="53"/>
      <c r="DHR1" s="53"/>
      <c r="DHS1" s="53"/>
      <c r="DHT1" s="53"/>
      <c r="DHU1" s="53"/>
      <c r="DHV1" s="53"/>
      <c r="DHW1" s="53"/>
      <c r="DHX1" s="53"/>
      <c r="DHY1" s="53"/>
      <c r="DHZ1" s="53"/>
      <c r="DIA1" s="53"/>
      <c r="DIB1" s="53"/>
      <c r="DIC1" s="53"/>
      <c r="DID1" s="53"/>
      <c r="DIE1" s="53"/>
      <c r="DIF1" s="53"/>
      <c r="DIG1" s="53"/>
      <c r="DIH1" s="53"/>
      <c r="DII1" s="53"/>
      <c r="DIJ1" s="53"/>
      <c r="DIK1" s="53"/>
      <c r="DIL1" s="53"/>
      <c r="DIM1" s="53"/>
      <c r="DIN1" s="53"/>
      <c r="DIO1" s="53"/>
      <c r="DIP1" s="53"/>
      <c r="DIQ1" s="53"/>
      <c r="DIR1" s="53"/>
      <c r="DIS1" s="53"/>
      <c r="DIT1" s="53"/>
      <c r="DIU1" s="53"/>
      <c r="DIV1" s="53"/>
      <c r="DIW1" s="53"/>
      <c r="DIX1" s="53"/>
      <c r="DIY1" s="53"/>
      <c r="DIZ1" s="53"/>
      <c r="DJA1" s="53"/>
      <c r="DJB1" s="53"/>
      <c r="DJC1" s="53"/>
      <c r="DJD1" s="53"/>
      <c r="DJE1" s="53"/>
      <c r="DJF1" s="53"/>
      <c r="DJG1" s="53"/>
      <c r="DJH1" s="53"/>
      <c r="DJI1" s="53"/>
      <c r="DJJ1" s="53"/>
      <c r="DJK1" s="53"/>
      <c r="DJL1" s="53"/>
      <c r="DJM1" s="53"/>
      <c r="DJN1" s="53"/>
      <c r="DJO1" s="53"/>
      <c r="DJP1" s="53"/>
      <c r="DJQ1" s="53"/>
      <c r="DJR1" s="53"/>
      <c r="DJS1" s="53"/>
      <c r="DJT1" s="53"/>
      <c r="DJU1" s="53"/>
      <c r="DJV1" s="53"/>
      <c r="DJW1" s="53"/>
      <c r="DJX1" s="53"/>
      <c r="DJY1" s="53"/>
      <c r="DJZ1" s="53"/>
      <c r="DKA1" s="53"/>
      <c r="DKB1" s="53"/>
      <c r="DKC1" s="53"/>
      <c r="DKD1" s="53"/>
      <c r="DKE1" s="53"/>
      <c r="DKF1" s="53"/>
      <c r="DKG1" s="53"/>
      <c r="DKH1" s="53"/>
      <c r="DKI1" s="53"/>
      <c r="DKJ1" s="53"/>
      <c r="DKK1" s="53"/>
      <c r="DKL1" s="53"/>
      <c r="DKM1" s="53"/>
      <c r="DKN1" s="53"/>
      <c r="DKO1" s="53"/>
      <c r="DKP1" s="53"/>
      <c r="DKQ1" s="53"/>
      <c r="DKR1" s="53"/>
      <c r="DKS1" s="53"/>
      <c r="DKT1" s="53"/>
      <c r="DKU1" s="53"/>
      <c r="DKV1" s="53"/>
      <c r="DKW1" s="53"/>
      <c r="DKX1" s="53"/>
      <c r="DKY1" s="53"/>
      <c r="DKZ1" s="53"/>
      <c r="DLA1" s="53"/>
      <c r="DLB1" s="53"/>
      <c r="DLC1" s="53"/>
      <c r="DLD1" s="53"/>
      <c r="DLE1" s="53"/>
      <c r="DLF1" s="53"/>
      <c r="DLG1" s="53"/>
      <c r="DLH1" s="53"/>
      <c r="DLI1" s="53"/>
      <c r="DLJ1" s="53"/>
      <c r="DLK1" s="53"/>
      <c r="DLL1" s="53"/>
      <c r="DLM1" s="53"/>
      <c r="DLN1" s="53"/>
      <c r="DLO1" s="53"/>
      <c r="DLP1" s="53"/>
      <c r="DLQ1" s="53"/>
      <c r="DLR1" s="53"/>
      <c r="DLS1" s="53"/>
      <c r="DLT1" s="53"/>
      <c r="DLU1" s="53"/>
      <c r="DLV1" s="53"/>
      <c r="DLW1" s="53"/>
      <c r="DLX1" s="53"/>
      <c r="DLY1" s="53"/>
      <c r="DLZ1" s="53"/>
      <c r="DMA1" s="53"/>
      <c r="DMB1" s="53"/>
      <c r="DMC1" s="53"/>
      <c r="DMD1" s="53"/>
      <c r="DME1" s="53"/>
      <c r="DMF1" s="53"/>
      <c r="DMG1" s="53"/>
      <c r="DMH1" s="53"/>
      <c r="DMI1" s="53"/>
      <c r="DMJ1" s="53"/>
      <c r="DMK1" s="53"/>
      <c r="DML1" s="53"/>
      <c r="DMM1" s="53"/>
      <c r="DMN1" s="53"/>
      <c r="DMO1" s="53"/>
      <c r="DMP1" s="53"/>
      <c r="DMQ1" s="53"/>
      <c r="DMR1" s="53"/>
      <c r="DMS1" s="53"/>
      <c r="DMT1" s="53"/>
      <c r="DMU1" s="53"/>
      <c r="DMV1" s="53"/>
      <c r="DMW1" s="53"/>
      <c r="DMX1" s="53"/>
      <c r="DMY1" s="53"/>
      <c r="DMZ1" s="53"/>
      <c r="DNA1" s="53"/>
      <c r="DNB1" s="53"/>
      <c r="DNC1" s="53"/>
      <c r="DND1" s="53"/>
      <c r="DNE1" s="53"/>
      <c r="DNF1" s="53"/>
      <c r="DNG1" s="53"/>
      <c r="DNH1" s="53"/>
      <c r="DNI1" s="53"/>
      <c r="DNJ1" s="53"/>
      <c r="DNK1" s="53"/>
      <c r="DNL1" s="53"/>
      <c r="DNM1" s="53"/>
      <c r="DNN1" s="53"/>
      <c r="DNO1" s="53"/>
      <c r="DNP1" s="53"/>
      <c r="DNQ1" s="53"/>
      <c r="DNR1" s="53"/>
      <c r="DNS1" s="53"/>
      <c r="DNT1" s="53"/>
      <c r="DNU1" s="53"/>
      <c r="DNV1" s="53"/>
      <c r="DNW1" s="53"/>
      <c r="DNX1" s="53"/>
      <c r="DNY1" s="53"/>
      <c r="DNZ1" s="53"/>
      <c r="DOA1" s="53"/>
      <c r="DOB1" s="53"/>
      <c r="DOC1" s="53"/>
      <c r="DOD1" s="53"/>
      <c r="DOE1" s="53"/>
      <c r="DOF1" s="53"/>
      <c r="DOG1" s="53"/>
      <c r="DOH1" s="53"/>
      <c r="DOI1" s="53"/>
      <c r="DOJ1" s="53"/>
      <c r="DOK1" s="53"/>
      <c r="DOL1" s="53"/>
      <c r="DOM1" s="53"/>
      <c r="DON1" s="53"/>
      <c r="DOO1" s="53"/>
      <c r="DOP1" s="53"/>
      <c r="DOQ1" s="53"/>
      <c r="DOR1" s="53"/>
      <c r="DOS1" s="53"/>
      <c r="DOT1" s="53"/>
      <c r="DOU1" s="53"/>
      <c r="DOV1" s="53"/>
      <c r="DOW1" s="53"/>
      <c r="DOX1" s="53"/>
      <c r="DOY1" s="53"/>
      <c r="DOZ1" s="53"/>
      <c r="DPA1" s="53"/>
      <c r="DPB1" s="53"/>
      <c r="DPC1" s="53"/>
      <c r="DPD1" s="53"/>
      <c r="DPE1" s="53"/>
      <c r="DPF1" s="53"/>
      <c r="DPG1" s="53"/>
      <c r="DPH1" s="53"/>
      <c r="DPI1" s="53"/>
      <c r="DPJ1" s="53"/>
      <c r="DPK1" s="53"/>
      <c r="DPL1" s="53"/>
      <c r="DPM1" s="53"/>
      <c r="DPN1" s="53"/>
      <c r="DPO1" s="53"/>
      <c r="DPP1" s="53"/>
      <c r="DPQ1" s="53"/>
      <c r="DPR1" s="53"/>
      <c r="DPS1" s="53"/>
      <c r="DPT1" s="53"/>
      <c r="DPU1" s="53"/>
      <c r="DPV1" s="53"/>
      <c r="DPW1" s="53"/>
      <c r="DPX1" s="53"/>
      <c r="DPY1" s="53"/>
      <c r="DPZ1" s="53"/>
      <c r="DQA1" s="53"/>
      <c r="DQB1" s="53"/>
      <c r="DQC1" s="53"/>
      <c r="DQD1" s="53"/>
      <c r="DQE1" s="53"/>
      <c r="DQF1" s="53"/>
      <c r="DQG1" s="53"/>
      <c r="DQH1" s="53"/>
      <c r="DQI1" s="53"/>
      <c r="DQJ1" s="53"/>
      <c r="DQK1" s="53"/>
      <c r="DQL1" s="53"/>
      <c r="DQM1" s="53"/>
      <c r="DQN1" s="53"/>
      <c r="DQO1" s="53"/>
      <c r="DQP1" s="53"/>
      <c r="DQQ1" s="53"/>
      <c r="DQR1" s="53"/>
      <c r="DQS1" s="53"/>
      <c r="DQT1" s="53"/>
      <c r="DQU1" s="53"/>
      <c r="DQV1" s="53"/>
      <c r="DQW1" s="53"/>
      <c r="DQX1" s="53"/>
      <c r="DQY1" s="53"/>
      <c r="DQZ1" s="53"/>
      <c r="DRA1" s="53"/>
      <c r="DRB1" s="53"/>
      <c r="DRC1" s="53"/>
      <c r="DRD1" s="53"/>
      <c r="DRE1" s="53"/>
      <c r="DRF1" s="53"/>
      <c r="DRG1" s="53"/>
      <c r="DRH1" s="53"/>
      <c r="DRI1" s="53"/>
      <c r="DRJ1" s="53"/>
      <c r="DRK1" s="53"/>
      <c r="DRL1" s="53"/>
      <c r="DRM1" s="53"/>
      <c r="DRN1" s="53"/>
      <c r="DRO1" s="53"/>
      <c r="DRP1" s="53"/>
      <c r="DRQ1" s="53"/>
      <c r="DRR1" s="53"/>
      <c r="DRS1" s="53"/>
      <c r="DRT1" s="53"/>
      <c r="DRU1" s="53"/>
      <c r="DRV1" s="53"/>
      <c r="DRW1" s="53"/>
      <c r="DRX1" s="53"/>
      <c r="DRY1" s="53"/>
      <c r="DRZ1" s="53"/>
      <c r="DSA1" s="53"/>
      <c r="DSB1" s="53"/>
      <c r="DSC1" s="53"/>
      <c r="DSD1" s="53"/>
      <c r="DSE1" s="53"/>
      <c r="DSF1" s="53"/>
      <c r="DSG1" s="53"/>
      <c r="DSH1" s="53"/>
      <c r="DSI1" s="53"/>
      <c r="DSJ1" s="53"/>
      <c r="DSK1" s="53"/>
      <c r="DSL1" s="53"/>
      <c r="DSM1" s="53"/>
      <c r="DSN1" s="53"/>
      <c r="DSO1" s="53"/>
      <c r="DSP1" s="53"/>
      <c r="DSQ1" s="53"/>
      <c r="DSR1" s="53"/>
      <c r="DSS1" s="53"/>
      <c r="DST1" s="53"/>
      <c r="DSU1" s="53"/>
      <c r="DSV1" s="53"/>
      <c r="DSW1" s="53"/>
      <c r="DSX1" s="53"/>
      <c r="DSY1" s="53"/>
      <c r="DSZ1" s="53"/>
      <c r="DTA1" s="53"/>
      <c r="DTB1" s="53"/>
      <c r="DTC1" s="53"/>
      <c r="DTD1" s="53"/>
      <c r="DTE1" s="53"/>
      <c r="DTF1" s="53"/>
      <c r="DTG1" s="53"/>
      <c r="DTH1" s="53"/>
      <c r="DTI1" s="53"/>
      <c r="DTJ1" s="53"/>
      <c r="DTK1" s="53"/>
      <c r="DTL1" s="53"/>
      <c r="DTM1" s="53"/>
      <c r="DTN1" s="53"/>
      <c r="DTO1" s="53"/>
      <c r="DTP1" s="53"/>
      <c r="DTQ1" s="53"/>
      <c r="DTR1" s="53"/>
      <c r="DTS1" s="53"/>
      <c r="DTT1" s="53"/>
      <c r="DTU1" s="53"/>
      <c r="DTV1" s="53"/>
      <c r="DTW1" s="53"/>
      <c r="DTX1" s="53"/>
      <c r="DTY1" s="53"/>
      <c r="DTZ1" s="53"/>
      <c r="DUA1" s="53"/>
      <c r="DUB1" s="53"/>
      <c r="DUC1" s="53"/>
      <c r="DUD1" s="53"/>
      <c r="DUE1" s="53"/>
      <c r="DUF1" s="53"/>
      <c r="DUG1" s="53"/>
      <c r="DUH1" s="53"/>
      <c r="DUI1" s="53"/>
      <c r="DUJ1" s="53"/>
      <c r="DUK1" s="53"/>
      <c r="DUL1" s="53"/>
      <c r="DUM1" s="53"/>
      <c r="DUN1" s="53"/>
      <c r="DUO1" s="53"/>
      <c r="DUP1" s="53"/>
      <c r="DUQ1" s="53"/>
      <c r="DUR1" s="53"/>
      <c r="DUS1" s="53"/>
      <c r="DUT1" s="53"/>
      <c r="DUU1" s="53"/>
      <c r="DUV1" s="53"/>
      <c r="DUW1" s="53"/>
      <c r="DUX1" s="53"/>
      <c r="DUY1" s="53"/>
      <c r="DUZ1" s="53"/>
      <c r="DVA1" s="53"/>
      <c r="DVB1" s="53"/>
      <c r="DVC1" s="53"/>
      <c r="DVD1" s="53"/>
      <c r="DVE1" s="53"/>
      <c r="DVF1" s="53"/>
      <c r="DVG1" s="53"/>
      <c r="DVH1" s="53"/>
      <c r="DVI1" s="53"/>
      <c r="DVJ1" s="53"/>
      <c r="DVK1" s="53"/>
      <c r="DVL1" s="53"/>
      <c r="DVM1" s="53"/>
      <c r="DVN1" s="53"/>
      <c r="DVO1" s="53"/>
      <c r="DVP1" s="53"/>
      <c r="DVQ1" s="53"/>
      <c r="DVR1" s="53"/>
      <c r="DVS1" s="53"/>
      <c r="DVT1" s="53"/>
      <c r="DVU1" s="53"/>
      <c r="DVV1" s="53"/>
      <c r="DVW1" s="53"/>
      <c r="DVX1" s="53"/>
      <c r="DVY1" s="53"/>
      <c r="DVZ1" s="53"/>
      <c r="DWA1" s="53"/>
      <c r="DWB1" s="53"/>
      <c r="DWC1" s="53"/>
      <c r="DWD1" s="53"/>
      <c r="DWE1" s="53"/>
      <c r="DWF1" s="53"/>
      <c r="DWG1" s="53"/>
      <c r="DWH1" s="53"/>
      <c r="DWI1" s="53"/>
      <c r="DWJ1" s="53"/>
      <c r="DWK1" s="53"/>
      <c r="DWL1" s="53"/>
      <c r="DWM1" s="53"/>
      <c r="DWN1" s="53"/>
      <c r="DWO1" s="53"/>
      <c r="DWP1" s="53"/>
      <c r="DWQ1" s="53"/>
      <c r="DWR1" s="53"/>
      <c r="DWS1" s="53"/>
      <c r="DWT1" s="53"/>
      <c r="DWU1" s="53"/>
      <c r="DWV1" s="53"/>
      <c r="DWW1" s="53"/>
      <c r="DWX1" s="53"/>
      <c r="DWY1" s="53"/>
      <c r="DWZ1" s="53"/>
      <c r="DXA1" s="53"/>
      <c r="DXB1" s="53"/>
      <c r="DXC1" s="53"/>
      <c r="DXD1" s="53"/>
      <c r="DXE1" s="53"/>
      <c r="DXF1" s="53"/>
      <c r="DXG1" s="53"/>
      <c r="DXH1" s="53"/>
      <c r="DXI1" s="53"/>
      <c r="DXJ1" s="53"/>
      <c r="DXK1" s="53"/>
      <c r="DXL1" s="53"/>
      <c r="DXM1" s="53"/>
      <c r="DXN1" s="53"/>
      <c r="DXO1" s="53"/>
      <c r="DXP1" s="53"/>
      <c r="DXQ1" s="53"/>
      <c r="DXR1" s="53"/>
      <c r="DXS1" s="53"/>
      <c r="DXT1" s="53"/>
      <c r="DXU1" s="53"/>
      <c r="DXV1" s="53"/>
      <c r="DXW1" s="53"/>
      <c r="DXX1" s="53"/>
      <c r="DXY1" s="53"/>
      <c r="DXZ1" s="53"/>
      <c r="DYA1" s="53"/>
      <c r="DYB1" s="53"/>
      <c r="DYC1" s="53"/>
      <c r="DYD1" s="53"/>
      <c r="DYE1" s="53"/>
      <c r="DYF1" s="53"/>
      <c r="DYG1" s="53"/>
      <c r="DYH1" s="53"/>
      <c r="DYI1" s="53"/>
      <c r="DYJ1" s="53"/>
      <c r="DYK1" s="53"/>
      <c r="DYL1" s="53"/>
      <c r="DYM1" s="53"/>
      <c r="DYN1" s="53"/>
      <c r="DYO1" s="53"/>
      <c r="DYP1" s="53"/>
      <c r="DYQ1" s="53"/>
      <c r="DYR1" s="53"/>
      <c r="DYS1" s="53"/>
      <c r="DYT1" s="53"/>
      <c r="DYU1" s="53"/>
      <c r="DYV1" s="53"/>
      <c r="DYW1" s="53"/>
      <c r="DYX1" s="53"/>
      <c r="DYY1" s="53"/>
      <c r="DYZ1" s="53"/>
      <c r="DZA1" s="53"/>
      <c r="DZB1" s="53"/>
      <c r="DZC1" s="53"/>
      <c r="DZD1" s="53"/>
      <c r="DZE1" s="53"/>
      <c r="DZF1" s="53"/>
      <c r="DZG1" s="53"/>
      <c r="DZH1" s="53"/>
      <c r="DZI1" s="53"/>
      <c r="DZJ1" s="53"/>
      <c r="DZK1" s="53"/>
      <c r="DZL1" s="53"/>
      <c r="DZM1" s="53"/>
      <c r="DZN1" s="53"/>
      <c r="DZO1" s="53"/>
      <c r="DZP1" s="53"/>
      <c r="DZQ1" s="53"/>
      <c r="DZR1" s="53"/>
      <c r="DZS1" s="53"/>
      <c r="DZT1" s="53"/>
      <c r="DZU1" s="53"/>
      <c r="DZV1" s="53"/>
      <c r="DZW1" s="53"/>
      <c r="DZX1" s="53"/>
      <c r="DZY1" s="53"/>
      <c r="DZZ1" s="53"/>
      <c r="EAA1" s="53"/>
      <c r="EAB1" s="53"/>
      <c r="EAC1" s="53"/>
      <c r="EAD1" s="53"/>
      <c r="EAE1" s="53"/>
      <c r="EAF1" s="53"/>
      <c r="EAG1" s="53"/>
      <c r="EAH1" s="53"/>
      <c r="EAI1" s="53"/>
      <c r="EAJ1" s="53"/>
      <c r="EAK1" s="53"/>
      <c r="EAL1" s="53"/>
      <c r="EAM1" s="53"/>
      <c r="EAN1" s="53"/>
      <c r="EAO1" s="53"/>
      <c r="EAP1" s="53"/>
      <c r="EAQ1" s="53"/>
      <c r="EAR1" s="53"/>
      <c r="EAS1" s="53"/>
      <c r="EAT1" s="53"/>
      <c r="EAU1" s="53"/>
      <c r="EAV1" s="53"/>
      <c r="EAW1" s="53"/>
      <c r="EAX1" s="53"/>
      <c r="EAY1" s="53"/>
      <c r="EAZ1" s="53"/>
      <c r="EBA1" s="53"/>
      <c r="EBB1" s="53"/>
      <c r="EBC1" s="53"/>
      <c r="EBD1" s="53"/>
      <c r="EBE1" s="53"/>
      <c r="EBF1" s="53"/>
      <c r="EBG1" s="53"/>
      <c r="EBH1" s="53"/>
      <c r="EBI1" s="53"/>
      <c r="EBJ1" s="53"/>
      <c r="EBK1" s="53"/>
      <c r="EBL1" s="53"/>
      <c r="EBM1" s="53"/>
      <c r="EBN1" s="53"/>
      <c r="EBO1" s="53"/>
      <c r="EBP1" s="53"/>
      <c r="EBQ1" s="53"/>
      <c r="EBR1" s="53"/>
      <c r="EBS1" s="53"/>
      <c r="EBT1" s="53"/>
      <c r="EBU1" s="53"/>
      <c r="EBV1" s="53"/>
      <c r="EBW1" s="53"/>
      <c r="EBX1" s="53"/>
      <c r="EBY1" s="53"/>
      <c r="EBZ1" s="53"/>
      <c r="ECA1" s="53"/>
      <c r="ECB1" s="53"/>
      <c r="ECC1" s="53"/>
      <c r="ECD1" s="53"/>
      <c r="ECE1" s="53"/>
      <c r="ECF1" s="53"/>
      <c r="ECG1" s="53"/>
      <c r="ECH1" s="53"/>
      <c r="ECI1" s="53"/>
      <c r="ECJ1" s="53"/>
      <c r="ECK1" s="53"/>
      <c r="ECL1" s="53"/>
      <c r="ECM1" s="53"/>
      <c r="ECN1" s="53"/>
      <c r="ECO1" s="53"/>
      <c r="ECP1" s="53"/>
      <c r="ECQ1" s="53"/>
      <c r="ECR1" s="53"/>
      <c r="ECS1" s="53"/>
      <c r="ECT1" s="53"/>
      <c r="ECU1" s="53"/>
      <c r="ECV1" s="53"/>
      <c r="ECW1" s="53"/>
      <c r="ECX1" s="53"/>
      <c r="ECY1" s="53"/>
      <c r="ECZ1" s="53"/>
      <c r="EDA1" s="53"/>
      <c r="EDB1" s="53"/>
      <c r="EDC1" s="53"/>
      <c r="EDD1" s="53"/>
      <c r="EDE1" s="53"/>
      <c r="EDF1" s="53"/>
      <c r="EDG1" s="53"/>
      <c r="EDH1" s="53"/>
      <c r="EDI1" s="53"/>
      <c r="EDJ1" s="53"/>
      <c r="EDK1" s="53"/>
      <c r="EDL1" s="53"/>
      <c r="EDM1" s="53"/>
      <c r="EDN1" s="53"/>
      <c r="EDO1" s="53"/>
      <c r="EDP1" s="53"/>
      <c r="EDQ1" s="53"/>
      <c r="EDR1" s="53"/>
      <c r="EDS1" s="53"/>
      <c r="EDT1" s="53"/>
      <c r="EDU1" s="53"/>
      <c r="EDV1" s="53"/>
      <c r="EDW1" s="53"/>
      <c r="EDX1" s="53"/>
      <c r="EDY1" s="53"/>
      <c r="EDZ1" s="53"/>
      <c r="EEA1" s="53"/>
      <c r="EEB1" s="53"/>
      <c r="EEC1" s="53"/>
      <c r="EED1" s="53"/>
      <c r="EEE1" s="53"/>
      <c r="EEF1" s="53"/>
      <c r="EEG1" s="53"/>
      <c r="EEH1" s="53"/>
      <c r="EEI1" s="53"/>
      <c r="EEJ1" s="53"/>
      <c r="EEK1" s="53"/>
      <c r="EEL1" s="53"/>
      <c r="EEM1" s="53"/>
      <c r="EEN1" s="53"/>
      <c r="EEO1" s="53"/>
      <c r="EEP1" s="53"/>
      <c r="EEQ1" s="53"/>
      <c r="EER1" s="53"/>
      <c r="EES1" s="53"/>
      <c r="EET1" s="53"/>
      <c r="EEU1" s="53"/>
      <c r="EEV1" s="53"/>
      <c r="EEW1" s="53"/>
      <c r="EEX1" s="53"/>
      <c r="EEY1" s="53"/>
      <c r="EEZ1" s="53"/>
      <c r="EFA1" s="53"/>
      <c r="EFB1" s="53"/>
      <c r="EFC1" s="53"/>
      <c r="EFD1" s="53"/>
      <c r="EFE1" s="53"/>
      <c r="EFF1" s="53"/>
      <c r="EFG1" s="53"/>
      <c r="EFH1" s="53"/>
      <c r="EFI1" s="53"/>
      <c r="EFJ1" s="53"/>
      <c r="EFK1" s="53"/>
      <c r="EFL1" s="53"/>
      <c r="EFM1" s="53"/>
      <c r="EFN1" s="53"/>
      <c r="EFO1" s="53"/>
      <c r="EFP1" s="53"/>
      <c r="EFQ1" s="53"/>
      <c r="EFR1" s="53"/>
      <c r="EFS1" s="53"/>
      <c r="EFT1" s="53"/>
      <c r="EFU1" s="53"/>
      <c r="EFV1" s="53"/>
      <c r="EFW1" s="53"/>
      <c r="EFX1" s="53"/>
      <c r="EFY1" s="53"/>
      <c r="EFZ1" s="53"/>
      <c r="EGA1" s="53"/>
      <c r="EGB1" s="53"/>
      <c r="EGC1" s="53"/>
      <c r="EGD1" s="53"/>
      <c r="EGE1" s="53"/>
      <c r="EGF1" s="53"/>
      <c r="EGG1" s="53"/>
      <c r="EGH1" s="53"/>
      <c r="EGI1" s="53"/>
      <c r="EGJ1" s="53"/>
      <c r="EGK1" s="53"/>
      <c r="EGL1" s="53"/>
      <c r="EGM1" s="53"/>
      <c r="EGN1" s="53"/>
      <c r="EGO1" s="53"/>
      <c r="EGP1" s="53"/>
      <c r="EGQ1" s="53"/>
      <c r="EGR1" s="53"/>
      <c r="EGS1" s="53"/>
      <c r="EGT1" s="53"/>
      <c r="EGU1" s="53"/>
      <c r="EGV1" s="53"/>
      <c r="EGW1" s="53"/>
      <c r="EGX1" s="53"/>
      <c r="EGY1" s="53"/>
      <c r="EGZ1" s="53"/>
      <c r="EHA1" s="53"/>
      <c r="EHB1" s="53"/>
      <c r="EHC1" s="53"/>
      <c r="EHD1" s="53"/>
      <c r="EHE1" s="53"/>
      <c r="EHF1" s="53"/>
      <c r="EHG1" s="53"/>
      <c r="EHH1" s="53"/>
      <c r="EHI1" s="53"/>
      <c r="EHJ1" s="53"/>
      <c r="EHK1" s="53"/>
      <c r="EHL1" s="53"/>
      <c r="EHM1" s="53"/>
      <c r="EHN1" s="53"/>
      <c r="EHO1" s="53"/>
      <c r="EHP1" s="53"/>
      <c r="EHQ1" s="53"/>
      <c r="EHR1" s="53"/>
      <c r="EHS1" s="53"/>
      <c r="EHT1" s="53"/>
      <c r="EHU1" s="53"/>
      <c r="EHV1" s="53"/>
      <c r="EHW1" s="53"/>
      <c r="EHX1" s="53"/>
      <c r="EHY1" s="53"/>
      <c r="EHZ1" s="53"/>
      <c r="EIA1" s="53"/>
      <c r="EIB1" s="53"/>
      <c r="EIC1" s="53"/>
      <c r="EID1" s="53"/>
      <c r="EIE1" s="53"/>
      <c r="EIF1" s="53"/>
      <c r="EIG1" s="53"/>
      <c r="EIH1" s="53"/>
      <c r="EII1" s="53"/>
      <c r="EIJ1" s="53"/>
      <c r="EIK1" s="53"/>
      <c r="EIL1" s="53"/>
      <c r="EIM1" s="53"/>
      <c r="EIN1" s="53"/>
      <c r="EIO1" s="53"/>
      <c r="EIP1" s="53"/>
      <c r="EIQ1" s="53"/>
      <c r="EIR1" s="53"/>
      <c r="EIS1" s="53"/>
      <c r="EIT1" s="53"/>
      <c r="EIU1" s="53"/>
      <c r="EIV1" s="53"/>
      <c r="EIW1" s="53"/>
      <c r="EIX1" s="53"/>
      <c r="EIY1" s="53"/>
      <c r="EIZ1" s="53"/>
      <c r="EJA1" s="53"/>
      <c r="EJB1" s="53"/>
      <c r="EJC1" s="53"/>
      <c r="EJD1" s="53"/>
      <c r="EJE1" s="53"/>
      <c r="EJF1" s="53"/>
      <c r="EJG1" s="53"/>
      <c r="EJH1" s="53"/>
      <c r="EJI1" s="53"/>
      <c r="EJJ1" s="53"/>
      <c r="EJK1" s="53"/>
      <c r="EJL1" s="53"/>
      <c r="EJM1" s="53"/>
      <c r="EJN1" s="53"/>
      <c r="EJO1" s="53"/>
      <c r="EJP1" s="53"/>
      <c r="EJQ1" s="53"/>
      <c r="EJR1" s="53"/>
      <c r="EJS1" s="53"/>
      <c r="EJT1" s="53"/>
      <c r="EJU1" s="53"/>
      <c r="EJV1" s="53"/>
      <c r="EJW1" s="53"/>
      <c r="EJX1" s="53"/>
      <c r="EJY1" s="53"/>
      <c r="EJZ1" s="53"/>
      <c r="EKA1" s="53"/>
      <c r="EKB1" s="53"/>
      <c r="EKC1" s="53"/>
      <c r="EKD1" s="53"/>
      <c r="EKE1" s="53"/>
      <c r="EKF1" s="53"/>
      <c r="EKG1" s="53"/>
      <c r="EKH1" s="53"/>
      <c r="EKI1" s="53"/>
      <c r="EKJ1" s="53"/>
      <c r="EKK1" s="53"/>
      <c r="EKL1" s="53"/>
      <c r="EKM1" s="53"/>
      <c r="EKN1" s="53"/>
      <c r="EKO1" s="53"/>
      <c r="EKP1" s="53"/>
      <c r="EKQ1" s="53"/>
      <c r="EKR1" s="53"/>
      <c r="EKS1" s="53"/>
      <c r="EKT1" s="53"/>
      <c r="EKU1" s="53"/>
      <c r="EKV1" s="53"/>
      <c r="EKW1" s="53"/>
      <c r="EKX1" s="53"/>
      <c r="EKY1" s="53"/>
      <c r="EKZ1" s="53"/>
      <c r="ELA1" s="53"/>
      <c r="ELB1" s="53"/>
      <c r="ELC1" s="53"/>
      <c r="ELD1" s="53"/>
      <c r="ELE1" s="53"/>
      <c r="ELF1" s="53"/>
      <c r="ELG1" s="53"/>
      <c r="ELH1" s="53"/>
      <c r="ELI1" s="53"/>
      <c r="ELJ1" s="53"/>
      <c r="ELK1" s="53"/>
      <c r="ELL1" s="53"/>
      <c r="ELM1" s="53"/>
      <c r="ELN1" s="53"/>
      <c r="ELO1" s="53"/>
      <c r="ELP1" s="53"/>
      <c r="ELQ1" s="53"/>
      <c r="ELR1" s="53"/>
      <c r="ELS1" s="53"/>
      <c r="ELT1" s="53"/>
      <c r="ELU1" s="53"/>
      <c r="ELV1" s="53"/>
      <c r="ELW1" s="53"/>
      <c r="ELX1" s="53"/>
      <c r="ELY1" s="53"/>
      <c r="ELZ1" s="53"/>
      <c r="EMA1" s="53"/>
      <c r="EMB1" s="53"/>
      <c r="EMC1" s="53"/>
      <c r="EMD1" s="53"/>
      <c r="EME1" s="53"/>
      <c r="EMF1" s="53"/>
      <c r="EMG1" s="53"/>
      <c r="EMH1" s="53"/>
      <c r="EMI1" s="53"/>
      <c r="EMJ1" s="53"/>
      <c r="EMK1" s="53"/>
      <c r="EML1" s="53"/>
      <c r="EMM1" s="53"/>
      <c r="EMN1" s="53"/>
      <c r="EMO1" s="53"/>
      <c r="EMP1" s="53"/>
      <c r="EMQ1" s="53"/>
      <c r="EMR1" s="53"/>
      <c r="EMS1" s="53"/>
      <c r="EMT1" s="53"/>
      <c r="EMU1" s="53"/>
      <c r="EMV1" s="53"/>
      <c r="EMW1" s="53"/>
      <c r="EMX1" s="53"/>
      <c r="EMY1" s="53"/>
      <c r="EMZ1" s="53"/>
      <c r="ENA1" s="53"/>
      <c r="ENB1" s="53"/>
      <c r="ENC1" s="53"/>
      <c r="END1" s="53"/>
      <c r="ENE1" s="53"/>
      <c r="ENF1" s="53"/>
      <c r="ENG1" s="53"/>
      <c r="ENH1" s="53"/>
      <c r="ENI1" s="53"/>
      <c r="ENJ1" s="53"/>
      <c r="ENK1" s="53"/>
      <c r="ENL1" s="53"/>
      <c r="ENM1" s="53"/>
      <c r="ENN1" s="53"/>
      <c r="ENO1" s="53"/>
      <c r="ENP1" s="53"/>
      <c r="ENQ1" s="53"/>
      <c r="ENR1" s="53"/>
      <c r="ENS1" s="53"/>
      <c r="ENT1" s="53"/>
      <c r="ENU1" s="53"/>
      <c r="ENV1" s="53"/>
      <c r="ENW1" s="53"/>
      <c r="ENX1" s="53"/>
      <c r="ENY1" s="53"/>
      <c r="ENZ1" s="53"/>
      <c r="EOA1" s="53"/>
      <c r="EOB1" s="53"/>
      <c r="EOC1" s="53"/>
      <c r="EOD1" s="53"/>
      <c r="EOE1" s="53"/>
      <c r="EOF1" s="53"/>
      <c r="EOG1" s="53"/>
      <c r="EOH1" s="53"/>
      <c r="EOI1" s="53"/>
      <c r="EOJ1" s="53"/>
      <c r="EOK1" s="53"/>
      <c r="EOL1" s="53"/>
      <c r="EOM1" s="53"/>
      <c r="EON1" s="53"/>
      <c r="EOO1" s="53"/>
      <c r="EOP1" s="53"/>
      <c r="EOQ1" s="53"/>
      <c r="EOR1" s="53"/>
      <c r="EOS1" s="53"/>
      <c r="EOT1" s="53"/>
      <c r="EOU1" s="53"/>
      <c r="EOV1" s="53"/>
      <c r="EOW1" s="53"/>
      <c r="EOX1" s="53"/>
      <c r="EOY1" s="53"/>
      <c r="EOZ1" s="53"/>
      <c r="EPA1" s="53"/>
      <c r="EPB1" s="53"/>
      <c r="EPC1" s="53"/>
      <c r="EPD1" s="53"/>
      <c r="EPE1" s="53"/>
      <c r="EPF1" s="53"/>
      <c r="EPG1" s="53"/>
      <c r="EPH1" s="53"/>
      <c r="EPI1" s="53"/>
      <c r="EPJ1" s="53"/>
      <c r="EPK1" s="53"/>
      <c r="EPL1" s="53"/>
      <c r="EPM1" s="53"/>
      <c r="EPN1" s="53"/>
      <c r="EPO1" s="53"/>
      <c r="EPP1" s="53"/>
      <c r="EPQ1" s="53"/>
      <c r="EPR1" s="53"/>
      <c r="EPS1" s="53"/>
      <c r="EPT1" s="53"/>
      <c r="EPU1" s="53"/>
      <c r="EPV1" s="53"/>
      <c r="EPW1" s="53"/>
      <c r="EPX1" s="53"/>
      <c r="EPY1" s="53"/>
      <c r="EPZ1" s="53"/>
      <c r="EQA1" s="53"/>
      <c r="EQB1" s="53"/>
      <c r="EQC1" s="53"/>
      <c r="EQD1" s="53"/>
      <c r="EQE1" s="53"/>
      <c r="EQF1" s="53"/>
      <c r="EQG1" s="53"/>
      <c r="EQH1" s="53"/>
      <c r="EQI1" s="53"/>
      <c r="EQJ1" s="53"/>
      <c r="EQK1" s="53"/>
      <c r="EQL1" s="53"/>
      <c r="EQM1" s="53"/>
      <c r="EQN1" s="53"/>
      <c r="EQO1" s="53"/>
      <c r="EQP1" s="53"/>
      <c r="EQQ1" s="53"/>
      <c r="EQR1" s="53"/>
      <c r="EQS1" s="53"/>
      <c r="EQT1" s="53"/>
      <c r="EQU1" s="53"/>
      <c r="EQV1" s="53"/>
      <c r="EQW1" s="53"/>
      <c r="EQX1" s="53"/>
      <c r="EQY1" s="53"/>
      <c r="EQZ1" s="53"/>
      <c r="ERA1" s="53"/>
      <c r="ERB1" s="53"/>
      <c r="ERC1" s="53"/>
      <c r="ERD1" s="53"/>
      <c r="ERE1" s="53"/>
      <c r="ERF1" s="53"/>
      <c r="ERG1" s="53"/>
      <c r="ERH1" s="53"/>
      <c r="ERI1" s="53"/>
      <c r="ERJ1" s="53"/>
      <c r="ERK1" s="53"/>
      <c r="ERL1" s="53"/>
      <c r="ERM1" s="53"/>
      <c r="ERN1" s="53"/>
      <c r="ERO1" s="53"/>
      <c r="ERP1" s="53"/>
      <c r="ERQ1" s="53"/>
      <c r="ERR1" s="53"/>
      <c r="ERS1" s="53"/>
      <c r="ERT1" s="53"/>
      <c r="ERU1" s="53"/>
      <c r="ERV1" s="53"/>
      <c r="ERW1" s="53"/>
      <c r="ERX1" s="53"/>
      <c r="ERY1" s="53"/>
      <c r="ERZ1" s="53"/>
      <c r="ESA1" s="53"/>
      <c r="ESB1" s="53"/>
      <c r="ESC1" s="53"/>
      <c r="ESD1" s="53"/>
      <c r="ESE1" s="53"/>
      <c r="ESF1" s="53"/>
      <c r="ESG1" s="53"/>
      <c r="ESH1" s="53"/>
      <c r="ESI1" s="53"/>
      <c r="ESJ1" s="53"/>
      <c r="ESK1" s="53"/>
      <c r="ESL1" s="53"/>
      <c r="ESM1" s="53"/>
      <c r="ESN1" s="53"/>
      <c r="ESO1" s="53"/>
      <c r="ESP1" s="53"/>
      <c r="ESQ1" s="53"/>
      <c r="ESR1" s="53"/>
      <c r="ESS1" s="53"/>
      <c r="EST1" s="53"/>
      <c r="ESU1" s="53"/>
      <c r="ESV1" s="53"/>
      <c r="ESW1" s="53"/>
      <c r="ESX1" s="53"/>
      <c r="ESY1" s="53"/>
      <c r="ESZ1" s="53"/>
      <c r="ETA1" s="53"/>
      <c r="ETB1" s="53"/>
      <c r="ETC1" s="53"/>
      <c r="ETD1" s="53"/>
      <c r="ETE1" s="53"/>
      <c r="ETF1" s="53"/>
      <c r="ETG1" s="53"/>
      <c r="ETH1" s="53"/>
      <c r="ETI1" s="53"/>
      <c r="ETJ1" s="53"/>
      <c r="ETK1" s="53"/>
      <c r="ETL1" s="53"/>
      <c r="ETM1" s="53"/>
      <c r="ETN1" s="53"/>
      <c r="ETO1" s="53"/>
      <c r="ETP1" s="53"/>
      <c r="ETQ1" s="53"/>
      <c r="ETR1" s="53"/>
      <c r="ETS1" s="53"/>
      <c r="ETT1" s="53"/>
      <c r="ETU1" s="53"/>
      <c r="ETV1" s="53"/>
      <c r="ETW1" s="53"/>
      <c r="ETX1" s="53"/>
      <c r="ETY1" s="53"/>
      <c r="ETZ1" s="53"/>
      <c r="EUA1" s="53"/>
      <c r="EUB1" s="53"/>
      <c r="EUC1" s="53"/>
      <c r="EUD1" s="53"/>
      <c r="EUE1" s="53"/>
      <c r="EUF1" s="53"/>
      <c r="EUG1" s="53"/>
      <c r="EUH1" s="53"/>
      <c r="EUI1" s="53"/>
      <c r="EUJ1" s="53"/>
      <c r="EUK1" s="53"/>
      <c r="EUL1" s="53"/>
      <c r="EUM1" s="53"/>
      <c r="EUN1" s="53"/>
      <c r="EUO1" s="53"/>
      <c r="EUP1" s="53"/>
      <c r="EUQ1" s="53"/>
      <c r="EUR1" s="53"/>
      <c r="EUS1" s="53"/>
      <c r="EUT1" s="53"/>
      <c r="EUU1" s="53"/>
      <c r="EUV1" s="53"/>
      <c r="EUW1" s="53"/>
      <c r="EUX1" s="53"/>
      <c r="EUY1" s="53"/>
      <c r="EUZ1" s="53"/>
      <c r="EVA1" s="53"/>
      <c r="EVB1" s="53"/>
      <c r="EVC1" s="53"/>
      <c r="EVD1" s="53"/>
      <c r="EVE1" s="53"/>
      <c r="EVF1" s="53"/>
      <c r="EVG1" s="53"/>
      <c r="EVH1" s="53"/>
      <c r="EVI1" s="53"/>
      <c r="EVJ1" s="53"/>
      <c r="EVK1" s="53"/>
      <c r="EVL1" s="53"/>
      <c r="EVM1" s="53"/>
      <c r="EVN1" s="53"/>
      <c r="EVO1" s="53"/>
      <c r="EVP1" s="53"/>
      <c r="EVQ1" s="53"/>
      <c r="EVR1" s="53"/>
      <c r="EVS1" s="53"/>
      <c r="EVT1" s="53"/>
      <c r="EVU1" s="53"/>
      <c r="EVV1" s="53"/>
      <c r="EVW1" s="53"/>
      <c r="EVX1" s="53"/>
      <c r="EVY1" s="53"/>
      <c r="EVZ1" s="53"/>
      <c r="EWA1" s="53"/>
      <c r="EWB1" s="53"/>
      <c r="EWC1" s="53"/>
      <c r="EWD1" s="53"/>
      <c r="EWE1" s="53"/>
      <c r="EWF1" s="53"/>
      <c r="EWG1" s="53"/>
      <c r="EWH1" s="53"/>
      <c r="EWI1" s="53"/>
      <c r="EWJ1" s="53"/>
      <c r="EWK1" s="53"/>
      <c r="EWL1" s="53"/>
      <c r="EWM1" s="53"/>
      <c r="EWN1" s="53"/>
      <c r="EWO1" s="53"/>
      <c r="EWP1" s="53"/>
      <c r="EWQ1" s="53"/>
      <c r="EWR1" s="53"/>
      <c r="EWS1" s="53"/>
      <c r="EWT1" s="53"/>
      <c r="EWU1" s="53"/>
      <c r="EWV1" s="53"/>
      <c r="EWW1" s="53"/>
      <c r="EWX1" s="53"/>
      <c r="EWY1" s="53"/>
      <c r="EWZ1" s="53"/>
      <c r="EXA1" s="53"/>
      <c r="EXB1" s="53"/>
      <c r="EXC1" s="53"/>
      <c r="EXD1" s="53"/>
      <c r="EXE1" s="53"/>
      <c r="EXF1" s="53"/>
      <c r="EXG1" s="53"/>
      <c r="EXH1" s="53"/>
      <c r="EXI1" s="53"/>
      <c r="EXJ1" s="53"/>
      <c r="EXK1" s="53"/>
      <c r="EXL1" s="53"/>
      <c r="EXM1" s="53"/>
      <c r="EXN1" s="53"/>
      <c r="EXO1" s="53"/>
      <c r="EXP1" s="53"/>
      <c r="EXQ1" s="53"/>
      <c r="EXR1" s="53"/>
      <c r="EXS1" s="53"/>
      <c r="EXT1" s="53"/>
      <c r="EXU1" s="53"/>
      <c r="EXV1" s="53"/>
      <c r="EXW1" s="53"/>
      <c r="EXX1" s="53"/>
      <c r="EXY1" s="53"/>
      <c r="EXZ1" s="53"/>
      <c r="EYA1" s="53"/>
      <c r="EYB1" s="53"/>
      <c r="EYC1" s="53"/>
      <c r="EYD1" s="53"/>
      <c r="EYE1" s="53"/>
      <c r="EYF1" s="53"/>
      <c r="EYG1" s="53"/>
      <c r="EYH1" s="53"/>
      <c r="EYI1" s="53"/>
      <c r="EYJ1" s="53"/>
      <c r="EYK1" s="53"/>
      <c r="EYL1" s="53"/>
      <c r="EYM1" s="53"/>
      <c r="EYN1" s="53"/>
      <c r="EYO1" s="53"/>
      <c r="EYP1" s="53"/>
      <c r="EYQ1" s="53"/>
      <c r="EYR1" s="53"/>
      <c r="EYS1" s="53"/>
      <c r="EYT1" s="53"/>
      <c r="EYU1" s="53"/>
      <c r="EYV1" s="53"/>
      <c r="EYW1" s="53"/>
      <c r="EYX1" s="53"/>
      <c r="EYY1" s="53"/>
      <c r="EYZ1" s="53"/>
      <c r="EZA1" s="53"/>
      <c r="EZB1" s="53"/>
      <c r="EZC1" s="53"/>
      <c r="EZD1" s="53"/>
      <c r="EZE1" s="53"/>
      <c r="EZF1" s="53"/>
      <c r="EZG1" s="53"/>
      <c r="EZH1" s="53"/>
      <c r="EZI1" s="53"/>
      <c r="EZJ1" s="53"/>
      <c r="EZK1" s="53"/>
      <c r="EZL1" s="53"/>
      <c r="EZM1" s="53"/>
      <c r="EZN1" s="53"/>
      <c r="EZO1" s="53"/>
      <c r="EZP1" s="53"/>
      <c r="EZQ1" s="53"/>
      <c r="EZR1" s="53"/>
      <c r="EZS1" s="53"/>
      <c r="EZT1" s="53"/>
      <c r="EZU1" s="53"/>
      <c r="EZV1" s="53"/>
      <c r="EZW1" s="53"/>
      <c r="EZX1" s="53"/>
      <c r="EZY1" s="53"/>
      <c r="EZZ1" s="53"/>
      <c r="FAA1" s="53"/>
      <c r="FAB1" s="53"/>
      <c r="FAC1" s="53"/>
      <c r="FAD1" s="53"/>
      <c r="FAE1" s="53"/>
      <c r="FAF1" s="53"/>
      <c r="FAG1" s="53"/>
      <c r="FAH1" s="53"/>
      <c r="FAI1" s="53"/>
      <c r="FAJ1" s="53"/>
      <c r="FAK1" s="53"/>
      <c r="FAL1" s="53"/>
      <c r="FAM1" s="53"/>
      <c r="FAN1" s="53"/>
      <c r="FAO1" s="53"/>
      <c r="FAP1" s="53"/>
      <c r="FAQ1" s="53"/>
      <c r="FAR1" s="53"/>
      <c r="FAS1" s="53"/>
      <c r="FAT1" s="53"/>
      <c r="FAU1" s="53"/>
      <c r="FAV1" s="53"/>
      <c r="FAW1" s="53"/>
      <c r="FAX1" s="53"/>
      <c r="FAY1" s="53"/>
      <c r="FAZ1" s="53"/>
      <c r="FBA1" s="53"/>
      <c r="FBB1" s="53"/>
      <c r="FBC1" s="53"/>
      <c r="FBD1" s="53"/>
      <c r="FBE1" s="53"/>
      <c r="FBF1" s="53"/>
      <c r="FBG1" s="53"/>
      <c r="FBH1" s="53"/>
      <c r="FBI1" s="53"/>
      <c r="FBJ1" s="53"/>
      <c r="FBK1" s="53"/>
      <c r="FBL1" s="53"/>
      <c r="FBM1" s="53"/>
      <c r="FBN1" s="53"/>
      <c r="FBO1" s="53"/>
      <c r="FBP1" s="53"/>
      <c r="FBQ1" s="53"/>
      <c r="FBR1" s="53"/>
      <c r="FBS1" s="53"/>
      <c r="FBT1" s="53"/>
      <c r="FBU1" s="53"/>
      <c r="FBV1" s="53"/>
      <c r="FBW1" s="53"/>
      <c r="FBX1" s="53"/>
      <c r="FBY1" s="53"/>
      <c r="FBZ1" s="53"/>
      <c r="FCA1" s="53"/>
      <c r="FCB1" s="53"/>
      <c r="FCC1" s="53"/>
      <c r="FCD1" s="53"/>
      <c r="FCE1" s="53"/>
      <c r="FCF1" s="53"/>
      <c r="FCG1" s="53"/>
      <c r="FCH1" s="53"/>
      <c r="FCI1" s="53"/>
      <c r="FCJ1" s="53"/>
      <c r="FCK1" s="53"/>
      <c r="FCL1" s="53"/>
      <c r="FCM1" s="53"/>
      <c r="FCN1" s="53"/>
      <c r="FCO1" s="53"/>
      <c r="FCP1" s="53"/>
      <c r="FCQ1" s="53"/>
      <c r="FCR1" s="53"/>
      <c r="FCS1" s="53"/>
      <c r="FCT1" s="53"/>
      <c r="FCU1" s="53"/>
      <c r="FCV1" s="53"/>
      <c r="FCW1" s="53"/>
      <c r="FCX1" s="53"/>
      <c r="FCY1" s="53"/>
      <c r="FCZ1" s="53"/>
      <c r="FDA1" s="53"/>
      <c r="FDB1" s="53"/>
      <c r="FDC1" s="53"/>
      <c r="FDD1" s="53"/>
      <c r="FDE1" s="53"/>
      <c r="FDF1" s="53"/>
      <c r="FDG1" s="53"/>
      <c r="FDH1" s="53"/>
      <c r="FDI1" s="53"/>
      <c r="FDJ1" s="53"/>
      <c r="FDK1" s="53"/>
      <c r="FDL1" s="53"/>
      <c r="FDM1" s="53"/>
      <c r="FDN1" s="53"/>
      <c r="FDO1" s="53"/>
      <c r="FDP1" s="53"/>
      <c r="FDQ1" s="53"/>
      <c r="FDR1" s="53"/>
      <c r="FDS1" s="53"/>
      <c r="FDT1" s="53"/>
      <c r="FDU1" s="53"/>
      <c r="FDV1" s="53"/>
      <c r="FDW1" s="53"/>
      <c r="FDX1" s="53"/>
      <c r="FDY1" s="53"/>
      <c r="FDZ1" s="53"/>
      <c r="FEA1" s="53"/>
      <c r="FEB1" s="53"/>
      <c r="FEC1" s="53"/>
      <c r="FED1" s="53"/>
      <c r="FEE1" s="53"/>
      <c r="FEF1" s="53"/>
      <c r="FEG1" s="53"/>
      <c r="FEH1" s="53"/>
      <c r="FEI1" s="53"/>
      <c r="FEJ1" s="53"/>
      <c r="FEK1" s="53"/>
      <c r="FEL1" s="53"/>
      <c r="FEM1" s="53"/>
      <c r="FEN1" s="53"/>
      <c r="FEO1" s="53"/>
      <c r="FEP1" s="53"/>
      <c r="FEQ1" s="53"/>
      <c r="FER1" s="53"/>
      <c r="FES1" s="53"/>
      <c r="FET1" s="53"/>
      <c r="FEU1" s="53"/>
      <c r="FEV1" s="53"/>
      <c r="FEW1" s="53"/>
      <c r="FEX1" s="53"/>
      <c r="FEY1" s="53"/>
      <c r="FEZ1" s="53"/>
      <c r="FFA1" s="53"/>
      <c r="FFB1" s="53"/>
      <c r="FFC1" s="53"/>
      <c r="FFD1" s="53"/>
      <c r="FFE1" s="53"/>
      <c r="FFF1" s="53"/>
      <c r="FFG1" s="53"/>
      <c r="FFH1" s="53"/>
      <c r="FFI1" s="53"/>
      <c r="FFJ1" s="53"/>
      <c r="FFK1" s="53"/>
      <c r="FFL1" s="53"/>
      <c r="FFM1" s="53"/>
      <c r="FFN1" s="53"/>
      <c r="FFO1" s="53"/>
      <c r="FFP1" s="53"/>
      <c r="FFQ1" s="53"/>
      <c r="FFR1" s="53"/>
      <c r="FFS1" s="53"/>
      <c r="FFT1" s="53"/>
      <c r="FFU1" s="53"/>
      <c r="FFV1" s="53"/>
      <c r="FFW1" s="53"/>
      <c r="FFX1" s="53"/>
      <c r="FFY1" s="53"/>
      <c r="FFZ1" s="53"/>
      <c r="FGA1" s="53"/>
      <c r="FGB1" s="53"/>
      <c r="FGC1" s="53"/>
      <c r="FGD1" s="53"/>
      <c r="FGE1" s="53"/>
      <c r="FGF1" s="53"/>
      <c r="FGG1" s="53"/>
      <c r="FGH1" s="53"/>
      <c r="FGI1" s="53"/>
      <c r="FGJ1" s="53"/>
      <c r="FGK1" s="53"/>
      <c r="FGL1" s="53"/>
      <c r="FGM1" s="53"/>
      <c r="FGN1" s="53"/>
      <c r="FGO1" s="53"/>
      <c r="FGP1" s="53"/>
      <c r="FGQ1" s="53"/>
      <c r="FGR1" s="53"/>
      <c r="FGS1" s="53"/>
      <c r="FGT1" s="53"/>
      <c r="FGU1" s="53"/>
      <c r="FGV1" s="53"/>
      <c r="FGW1" s="53"/>
      <c r="FGX1" s="53"/>
      <c r="FGY1" s="53"/>
      <c r="FGZ1" s="53"/>
      <c r="FHA1" s="53"/>
      <c r="FHB1" s="53"/>
      <c r="FHC1" s="53"/>
      <c r="FHD1" s="53"/>
      <c r="FHE1" s="53"/>
      <c r="FHF1" s="53"/>
      <c r="FHG1" s="53"/>
      <c r="FHH1" s="53"/>
      <c r="FHI1" s="53"/>
      <c r="FHJ1" s="53"/>
      <c r="FHK1" s="53"/>
      <c r="FHL1" s="53"/>
      <c r="FHM1" s="53"/>
      <c r="FHN1" s="53"/>
      <c r="FHO1" s="53"/>
      <c r="FHP1" s="53"/>
      <c r="FHQ1" s="53"/>
      <c r="FHR1" s="53"/>
      <c r="FHS1" s="53"/>
      <c r="FHT1" s="53"/>
      <c r="FHU1" s="53"/>
      <c r="FHV1" s="53"/>
      <c r="FHW1" s="53"/>
      <c r="FHX1" s="53"/>
      <c r="FHY1" s="53"/>
      <c r="FHZ1" s="53"/>
      <c r="FIA1" s="53"/>
      <c r="FIB1" s="53"/>
      <c r="FIC1" s="53"/>
      <c r="FID1" s="53"/>
      <c r="FIE1" s="53"/>
      <c r="FIF1" s="53"/>
      <c r="FIG1" s="53"/>
      <c r="FIH1" s="53"/>
      <c r="FII1" s="53"/>
      <c r="FIJ1" s="53"/>
      <c r="FIK1" s="53"/>
      <c r="FIL1" s="53"/>
      <c r="FIM1" s="53"/>
      <c r="FIN1" s="53"/>
      <c r="FIO1" s="53"/>
      <c r="FIP1" s="53"/>
      <c r="FIQ1" s="53"/>
      <c r="FIR1" s="53"/>
      <c r="FIS1" s="53"/>
      <c r="FIT1" s="53"/>
      <c r="FIU1" s="53"/>
      <c r="FIV1" s="53"/>
      <c r="FIW1" s="53"/>
      <c r="FIX1" s="53"/>
      <c r="FIY1" s="53"/>
      <c r="FIZ1" s="53"/>
      <c r="FJA1" s="53"/>
      <c r="FJB1" s="53"/>
      <c r="FJC1" s="53"/>
      <c r="FJD1" s="53"/>
      <c r="FJE1" s="53"/>
      <c r="FJF1" s="53"/>
      <c r="FJG1" s="53"/>
      <c r="FJH1" s="53"/>
      <c r="FJI1" s="53"/>
      <c r="FJJ1" s="53"/>
      <c r="FJK1" s="53"/>
      <c r="FJL1" s="53"/>
      <c r="FJM1" s="53"/>
      <c r="FJN1" s="53"/>
      <c r="FJO1" s="53"/>
      <c r="FJP1" s="53"/>
      <c r="FJQ1" s="53"/>
      <c r="FJR1" s="53"/>
      <c r="FJS1" s="53"/>
      <c r="FJT1" s="53"/>
      <c r="FJU1" s="53"/>
      <c r="FJV1" s="53"/>
      <c r="FJW1" s="53"/>
      <c r="FJX1" s="53"/>
      <c r="FJY1" s="53"/>
      <c r="FJZ1" s="53"/>
      <c r="FKA1" s="53"/>
      <c r="FKB1" s="53"/>
      <c r="FKC1" s="53"/>
      <c r="FKD1" s="53"/>
      <c r="FKE1" s="53"/>
      <c r="FKF1" s="53"/>
      <c r="FKG1" s="53"/>
      <c r="FKH1" s="53"/>
      <c r="FKI1" s="53"/>
      <c r="FKJ1" s="53"/>
      <c r="FKK1" s="53"/>
      <c r="FKL1" s="53"/>
      <c r="FKM1" s="53"/>
      <c r="FKN1" s="53"/>
      <c r="FKO1" s="53"/>
      <c r="FKP1" s="53"/>
      <c r="FKQ1" s="53"/>
      <c r="FKR1" s="53"/>
      <c r="FKS1" s="53"/>
      <c r="FKT1" s="53"/>
      <c r="FKU1" s="53"/>
      <c r="FKV1" s="53"/>
      <c r="FKW1" s="53"/>
      <c r="FKX1" s="53"/>
      <c r="FKY1" s="53"/>
      <c r="FKZ1" s="53"/>
      <c r="FLA1" s="53"/>
      <c r="FLB1" s="53"/>
      <c r="FLC1" s="53"/>
      <c r="FLD1" s="53"/>
      <c r="FLE1" s="53"/>
      <c r="FLF1" s="53"/>
      <c r="FLG1" s="53"/>
      <c r="FLH1" s="53"/>
      <c r="FLI1" s="53"/>
      <c r="FLJ1" s="53"/>
      <c r="FLK1" s="53"/>
      <c r="FLL1" s="53"/>
      <c r="FLM1" s="53"/>
      <c r="FLN1" s="53"/>
      <c r="FLO1" s="53"/>
      <c r="FLP1" s="53"/>
      <c r="FLQ1" s="53"/>
      <c r="FLR1" s="53"/>
      <c r="FLS1" s="53"/>
      <c r="FLT1" s="53"/>
      <c r="FLU1" s="53"/>
      <c r="FLV1" s="53"/>
      <c r="FLW1" s="53"/>
      <c r="FLX1" s="53"/>
      <c r="FLY1" s="53"/>
      <c r="FLZ1" s="53"/>
      <c r="FMA1" s="53"/>
      <c r="FMB1" s="53"/>
      <c r="FMC1" s="53"/>
      <c r="FMD1" s="53"/>
      <c r="FME1" s="53"/>
      <c r="FMF1" s="53"/>
      <c r="FMG1" s="53"/>
      <c r="FMH1" s="53"/>
      <c r="FMI1" s="53"/>
      <c r="FMJ1" s="53"/>
      <c r="FMK1" s="53"/>
      <c r="FML1" s="53"/>
      <c r="FMM1" s="53"/>
      <c r="FMN1" s="53"/>
      <c r="FMO1" s="53"/>
      <c r="FMP1" s="53"/>
      <c r="FMQ1" s="53"/>
      <c r="FMR1" s="53"/>
      <c r="FMS1" s="53"/>
      <c r="FMT1" s="53"/>
      <c r="FMU1" s="53"/>
      <c r="FMV1" s="53"/>
      <c r="FMW1" s="53"/>
      <c r="FMX1" s="53"/>
      <c r="FMY1" s="53"/>
      <c r="FMZ1" s="53"/>
      <c r="FNA1" s="53"/>
      <c r="FNB1" s="53"/>
      <c r="FNC1" s="53"/>
      <c r="FND1" s="53"/>
      <c r="FNE1" s="53"/>
      <c r="FNF1" s="53"/>
      <c r="FNG1" s="53"/>
      <c r="FNH1" s="53"/>
      <c r="FNI1" s="53"/>
      <c r="FNJ1" s="53"/>
      <c r="FNK1" s="53"/>
      <c r="FNL1" s="53"/>
      <c r="FNM1" s="53"/>
      <c r="FNN1" s="53"/>
      <c r="FNO1" s="53"/>
      <c r="FNP1" s="53"/>
      <c r="FNQ1" s="53"/>
      <c r="FNR1" s="53"/>
      <c r="FNS1" s="53"/>
      <c r="FNT1" s="53"/>
      <c r="FNU1" s="53"/>
      <c r="FNV1" s="53"/>
      <c r="FNW1" s="53"/>
      <c r="FNX1" s="53"/>
      <c r="FNY1" s="53"/>
      <c r="FNZ1" s="53"/>
      <c r="FOA1" s="53"/>
      <c r="FOB1" s="53"/>
      <c r="FOC1" s="53"/>
      <c r="FOD1" s="53"/>
      <c r="FOE1" s="53"/>
      <c r="FOF1" s="53"/>
      <c r="FOG1" s="53"/>
      <c r="FOH1" s="53"/>
      <c r="FOI1" s="53"/>
      <c r="FOJ1" s="53"/>
      <c r="FOK1" s="53"/>
      <c r="FOL1" s="53"/>
      <c r="FOM1" s="53"/>
      <c r="FON1" s="53"/>
      <c r="FOO1" s="53"/>
      <c r="FOP1" s="53"/>
      <c r="FOQ1" s="53"/>
      <c r="FOR1" s="53"/>
      <c r="FOS1" s="53"/>
      <c r="FOT1" s="53"/>
      <c r="FOU1" s="53"/>
      <c r="FOV1" s="53"/>
      <c r="FOW1" s="53"/>
      <c r="FOX1" s="53"/>
      <c r="FOY1" s="53"/>
      <c r="FOZ1" s="53"/>
      <c r="FPA1" s="53"/>
      <c r="FPB1" s="53"/>
      <c r="FPC1" s="53"/>
      <c r="FPD1" s="53"/>
      <c r="FPE1" s="53"/>
      <c r="FPF1" s="53"/>
      <c r="FPG1" s="53"/>
      <c r="FPH1" s="53"/>
      <c r="FPI1" s="53"/>
      <c r="FPJ1" s="53"/>
      <c r="FPK1" s="53"/>
      <c r="FPL1" s="53"/>
      <c r="FPM1" s="53"/>
      <c r="FPN1" s="53"/>
      <c r="FPO1" s="53"/>
      <c r="FPP1" s="53"/>
      <c r="FPQ1" s="53"/>
      <c r="FPR1" s="53"/>
      <c r="FPS1" s="53"/>
      <c r="FPT1" s="53"/>
      <c r="FPU1" s="53"/>
      <c r="FPV1" s="53"/>
      <c r="FPW1" s="53"/>
      <c r="FPX1" s="53"/>
      <c r="FPY1" s="53"/>
      <c r="FPZ1" s="53"/>
      <c r="FQA1" s="53"/>
      <c r="FQB1" s="53"/>
      <c r="FQC1" s="53"/>
      <c r="FQD1" s="53"/>
      <c r="FQE1" s="53"/>
      <c r="FQF1" s="53"/>
      <c r="FQG1" s="53"/>
      <c r="FQH1" s="53"/>
      <c r="FQI1" s="53"/>
      <c r="FQJ1" s="53"/>
      <c r="FQK1" s="53"/>
      <c r="FQL1" s="53"/>
      <c r="FQM1" s="53"/>
      <c r="FQN1" s="53"/>
      <c r="FQO1" s="53"/>
      <c r="FQP1" s="53"/>
      <c r="FQQ1" s="53"/>
      <c r="FQR1" s="53"/>
      <c r="FQS1" s="53"/>
      <c r="FQT1" s="53"/>
      <c r="FQU1" s="53"/>
      <c r="FQV1" s="53"/>
      <c r="FQW1" s="53"/>
      <c r="FQX1" s="53"/>
      <c r="FQY1" s="53"/>
      <c r="FQZ1" s="53"/>
      <c r="FRA1" s="53"/>
      <c r="FRB1" s="53"/>
      <c r="FRC1" s="53"/>
      <c r="FRD1" s="53"/>
      <c r="FRE1" s="53"/>
      <c r="FRF1" s="53"/>
      <c r="FRG1" s="53"/>
      <c r="FRH1" s="53"/>
      <c r="FRI1" s="53"/>
      <c r="FRJ1" s="53"/>
      <c r="FRK1" s="53"/>
      <c r="FRL1" s="53"/>
      <c r="FRM1" s="53"/>
      <c r="FRN1" s="53"/>
      <c r="FRO1" s="53"/>
      <c r="FRP1" s="53"/>
      <c r="FRQ1" s="53"/>
      <c r="FRR1" s="53"/>
      <c r="FRS1" s="53"/>
      <c r="FRT1" s="53"/>
      <c r="FRU1" s="53"/>
      <c r="FRV1" s="53"/>
      <c r="FRW1" s="53"/>
      <c r="FRX1" s="53"/>
      <c r="FRY1" s="53"/>
      <c r="FRZ1" s="53"/>
      <c r="FSA1" s="53"/>
      <c r="FSB1" s="53"/>
      <c r="FSC1" s="53"/>
      <c r="FSD1" s="53"/>
      <c r="FSE1" s="53"/>
      <c r="FSF1" s="53"/>
      <c r="FSG1" s="53"/>
      <c r="FSH1" s="53"/>
      <c r="FSI1" s="53"/>
      <c r="FSJ1" s="53"/>
      <c r="FSK1" s="53"/>
      <c r="FSL1" s="53"/>
      <c r="FSM1" s="53"/>
      <c r="FSN1" s="53"/>
      <c r="FSO1" s="53"/>
      <c r="FSP1" s="53"/>
      <c r="FSQ1" s="53"/>
      <c r="FSR1" s="53"/>
      <c r="FSS1" s="53"/>
      <c r="FST1" s="53"/>
      <c r="FSU1" s="53"/>
      <c r="FSV1" s="53"/>
      <c r="FSW1" s="53"/>
      <c r="FSX1" s="53"/>
      <c r="FSY1" s="53"/>
      <c r="FSZ1" s="53"/>
      <c r="FTA1" s="53"/>
      <c r="FTB1" s="53"/>
      <c r="FTC1" s="53"/>
      <c r="FTD1" s="53"/>
      <c r="FTE1" s="53"/>
      <c r="FTF1" s="53"/>
      <c r="FTG1" s="53"/>
      <c r="FTH1" s="53"/>
      <c r="FTI1" s="53"/>
      <c r="FTJ1" s="53"/>
      <c r="FTK1" s="53"/>
      <c r="FTL1" s="53"/>
      <c r="FTM1" s="53"/>
      <c r="FTN1" s="53"/>
      <c r="FTO1" s="53"/>
      <c r="FTP1" s="53"/>
      <c r="FTQ1" s="53"/>
      <c r="FTR1" s="53"/>
      <c r="FTS1" s="53"/>
      <c r="FTT1" s="53"/>
      <c r="FTU1" s="53"/>
      <c r="FTV1" s="53"/>
      <c r="FTW1" s="53"/>
      <c r="FTX1" s="53"/>
      <c r="FTY1" s="53"/>
      <c r="FTZ1" s="53"/>
      <c r="FUA1" s="53"/>
      <c r="FUB1" s="53"/>
      <c r="FUC1" s="53"/>
      <c r="FUD1" s="53"/>
      <c r="FUE1" s="53"/>
      <c r="FUF1" s="53"/>
      <c r="FUG1" s="53"/>
      <c r="FUH1" s="53"/>
      <c r="FUI1" s="53"/>
      <c r="FUJ1" s="53"/>
      <c r="FUK1" s="53"/>
      <c r="FUL1" s="53"/>
      <c r="FUM1" s="53"/>
      <c r="FUN1" s="53"/>
      <c r="FUO1" s="53"/>
      <c r="FUP1" s="53"/>
      <c r="FUQ1" s="53"/>
      <c r="FUR1" s="53"/>
      <c r="FUS1" s="53"/>
      <c r="FUT1" s="53"/>
      <c r="FUU1" s="53"/>
      <c r="FUV1" s="53"/>
      <c r="FUW1" s="53"/>
      <c r="FUX1" s="53"/>
      <c r="FUY1" s="53"/>
      <c r="FUZ1" s="53"/>
      <c r="FVA1" s="53"/>
      <c r="FVB1" s="53"/>
      <c r="FVC1" s="53"/>
      <c r="FVD1" s="53"/>
      <c r="FVE1" s="53"/>
      <c r="FVF1" s="53"/>
      <c r="FVG1" s="53"/>
      <c r="FVH1" s="53"/>
      <c r="FVI1" s="53"/>
      <c r="FVJ1" s="53"/>
      <c r="FVK1" s="53"/>
      <c r="FVL1" s="53"/>
      <c r="FVM1" s="53"/>
      <c r="FVN1" s="53"/>
      <c r="FVO1" s="53"/>
      <c r="FVP1" s="53"/>
      <c r="FVQ1" s="53"/>
      <c r="FVR1" s="53"/>
      <c r="FVS1" s="53"/>
      <c r="FVT1" s="53"/>
      <c r="FVU1" s="53"/>
      <c r="FVV1" s="53"/>
      <c r="FVW1" s="53"/>
      <c r="FVX1" s="53"/>
      <c r="FVY1" s="53"/>
      <c r="FVZ1" s="53"/>
      <c r="FWA1" s="53"/>
      <c r="FWB1" s="53"/>
      <c r="FWC1" s="53"/>
      <c r="FWD1" s="53"/>
      <c r="FWE1" s="53"/>
      <c r="FWF1" s="53"/>
      <c r="FWG1" s="53"/>
      <c r="FWH1" s="53"/>
      <c r="FWI1" s="53"/>
      <c r="FWJ1" s="53"/>
      <c r="FWK1" s="53"/>
      <c r="FWL1" s="53"/>
      <c r="FWM1" s="53"/>
      <c r="FWN1" s="53"/>
      <c r="FWO1" s="53"/>
      <c r="FWP1" s="53"/>
      <c r="FWQ1" s="53"/>
      <c r="FWR1" s="53"/>
      <c r="FWS1" s="53"/>
      <c r="FWT1" s="53"/>
      <c r="FWU1" s="53"/>
      <c r="FWV1" s="53"/>
      <c r="FWW1" s="53"/>
      <c r="FWX1" s="53"/>
      <c r="FWY1" s="53"/>
      <c r="FWZ1" s="53"/>
      <c r="FXA1" s="53"/>
      <c r="FXB1" s="53"/>
      <c r="FXC1" s="53"/>
      <c r="FXD1" s="53"/>
      <c r="FXE1" s="53"/>
      <c r="FXF1" s="53"/>
      <c r="FXG1" s="53"/>
      <c r="FXH1" s="53"/>
      <c r="FXI1" s="53"/>
      <c r="FXJ1" s="53"/>
      <c r="FXK1" s="53"/>
      <c r="FXL1" s="53"/>
      <c r="FXM1" s="53"/>
      <c r="FXN1" s="53"/>
      <c r="FXO1" s="53"/>
      <c r="FXP1" s="53"/>
      <c r="FXQ1" s="53"/>
      <c r="FXR1" s="53"/>
      <c r="FXS1" s="53"/>
      <c r="FXT1" s="53"/>
      <c r="FXU1" s="53"/>
      <c r="FXV1" s="53"/>
      <c r="FXW1" s="53"/>
      <c r="FXX1" s="53"/>
      <c r="FXY1" s="53"/>
      <c r="FXZ1" s="53"/>
      <c r="FYA1" s="53"/>
      <c r="FYB1" s="53"/>
      <c r="FYC1" s="53"/>
      <c r="FYD1" s="53"/>
      <c r="FYE1" s="53"/>
      <c r="FYF1" s="53"/>
      <c r="FYG1" s="53"/>
      <c r="FYH1" s="53"/>
      <c r="FYI1" s="53"/>
      <c r="FYJ1" s="53"/>
      <c r="FYK1" s="53"/>
      <c r="FYL1" s="53"/>
      <c r="FYM1" s="53"/>
      <c r="FYN1" s="53"/>
      <c r="FYO1" s="53"/>
      <c r="FYP1" s="53"/>
      <c r="FYQ1" s="53"/>
      <c r="FYR1" s="53"/>
      <c r="FYS1" s="53"/>
      <c r="FYT1" s="53"/>
      <c r="FYU1" s="53"/>
      <c r="FYV1" s="53"/>
      <c r="FYW1" s="53"/>
      <c r="FYX1" s="53"/>
      <c r="FYY1" s="53"/>
      <c r="FYZ1" s="53"/>
      <c r="FZA1" s="53"/>
      <c r="FZB1" s="53"/>
      <c r="FZC1" s="53"/>
      <c r="FZD1" s="53"/>
      <c r="FZE1" s="53"/>
      <c r="FZF1" s="53"/>
      <c r="FZG1" s="53"/>
      <c r="FZH1" s="53"/>
      <c r="FZI1" s="53"/>
      <c r="FZJ1" s="53"/>
      <c r="FZK1" s="53"/>
      <c r="FZL1" s="53"/>
      <c r="FZM1" s="53"/>
      <c r="FZN1" s="53"/>
      <c r="FZO1" s="53"/>
      <c r="FZP1" s="53"/>
      <c r="FZQ1" s="53"/>
      <c r="FZR1" s="53"/>
      <c r="FZS1" s="53"/>
      <c r="FZT1" s="53"/>
      <c r="FZU1" s="53"/>
      <c r="FZV1" s="53"/>
      <c r="FZW1" s="53"/>
      <c r="FZX1" s="53"/>
      <c r="FZY1" s="53"/>
      <c r="FZZ1" s="53"/>
      <c r="GAA1" s="53"/>
      <c r="GAB1" s="53"/>
      <c r="GAC1" s="53"/>
      <c r="GAD1" s="53"/>
      <c r="GAE1" s="53"/>
      <c r="GAF1" s="53"/>
      <c r="GAG1" s="53"/>
      <c r="GAH1" s="53"/>
      <c r="GAI1" s="53"/>
      <c r="GAJ1" s="53"/>
      <c r="GAK1" s="53"/>
      <c r="GAL1" s="53"/>
      <c r="GAM1" s="53"/>
      <c r="GAN1" s="53"/>
      <c r="GAO1" s="53"/>
      <c r="GAP1" s="53"/>
      <c r="GAQ1" s="53"/>
      <c r="GAR1" s="53"/>
      <c r="GAS1" s="53"/>
      <c r="GAT1" s="53"/>
      <c r="GAU1" s="53"/>
      <c r="GAV1" s="53"/>
      <c r="GAW1" s="53"/>
      <c r="GAX1" s="53"/>
      <c r="GAY1" s="53"/>
      <c r="GAZ1" s="53"/>
      <c r="GBA1" s="53"/>
      <c r="GBB1" s="53"/>
      <c r="GBC1" s="53"/>
      <c r="GBD1" s="53"/>
      <c r="GBE1" s="53"/>
      <c r="GBF1" s="53"/>
      <c r="GBG1" s="53"/>
      <c r="GBH1" s="53"/>
      <c r="GBI1" s="53"/>
      <c r="GBJ1" s="53"/>
      <c r="GBK1" s="53"/>
      <c r="GBL1" s="53"/>
      <c r="GBM1" s="53"/>
      <c r="GBN1" s="53"/>
      <c r="GBO1" s="53"/>
      <c r="GBP1" s="53"/>
      <c r="GBQ1" s="53"/>
      <c r="GBR1" s="53"/>
      <c r="GBS1" s="53"/>
      <c r="GBT1" s="53"/>
      <c r="GBU1" s="53"/>
      <c r="GBV1" s="53"/>
      <c r="GBW1" s="53"/>
      <c r="GBX1" s="53"/>
      <c r="GBY1" s="53"/>
      <c r="GBZ1" s="53"/>
      <c r="GCA1" s="53"/>
      <c r="GCB1" s="53"/>
      <c r="GCC1" s="53"/>
      <c r="GCD1" s="53"/>
      <c r="GCE1" s="53"/>
      <c r="GCF1" s="53"/>
      <c r="GCG1" s="53"/>
      <c r="GCH1" s="53"/>
      <c r="GCI1" s="53"/>
      <c r="GCJ1" s="53"/>
      <c r="GCK1" s="53"/>
      <c r="GCL1" s="53"/>
      <c r="GCM1" s="53"/>
      <c r="GCN1" s="53"/>
      <c r="GCO1" s="53"/>
      <c r="GCP1" s="53"/>
      <c r="GCQ1" s="53"/>
      <c r="GCR1" s="53"/>
      <c r="GCS1" s="53"/>
      <c r="GCT1" s="53"/>
      <c r="GCU1" s="53"/>
      <c r="GCV1" s="53"/>
      <c r="GCW1" s="53"/>
      <c r="GCX1" s="53"/>
      <c r="GCY1" s="53"/>
      <c r="GCZ1" s="53"/>
      <c r="GDA1" s="53"/>
      <c r="GDB1" s="53"/>
      <c r="GDC1" s="53"/>
      <c r="GDD1" s="53"/>
      <c r="GDE1" s="53"/>
      <c r="GDF1" s="53"/>
      <c r="GDG1" s="53"/>
      <c r="GDH1" s="53"/>
      <c r="GDI1" s="53"/>
      <c r="GDJ1" s="53"/>
      <c r="GDK1" s="53"/>
      <c r="GDL1" s="53"/>
      <c r="GDM1" s="53"/>
      <c r="GDN1" s="53"/>
      <c r="GDO1" s="53"/>
      <c r="GDP1" s="53"/>
      <c r="GDQ1" s="53"/>
      <c r="GDR1" s="53"/>
      <c r="GDS1" s="53"/>
      <c r="GDT1" s="53"/>
      <c r="GDU1" s="53"/>
      <c r="GDV1" s="53"/>
      <c r="GDW1" s="53"/>
      <c r="GDX1" s="53"/>
      <c r="GDY1" s="53"/>
      <c r="GDZ1" s="53"/>
      <c r="GEA1" s="53"/>
      <c r="GEB1" s="53"/>
      <c r="GEC1" s="53"/>
      <c r="GED1" s="53"/>
      <c r="GEE1" s="53"/>
      <c r="GEF1" s="53"/>
      <c r="GEG1" s="53"/>
      <c r="GEH1" s="53"/>
      <c r="GEI1" s="53"/>
      <c r="GEJ1" s="53"/>
      <c r="GEK1" s="53"/>
      <c r="GEL1" s="53"/>
      <c r="GEM1" s="53"/>
      <c r="GEN1" s="53"/>
      <c r="GEO1" s="53"/>
      <c r="GEP1" s="53"/>
      <c r="GEQ1" s="53"/>
      <c r="GER1" s="53"/>
      <c r="GES1" s="53"/>
      <c r="GET1" s="53"/>
      <c r="GEU1" s="53"/>
      <c r="GEV1" s="53"/>
      <c r="GEW1" s="53"/>
      <c r="GEX1" s="53"/>
      <c r="GEY1" s="53"/>
      <c r="GEZ1" s="53"/>
      <c r="GFA1" s="53"/>
      <c r="GFB1" s="53"/>
      <c r="GFC1" s="53"/>
      <c r="GFD1" s="53"/>
      <c r="GFE1" s="53"/>
      <c r="GFF1" s="53"/>
      <c r="GFG1" s="53"/>
      <c r="GFH1" s="53"/>
      <c r="GFI1" s="53"/>
      <c r="GFJ1" s="53"/>
      <c r="GFK1" s="53"/>
      <c r="GFL1" s="53"/>
      <c r="GFM1" s="53"/>
      <c r="GFN1" s="53"/>
      <c r="GFO1" s="53"/>
      <c r="GFP1" s="53"/>
      <c r="GFQ1" s="53"/>
      <c r="GFR1" s="53"/>
      <c r="GFS1" s="53"/>
      <c r="GFT1" s="53"/>
      <c r="GFU1" s="53"/>
      <c r="GFV1" s="53"/>
      <c r="GFW1" s="53"/>
      <c r="GFX1" s="53"/>
      <c r="GFY1" s="53"/>
      <c r="GFZ1" s="53"/>
      <c r="GGA1" s="53"/>
      <c r="GGB1" s="53"/>
      <c r="GGC1" s="53"/>
      <c r="GGD1" s="53"/>
      <c r="GGE1" s="53"/>
      <c r="GGF1" s="53"/>
      <c r="GGG1" s="53"/>
      <c r="GGH1" s="53"/>
      <c r="GGI1" s="53"/>
      <c r="GGJ1" s="53"/>
      <c r="GGK1" s="53"/>
      <c r="GGL1" s="53"/>
      <c r="GGM1" s="53"/>
      <c r="GGN1" s="53"/>
      <c r="GGO1" s="53"/>
      <c r="GGP1" s="53"/>
      <c r="GGQ1" s="53"/>
      <c r="GGR1" s="53"/>
      <c r="GGS1" s="53"/>
      <c r="GGT1" s="53"/>
      <c r="GGU1" s="53"/>
      <c r="GGV1" s="53"/>
      <c r="GGW1" s="53"/>
      <c r="GGX1" s="53"/>
      <c r="GGY1" s="53"/>
      <c r="GGZ1" s="53"/>
      <c r="GHA1" s="53"/>
      <c r="GHB1" s="53"/>
      <c r="GHC1" s="53"/>
      <c r="GHD1" s="53"/>
      <c r="GHE1" s="53"/>
      <c r="GHF1" s="53"/>
      <c r="GHG1" s="53"/>
      <c r="GHH1" s="53"/>
      <c r="GHI1" s="53"/>
      <c r="GHJ1" s="53"/>
      <c r="GHK1" s="53"/>
      <c r="GHL1" s="53"/>
      <c r="GHM1" s="53"/>
      <c r="GHN1" s="53"/>
      <c r="GHO1" s="53"/>
      <c r="GHP1" s="53"/>
      <c r="GHQ1" s="53"/>
      <c r="GHR1" s="53"/>
      <c r="GHS1" s="53"/>
      <c r="GHT1" s="53"/>
      <c r="GHU1" s="53"/>
      <c r="GHV1" s="53"/>
      <c r="GHW1" s="53"/>
      <c r="GHX1" s="53"/>
      <c r="GHY1" s="53"/>
      <c r="GHZ1" s="53"/>
      <c r="GIA1" s="53"/>
      <c r="GIB1" s="53"/>
      <c r="GIC1" s="53"/>
      <c r="GID1" s="53"/>
      <c r="GIE1" s="53"/>
      <c r="GIF1" s="53"/>
      <c r="GIG1" s="53"/>
      <c r="GIH1" s="53"/>
      <c r="GII1" s="53"/>
      <c r="GIJ1" s="53"/>
      <c r="GIK1" s="53"/>
      <c r="GIL1" s="53"/>
      <c r="GIM1" s="53"/>
      <c r="GIN1" s="53"/>
      <c r="GIO1" s="53"/>
      <c r="GIP1" s="53"/>
      <c r="GIQ1" s="53"/>
      <c r="GIR1" s="53"/>
      <c r="GIS1" s="53"/>
      <c r="GIT1" s="53"/>
      <c r="GIU1" s="53"/>
      <c r="GIV1" s="53"/>
      <c r="GIW1" s="53"/>
      <c r="GIX1" s="53"/>
      <c r="GIY1" s="53"/>
      <c r="GIZ1" s="53"/>
      <c r="GJA1" s="53"/>
      <c r="GJB1" s="53"/>
      <c r="GJC1" s="53"/>
      <c r="GJD1" s="53"/>
      <c r="GJE1" s="53"/>
      <c r="GJF1" s="53"/>
      <c r="GJG1" s="53"/>
      <c r="GJH1" s="53"/>
      <c r="GJI1" s="53"/>
      <c r="GJJ1" s="53"/>
      <c r="GJK1" s="53"/>
      <c r="GJL1" s="53"/>
      <c r="GJM1" s="53"/>
      <c r="GJN1" s="53"/>
      <c r="GJO1" s="53"/>
      <c r="GJP1" s="53"/>
      <c r="GJQ1" s="53"/>
      <c r="GJR1" s="53"/>
      <c r="GJS1" s="53"/>
      <c r="GJT1" s="53"/>
      <c r="GJU1" s="53"/>
      <c r="GJV1" s="53"/>
      <c r="GJW1" s="53"/>
      <c r="GJX1" s="53"/>
      <c r="GJY1" s="53"/>
      <c r="GJZ1" s="53"/>
      <c r="GKA1" s="53"/>
      <c r="GKB1" s="53"/>
      <c r="GKC1" s="53"/>
      <c r="GKD1" s="53"/>
      <c r="GKE1" s="53"/>
      <c r="GKF1" s="53"/>
      <c r="GKG1" s="53"/>
      <c r="GKH1" s="53"/>
      <c r="GKI1" s="53"/>
      <c r="GKJ1" s="53"/>
      <c r="GKK1" s="53"/>
      <c r="GKL1" s="53"/>
      <c r="GKM1" s="53"/>
      <c r="GKN1" s="53"/>
      <c r="GKO1" s="53"/>
      <c r="GKP1" s="53"/>
      <c r="GKQ1" s="53"/>
      <c r="GKR1" s="53"/>
      <c r="GKS1" s="53"/>
      <c r="GKT1" s="53"/>
      <c r="GKU1" s="53"/>
      <c r="GKV1" s="53"/>
      <c r="GKW1" s="53"/>
      <c r="GKX1" s="53"/>
      <c r="GKY1" s="53"/>
      <c r="GKZ1" s="53"/>
      <c r="GLA1" s="53"/>
      <c r="GLB1" s="53"/>
      <c r="GLC1" s="53"/>
      <c r="GLD1" s="53"/>
      <c r="GLE1" s="53"/>
      <c r="GLF1" s="53"/>
      <c r="GLG1" s="53"/>
      <c r="GLH1" s="53"/>
      <c r="GLI1" s="53"/>
      <c r="GLJ1" s="53"/>
      <c r="GLK1" s="53"/>
      <c r="GLL1" s="53"/>
      <c r="GLM1" s="53"/>
      <c r="GLN1" s="53"/>
      <c r="GLO1" s="53"/>
      <c r="GLP1" s="53"/>
      <c r="GLQ1" s="53"/>
      <c r="GLR1" s="53"/>
      <c r="GLS1" s="53"/>
      <c r="GLT1" s="53"/>
      <c r="GLU1" s="53"/>
      <c r="GLV1" s="53"/>
      <c r="GLW1" s="53"/>
      <c r="GLX1" s="53"/>
      <c r="GLY1" s="53"/>
      <c r="GLZ1" s="53"/>
      <c r="GMA1" s="53"/>
      <c r="GMB1" s="53"/>
      <c r="GMC1" s="53"/>
      <c r="GMD1" s="53"/>
      <c r="GME1" s="53"/>
      <c r="GMF1" s="53"/>
      <c r="GMG1" s="53"/>
      <c r="GMH1" s="53"/>
      <c r="GMI1" s="53"/>
      <c r="GMJ1" s="53"/>
      <c r="GMK1" s="53"/>
      <c r="GML1" s="53"/>
      <c r="GMM1" s="53"/>
      <c r="GMN1" s="53"/>
      <c r="GMO1" s="53"/>
      <c r="GMP1" s="53"/>
      <c r="GMQ1" s="53"/>
      <c r="GMR1" s="53"/>
      <c r="GMS1" s="53"/>
      <c r="GMT1" s="53"/>
      <c r="GMU1" s="53"/>
      <c r="GMV1" s="53"/>
      <c r="GMW1" s="53"/>
      <c r="GMX1" s="53"/>
      <c r="GMY1" s="53"/>
      <c r="GMZ1" s="53"/>
      <c r="GNA1" s="53"/>
      <c r="GNB1" s="53"/>
      <c r="GNC1" s="53"/>
      <c r="GND1" s="53"/>
      <c r="GNE1" s="53"/>
      <c r="GNF1" s="53"/>
      <c r="GNG1" s="53"/>
      <c r="GNH1" s="53"/>
      <c r="GNI1" s="53"/>
      <c r="GNJ1" s="53"/>
      <c r="GNK1" s="53"/>
      <c r="GNL1" s="53"/>
      <c r="GNM1" s="53"/>
      <c r="GNN1" s="53"/>
      <c r="GNO1" s="53"/>
      <c r="GNP1" s="53"/>
      <c r="GNQ1" s="53"/>
      <c r="GNR1" s="53"/>
      <c r="GNS1" s="53"/>
      <c r="GNT1" s="53"/>
      <c r="GNU1" s="53"/>
      <c r="GNV1" s="53"/>
      <c r="GNW1" s="53"/>
      <c r="GNX1" s="53"/>
      <c r="GNY1" s="53"/>
      <c r="GNZ1" s="53"/>
      <c r="GOA1" s="53"/>
      <c r="GOB1" s="53"/>
      <c r="GOC1" s="53"/>
      <c r="GOD1" s="53"/>
      <c r="GOE1" s="53"/>
      <c r="GOF1" s="53"/>
      <c r="GOG1" s="53"/>
      <c r="GOH1" s="53"/>
      <c r="GOI1" s="53"/>
      <c r="GOJ1" s="53"/>
      <c r="GOK1" s="53"/>
      <c r="GOL1" s="53"/>
      <c r="GOM1" s="53"/>
      <c r="GON1" s="53"/>
      <c r="GOO1" s="53"/>
      <c r="GOP1" s="53"/>
      <c r="GOQ1" s="53"/>
      <c r="GOR1" s="53"/>
      <c r="GOS1" s="53"/>
      <c r="GOT1" s="53"/>
      <c r="GOU1" s="53"/>
      <c r="GOV1" s="53"/>
      <c r="GOW1" s="53"/>
      <c r="GOX1" s="53"/>
      <c r="GOY1" s="53"/>
      <c r="GOZ1" s="53"/>
      <c r="GPA1" s="53"/>
      <c r="GPB1" s="53"/>
      <c r="GPC1" s="53"/>
      <c r="GPD1" s="53"/>
      <c r="GPE1" s="53"/>
      <c r="GPF1" s="53"/>
      <c r="GPG1" s="53"/>
      <c r="GPH1" s="53"/>
      <c r="GPI1" s="53"/>
      <c r="GPJ1" s="53"/>
      <c r="GPK1" s="53"/>
      <c r="GPL1" s="53"/>
      <c r="GPM1" s="53"/>
      <c r="GPN1" s="53"/>
      <c r="GPO1" s="53"/>
      <c r="GPP1" s="53"/>
      <c r="GPQ1" s="53"/>
      <c r="GPR1" s="53"/>
      <c r="GPS1" s="53"/>
      <c r="GPT1" s="53"/>
      <c r="GPU1" s="53"/>
      <c r="GPV1" s="53"/>
      <c r="GPW1" s="53"/>
      <c r="GPX1" s="53"/>
      <c r="GPY1" s="53"/>
      <c r="GPZ1" s="53"/>
      <c r="GQA1" s="53"/>
      <c r="GQB1" s="53"/>
      <c r="GQC1" s="53"/>
      <c r="GQD1" s="53"/>
      <c r="GQE1" s="53"/>
      <c r="GQF1" s="53"/>
      <c r="GQG1" s="53"/>
      <c r="GQH1" s="53"/>
      <c r="GQI1" s="53"/>
      <c r="GQJ1" s="53"/>
      <c r="GQK1" s="53"/>
      <c r="GQL1" s="53"/>
      <c r="GQM1" s="53"/>
      <c r="GQN1" s="53"/>
      <c r="GQO1" s="53"/>
      <c r="GQP1" s="53"/>
      <c r="GQQ1" s="53"/>
      <c r="GQR1" s="53"/>
      <c r="GQS1" s="53"/>
      <c r="GQT1" s="53"/>
      <c r="GQU1" s="53"/>
      <c r="GQV1" s="53"/>
      <c r="GQW1" s="53"/>
      <c r="GQX1" s="53"/>
      <c r="GQY1" s="53"/>
      <c r="GQZ1" s="53"/>
      <c r="GRA1" s="53"/>
      <c r="GRB1" s="53"/>
      <c r="GRC1" s="53"/>
      <c r="GRD1" s="53"/>
      <c r="GRE1" s="53"/>
      <c r="GRF1" s="53"/>
      <c r="GRG1" s="53"/>
      <c r="GRH1" s="53"/>
      <c r="GRI1" s="53"/>
      <c r="GRJ1" s="53"/>
      <c r="GRK1" s="53"/>
      <c r="GRL1" s="53"/>
      <c r="GRM1" s="53"/>
      <c r="GRN1" s="53"/>
      <c r="GRO1" s="53"/>
      <c r="GRP1" s="53"/>
      <c r="GRQ1" s="53"/>
      <c r="GRR1" s="53"/>
      <c r="GRS1" s="53"/>
      <c r="GRT1" s="53"/>
      <c r="GRU1" s="53"/>
      <c r="GRV1" s="53"/>
      <c r="GRW1" s="53"/>
      <c r="GRX1" s="53"/>
      <c r="GRY1" s="53"/>
      <c r="GRZ1" s="53"/>
      <c r="GSA1" s="53"/>
      <c r="GSB1" s="53"/>
      <c r="GSC1" s="53"/>
      <c r="GSD1" s="53"/>
      <c r="GSE1" s="53"/>
      <c r="GSF1" s="53"/>
      <c r="GSG1" s="53"/>
      <c r="GSH1" s="53"/>
      <c r="GSI1" s="53"/>
      <c r="GSJ1" s="53"/>
      <c r="GSK1" s="53"/>
      <c r="GSL1" s="53"/>
      <c r="GSM1" s="53"/>
      <c r="GSN1" s="53"/>
      <c r="GSO1" s="53"/>
      <c r="GSP1" s="53"/>
      <c r="GSQ1" s="53"/>
      <c r="GSR1" s="53"/>
      <c r="GSS1" s="53"/>
      <c r="GST1" s="53"/>
      <c r="GSU1" s="53"/>
      <c r="GSV1" s="53"/>
      <c r="GSW1" s="53"/>
      <c r="GSX1" s="53"/>
      <c r="GSY1" s="53"/>
      <c r="GSZ1" s="53"/>
      <c r="GTA1" s="53"/>
      <c r="GTB1" s="53"/>
      <c r="GTC1" s="53"/>
      <c r="GTD1" s="53"/>
      <c r="GTE1" s="53"/>
      <c r="GTF1" s="53"/>
      <c r="GTG1" s="53"/>
      <c r="GTH1" s="53"/>
      <c r="GTI1" s="53"/>
      <c r="GTJ1" s="53"/>
      <c r="GTK1" s="53"/>
      <c r="GTL1" s="53"/>
      <c r="GTM1" s="53"/>
      <c r="GTN1" s="53"/>
      <c r="GTO1" s="53"/>
      <c r="GTP1" s="53"/>
      <c r="GTQ1" s="53"/>
      <c r="GTR1" s="53"/>
      <c r="GTS1" s="53"/>
      <c r="GTT1" s="53"/>
      <c r="GTU1" s="53"/>
      <c r="GTV1" s="53"/>
      <c r="GTW1" s="53"/>
      <c r="GTX1" s="53"/>
      <c r="GTY1" s="53"/>
      <c r="GTZ1" s="53"/>
      <c r="GUA1" s="53"/>
      <c r="GUB1" s="53"/>
      <c r="GUC1" s="53"/>
      <c r="GUD1" s="53"/>
      <c r="GUE1" s="53"/>
      <c r="GUF1" s="53"/>
      <c r="GUG1" s="53"/>
      <c r="GUH1" s="53"/>
      <c r="GUI1" s="53"/>
      <c r="GUJ1" s="53"/>
      <c r="GUK1" s="53"/>
      <c r="GUL1" s="53"/>
      <c r="GUM1" s="53"/>
      <c r="GUN1" s="53"/>
      <c r="GUO1" s="53"/>
      <c r="GUP1" s="53"/>
      <c r="GUQ1" s="53"/>
      <c r="GUR1" s="53"/>
      <c r="GUS1" s="53"/>
      <c r="GUT1" s="53"/>
      <c r="GUU1" s="53"/>
      <c r="GUV1" s="53"/>
      <c r="GUW1" s="53"/>
      <c r="GUX1" s="53"/>
      <c r="GUY1" s="53"/>
      <c r="GUZ1" s="53"/>
      <c r="GVA1" s="53"/>
      <c r="GVB1" s="53"/>
      <c r="GVC1" s="53"/>
      <c r="GVD1" s="53"/>
      <c r="GVE1" s="53"/>
      <c r="GVF1" s="53"/>
      <c r="GVG1" s="53"/>
      <c r="GVH1" s="53"/>
      <c r="GVI1" s="53"/>
      <c r="GVJ1" s="53"/>
      <c r="GVK1" s="53"/>
      <c r="GVL1" s="53"/>
      <c r="GVM1" s="53"/>
      <c r="GVN1" s="53"/>
      <c r="GVO1" s="53"/>
      <c r="GVP1" s="53"/>
      <c r="GVQ1" s="53"/>
      <c r="GVR1" s="53"/>
      <c r="GVS1" s="53"/>
      <c r="GVT1" s="53"/>
      <c r="GVU1" s="53"/>
      <c r="GVV1" s="53"/>
      <c r="GVW1" s="53"/>
      <c r="GVX1" s="53"/>
      <c r="GVY1" s="53"/>
      <c r="GVZ1" s="53"/>
      <c r="GWA1" s="53"/>
      <c r="GWB1" s="53"/>
      <c r="GWC1" s="53"/>
      <c r="GWD1" s="53"/>
      <c r="GWE1" s="53"/>
      <c r="GWF1" s="53"/>
      <c r="GWG1" s="53"/>
      <c r="GWH1" s="53"/>
      <c r="GWI1" s="53"/>
      <c r="GWJ1" s="53"/>
      <c r="GWK1" s="53"/>
      <c r="GWL1" s="53"/>
      <c r="GWM1" s="53"/>
      <c r="GWN1" s="53"/>
      <c r="GWO1" s="53"/>
      <c r="GWP1" s="53"/>
      <c r="GWQ1" s="53"/>
      <c r="GWR1" s="53"/>
      <c r="GWS1" s="53"/>
      <c r="GWT1" s="53"/>
      <c r="GWU1" s="53"/>
      <c r="GWV1" s="53"/>
      <c r="GWW1" s="53"/>
      <c r="GWX1" s="53"/>
      <c r="GWY1" s="53"/>
      <c r="GWZ1" s="53"/>
      <c r="GXA1" s="53"/>
      <c r="GXB1" s="53"/>
      <c r="GXC1" s="53"/>
      <c r="GXD1" s="53"/>
      <c r="GXE1" s="53"/>
      <c r="GXF1" s="53"/>
      <c r="GXG1" s="53"/>
      <c r="GXH1" s="53"/>
      <c r="GXI1" s="53"/>
      <c r="GXJ1" s="53"/>
      <c r="GXK1" s="53"/>
      <c r="GXL1" s="53"/>
      <c r="GXM1" s="53"/>
      <c r="GXN1" s="53"/>
      <c r="GXO1" s="53"/>
      <c r="GXP1" s="53"/>
      <c r="GXQ1" s="53"/>
      <c r="GXR1" s="53"/>
      <c r="GXS1" s="53"/>
      <c r="GXT1" s="53"/>
      <c r="GXU1" s="53"/>
      <c r="GXV1" s="53"/>
      <c r="GXW1" s="53"/>
      <c r="GXX1" s="53"/>
      <c r="GXY1" s="53"/>
      <c r="GXZ1" s="53"/>
      <c r="GYA1" s="53"/>
      <c r="GYB1" s="53"/>
      <c r="GYC1" s="53"/>
      <c r="GYD1" s="53"/>
      <c r="GYE1" s="53"/>
      <c r="GYF1" s="53"/>
      <c r="GYG1" s="53"/>
      <c r="GYH1" s="53"/>
      <c r="GYI1" s="53"/>
      <c r="GYJ1" s="53"/>
      <c r="GYK1" s="53"/>
      <c r="GYL1" s="53"/>
      <c r="GYM1" s="53"/>
      <c r="GYN1" s="53"/>
      <c r="GYO1" s="53"/>
      <c r="GYP1" s="53"/>
      <c r="GYQ1" s="53"/>
      <c r="GYR1" s="53"/>
      <c r="GYS1" s="53"/>
      <c r="GYT1" s="53"/>
      <c r="GYU1" s="53"/>
      <c r="GYV1" s="53"/>
      <c r="GYW1" s="53"/>
      <c r="GYX1" s="53"/>
      <c r="GYY1" s="53"/>
      <c r="GYZ1" s="53"/>
      <c r="GZA1" s="53"/>
      <c r="GZB1" s="53"/>
      <c r="GZC1" s="53"/>
      <c r="GZD1" s="53"/>
      <c r="GZE1" s="53"/>
      <c r="GZF1" s="53"/>
      <c r="GZG1" s="53"/>
      <c r="GZH1" s="53"/>
      <c r="GZI1" s="53"/>
      <c r="GZJ1" s="53"/>
      <c r="GZK1" s="53"/>
      <c r="GZL1" s="53"/>
      <c r="GZM1" s="53"/>
      <c r="GZN1" s="53"/>
      <c r="GZO1" s="53"/>
      <c r="GZP1" s="53"/>
      <c r="GZQ1" s="53"/>
      <c r="GZR1" s="53"/>
      <c r="GZS1" s="53"/>
      <c r="GZT1" s="53"/>
      <c r="GZU1" s="53"/>
      <c r="GZV1" s="53"/>
      <c r="GZW1" s="53"/>
      <c r="GZX1" s="53"/>
      <c r="GZY1" s="53"/>
      <c r="GZZ1" s="53"/>
      <c r="HAA1" s="53"/>
      <c r="HAB1" s="53"/>
      <c r="HAC1" s="53"/>
      <c r="HAD1" s="53"/>
      <c r="HAE1" s="53"/>
      <c r="HAF1" s="53"/>
      <c r="HAG1" s="53"/>
      <c r="HAH1" s="53"/>
      <c r="HAI1" s="53"/>
      <c r="HAJ1" s="53"/>
      <c r="HAK1" s="53"/>
      <c r="HAL1" s="53"/>
      <c r="HAM1" s="53"/>
      <c r="HAN1" s="53"/>
      <c r="HAO1" s="53"/>
      <c r="HAP1" s="53"/>
      <c r="HAQ1" s="53"/>
      <c r="HAR1" s="53"/>
      <c r="HAS1" s="53"/>
      <c r="HAT1" s="53"/>
      <c r="HAU1" s="53"/>
      <c r="HAV1" s="53"/>
      <c r="HAW1" s="53"/>
      <c r="HAX1" s="53"/>
      <c r="HAY1" s="53"/>
      <c r="HAZ1" s="53"/>
      <c r="HBA1" s="53"/>
      <c r="HBB1" s="53"/>
      <c r="HBC1" s="53"/>
      <c r="HBD1" s="53"/>
      <c r="HBE1" s="53"/>
      <c r="HBF1" s="53"/>
      <c r="HBG1" s="53"/>
      <c r="HBH1" s="53"/>
      <c r="HBI1" s="53"/>
      <c r="HBJ1" s="53"/>
      <c r="HBK1" s="53"/>
      <c r="HBL1" s="53"/>
      <c r="HBM1" s="53"/>
      <c r="HBN1" s="53"/>
      <c r="HBO1" s="53"/>
      <c r="HBP1" s="53"/>
      <c r="HBQ1" s="53"/>
      <c r="HBR1" s="53"/>
      <c r="HBS1" s="53"/>
      <c r="HBT1" s="53"/>
      <c r="HBU1" s="53"/>
      <c r="HBV1" s="53"/>
      <c r="HBW1" s="53"/>
      <c r="HBX1" s="53"/>
      <c r="HBY1" s="53"/>
      <c r="HBZ1" s="53"/>
      <c r="HCA1" s="53"/>
      <c r="HCB1" s="53"/>
      <c r="HCC1" s="53"/>
      <c r="HCD1" s="53"/>
      <c r="HCE1" s="53"/>
      <c r="HCF1" s="53"/>
      <c r="HCG1" s="53"/>
      <c r="HCH1" s="53"/>
      <c r="HCI1" s="53"/>
      <c r="HCJ1" s="53"/>
      <c r="HCK1" s="53"/>
      <c r="HCL1" s="53"/>
      <c r="HCM1" s="53"/>
      <c r="HCN1" s="53"/>
      <c r="HCO1" s="53"/>
      <c r="HCP1" s="53"/>
      <c r="HCQ1" s="53"/>
      <c r="HCR1" s="53"/>
      <c r="HCS1" s="53"/>
      <c r="HCT1" s="53"/>
      <c r="HCU1" s="53"/>
      <c r="HCV1" s="53"/>
      <c r="HCW1" s="53"/>
      <c r="HCX1" s="53"/>
      <c r="HCY1" s="53"/>
      <c r="HCZ1" s="53"/>
      <c r="HDA1" s="53"/>
      <c r="HDB1" s="53"/>
      <c r="HDC1" s="53"/>
      <c r="HDD1" s="53"/>
      <c r="HDE1" s="53"/>
      <c r="HDF1" s="53"/>
      <c r="HDG1" s="53"/>
      <c r="HDH1" s="53"/>
      <c r="HDI1" s="53"/>
      <c r="HDJ1" s="53"/>
      <c r="HDK1" s="53"/>
      <c r="HDL1" s="53"/>
      <c r="HDM1" s="53"/>
      <c r="HDN1" s="53"/>
      <c r="HDO1" s="53"/>
      <c r="HDP1" s="53"/>
      <c r="HDQ1" s="53"/>
      <c r="HDR1" s="53"/>
      <c r="HDS1" s="53"/>
      <c r="HDT1" s="53"/>
      <c r="HDU1" s="53"/>
      <c r="HDV1" s="53"/>
      <c r="HDW1" s="53"/>
      <c r="HDX1" s="53"/>
      <c r="HDY1" s="53"/>
      <c r="HDZ1" s="53"/>
      <c r="HEA1" s="53"/>
      <c r="HEB1" s="53"/>
      <c r="HEC1" s="53"/>
      <c r="HED1" s="53"/>
      <c r="HEE1" s="53"/>
      <c r="HEF1" s="53"/>
      <c r="HEG1" s="53"/>
      <c r="HEH1" s="53"/>
      <c r="HEI1" s="53"/>
      <c r="HEJ1" s="53"/>
      <c r="HEK1" s="53"/>
      <c r="HEL1" s="53"/>
      <c r="HEM1" s="53"/>
      <c r="HEN1" s="53"/>
      <c r="HEO1" s="53"/>
      <c r="HEP1" s="53"/>
      <c r="HEQ1" s="53"/>
      <c r="HER1" s="53"/>
      <c r="HES1" s="53"/>
      <c r="HET1" s="53"/>
      <c r="HEU1" s="53"/>
      <c r="HEV1" s="53"/>
      <c r="HEW1" s="53"/>
      <c r="HEX1" s="53"/>
      <c r="HEY1" s="53"/>
      <c r="HEZ1" s="53"/>
      <c r="HFA1" s="53"/>
      <c r="HFB1" s="53"/>
      <c r="HFC1" s="53"/>
      <c r="HFD1" s="53"/>
      <c r="HFE1" s="53"/>
      <c r="HFF1" s="53"/>
      <c r="HFG1" s="53"/>
      <c r="HFH1" s="53"/>
      <c r="HFI1" s="53"/>
      <c r="HFJ1" s="53"/>
      <c r="HFK1" s="53"/>
      <c r="HFL1" s="53"/>
      <c r="HFM1" s="53"/>
      <c r="HFN1" s="53"/>
      <c r="HFO1" s="53"/>
      <c r="HFP1" s="53"/>
      <c r="HFQ1" s="53"/>
      <c r="HFR1" s="53"/>
      <c r="HFS1" s="53"/>
      <c r="HFT1" s="53"/>
      <c r="HFU1" s="53"/>
      <c r="HFV1" s="53"/>
      <c r="HFW1" s="53"/>
      <c r="HFX1" s="53"/>
      <c r="HFY1" s="53"/>
      <c r="HFZ1" s="53"/>
      <c r="HGA1" s="53"/>
      <c r="HGB1" s="53"/>
      <c r="HGC1" s="53"/>
      <c r="HGD1" s="53"/>
      <c r="HGE1" s="53"/>
      <c r="HGF1" s="53"/>
      <c r="HGG1" s="53"/>
      <c r="HGH1" s="53"/>
      <c r="HGI1" s="53"/>
      <c r="HGJ1" s="53"/>
      <c r="HGK1" s="53"/>
      <c r="HGL1" s="53"/>
      <c r="HGM1" s="53"/>
      <c r="HGN1" s="53"/>
      <c r="HGO1" s="53"/>
      <c r="HGP1" s="53"/>
      <c r="HGQ1" s="53"/>
      <c r="HGR1" s="53"/>
      <c r="HGS1" s="53"/>
      <c r="HGT1" s="53"/>
      <c r="HGU1" s="53"/>
      <c r="HGV1" s="53"/>
      <c r="HGW1" s="53"/>
      <c r="HGX1" s="53"/>
      <c r="HGY1" s="53"/>
      <c r="HGZ1" s="53"/>
      <c r="HHA1" s="53"/>
      <c r="HHB1" s="53"/>
      <c r="HHC1" s="53"/>
      <c r="HHD1" s="53"/>
      <c r="HHE1" s="53"/>
      <c r="HHF1" s="53"/>
      <c r="HHG1" s="53"/>
      <c r="HHH1" s="53"/>
      <c r="HHI1" s="53"/>
      <c r="HHJ1" s="53"/>
      <c r="HHK1" s="53"/>
      <c r="HHL1" s="53"/>
      <c r="HHM1" s="53"/>
      <c r="HHN1" s="53"/>
      <c r="HHO1" s="53"/>
      <c r="HHP1" s="53"/>
      <c r="HHQ1" s="53"/>
      <c r="HHR1" s="53"/>
      <c r="HHS1" s="53"/>
      <c r="HHT1" s="53"/>
      <c r="HHU1" s="53"/>
      <c r="HHV1" s="53"/>
      <c r="HHW1" s="53"/>
      <c r="HHX1" s="53"/>
      <c r="HHY1" s="53"/>
      <c r="HHZ1" s="53"/>
      <c r="HIA1" s="53"/>
      <c r="HIB1" s="53"/>
      <c r="HIC1" s="53"/>
      <c r="HID1" s="53"/>
      <c r="HIE1" s="53"/>
      <c r="HIF1" s="53"/>
      <c r="HIG1" s="53"/>
      <c r="HIH1" s="53"/>
      <c r="HII1" s="53"/>
      <c r="HIJ1" s="53"/>
      <c r="HIK1" s="53"/>
      <c r="HIL1" s="53"/>
      <c r="HIM1" s="53"/>
      <c r="HIN1" s="53"/>
      <c r="HIO1" s="53"/>
      <c r="HIP1" s="53"/>
      <c r="HIQ1" s="53"/>
      <c r="HIR1" s="53"/>
      <c r="HIS1" s="53"/>
      <c r="HIT1" s="53"/>
      <c r="HIU1" s="53"/>
      <c r="HIV1" s="53"/>
      <c r="HIW1" s="53"/>
      <c r="HIX1" s="53"/>
      <c r="HIY1" s="53"/>
      <c r="HIZ1" s="53"/>
      <c r="HJA1" s="53"/>
      <c r="HJB1" s="53"/>
      <c r="HJC1" s="53"/>
      <c r="HJD1" s="53"/>
      <c r="HJE1" s="53"/>
      <c r="HJF1" s="53"/>
      <c r="HJG1" s="53"/>
      <c r="HJH1" s="53"/>
      <c r="HJI1" s="53"/>
      <c r="HJJ1" s="53"/>
      <c r="HJK1" s="53"/>
      <c r="HJL1" s="53"/>
      <c r="HJM1" s="53"/>
      <c r="HJN1" s="53"/>
      <c r="HJO1" s="53"/>
      <c r="HJP1" s="53"/>
      <c r="HJQ1" s="53"/>
      <c r="HJR1" s="53"/>
      <c r="HJS1" s="53"/>
      <c r="HJT1" s="53"/>
      <c r="HJU1" s="53"/>
      <c r="HJV1" s="53"/>
      <c r="HJW1" s="53"/>
      <c r="HJX1" s="53"/>
      <c r="HJY1" s="53"/>
      <c r="HJZ1" s="53"/>
      <c r="HKA1" s="53"/>
      <c r="HKB1" s="53"/>
      <c r="HKC1" s="53"/>
      <c r="HKD1" s="53"/>
      <c r="HKE1" s="53"/>
      <c r="HKF1" s="53"/>
      <c r="HKG1" s="53"/>
      <c r="HKH1" s="53"/>
      <c r="HKI1" s="53"/>
      <c r="HKJ1" s="53"/>
      <c r="HKK1" s="53"/>
      <c r="HKL1" s="53"/>
      <c r="HKM1" s="53"/>
      <c r="HKN1" s="53"/>
      <c r="HKO1" s="53"/>
      <c r="HKP1" s="53"/>
      <c r="HKQ1" s="53"/>
      <c r="HKR1" s="53"/>
      <c r="HKS1" s="53"/>
      <c r="HKT1" s="53"/>
      <c r="HKU1" s="53"/>
      <c r="HKV1" s="53"/>
      <c r="HKW1" s="53"/>
      <c r="HKX1" s="53"/>
      <c r="HKY1" s="53"/>
      <c r="HKZ1" s="53"/>
      <c r="HLA1" s="53"/>
      <c r="HLB1" s="53"/>
      <c r="HLC1" s="53"/>
      <c r="HLD1" s="53"/>
      <c r="HLE1" s="53"/>
      <c r="HLF1" s="53"/>
      <c r="HLG1" s="53"/>
      <c r="HLH1" s="53"/>
      <c r="HLI1" s="53"/>
      <c r="HLJ1" s="53"/>
      <c r="HLK1" s="53"/>
      <c r="HLL1" s="53"/>
      <c r="HLM1" s="53"/>
      <c r="HLN1" s="53"/>
      <c r="HLO1" s="53"/>
      <c r="HLP1" s="53"/>
      <c r="HLQ1" s="53"/>
      <c r="HLR1" s="53"/>
      <c r="HLS1" s="53"/>
      <c r="HLT1" s="53"/>
      <c r="HLU1" s="53"/>
      <c r="HLV1" s="53"/>
      <c r="HLW1" s="53"/>
      <c r="HLX1" s="53"/>
      <c r="HLY1" s="53"/>
      <c r="HLZ1" s="53"/>
      <c r="HMA1" s="53"/>
      <c r="HMB1" s="53"/>
      <c r="HMC1" s="53"/>
      <c r="HMD1" s="53"/>
      <c r="HME1" s="53"/>
      <c r="HMF1" s="53"/>
      <c r="HMG1" s="53"/>
      <c r="HMH1" s="53"/>
      <c r="HMI1" s="53"/>
      <c r="HMJ1" s="53"/>
      <c r="HMK1" s="53"/>
      <c r="HML1" s="53"/>
      <c r="HMM1" s="53"/>
      <c r="HMN1" s="53"/>
      <c r="HMO1" s="53"/>
      <c r="HMP1" s="53"/>
      <c r="HMQ1" s="53"/>
      <c r="HMR1" s="53"/>
      <c r="HMS1" s="53"/>
      <c r="HMT1" s="53"/>
      <c r="HMU1" s="53"/>
      <c r="HMV1" s="53"/>
      <c r="HMW1" s="53"/>
      <c r="HMX1" s="53"/>
      <c r="HMY1" s="53"/>
      <c r="HMZ1" s="53"/>
      <c r="HNA1" s="53"/>
      <c r="HNB1" s="53"/>
      <c r="HNC1" s="53"/>
      <c r="HND1" s="53"/>
      <c r="HNE1" s="53"/>
      <c r="HNF1" s="53"/>
      <c r="HNG1" s="53"/>
      <c r="HNH1" s="53"/>
      <c r="HNI1" s="53"/>
      <c r="HNJ1" s="53"/>
      <c r="HNK1" s="53"/>
      <c r="HNL1" s="53"/>
      <c r="HNM1" s="53"/>
      <c r="HNN1" s="53"/>
      <c r="HNO1" s="53"/>
      <c r="HNP1" s="53"/>
      <c r="HNQ1" s="53"/>
      <c r="HNR1" s="53"/>
      <c r="HNS1" s="53"/>
      <c r="HNT1" s="53"/>
      <c r="HNU1" s="53"/>
      <c r="HNV1" s="53"/>
      <c r="HNW1" s="53"/>
      <c r="HNX1" s="53"/>
      <c r="HNY1" s="53"/>
      <c r="HNZ1" s="53"/>
      <c r="HOA1" s="53"/>
      <c r="HOB1" s="53"/>
      <c r="HOC1" s="53"/>
      <c r="HOD1" s="53"/>
      <c r="HOE1" s="53"/>
      <c r="HOF1" s="53"/>
      <c r="HOG1" s="53"/>
      <c r="HOH1" s="53"/>
      <c r="HOI1" s="53"/>
      <c r="HOJ1" s="53"/>
      <c r="HOK1" s="53"/>
      <c r="HOL1" s="53"/>
      <c r="HOM1" s="53"/>
      <c r="HON1" s="53"/>
      <c r="HOO1" s="53"/>
      <c r="HOP1" s="53"/>
      <c r="HOQ1" s="53"/>
      <c r="HOR1" s="53"/>
      <c r="HOS1" s="53"/>
      <c r="HOT1" s="53"/>
      <c r="HOU1" s="53"/>
      <c r="HOV1" s="53"/>
      <c r="HOW1" s="53"/>
      <c r="HOX1" s="53"/>
      <c r="HOY1" s="53"/>
      <c r="HOZ1" s="53"/>
      <c r="HPA1" s="53"/>
      <c r="HPB1" s="53"/>
      <c r="HPC1" s="53"/>
      <c r="HPD1" s="53"/>
      <c r="HPE1" s="53"/>
      <c r="HPF1" s="53"/>
      <c r="HPG1" s="53"/>
      <c r="HPH1" s="53"/>
      <c r="HPI1" s="53"/>
      <c r="HPJ1" s="53"/>
      <c r="HPK1" s="53"/>
      <c r="HPL1" s="53"/>
      <c r="HPM1" s="53"/>
      <c r="HPN1" s="53"/>
      <c r="HPO1" s="53"/>
      <c r="HPP1" s="53"/>
      <c r="HPQ1" s="53"/>
      <c r="HPR1" s="53"/>
      <c r="HPS1" s="53"/>
      <c r="HPT1" s="53"/>
      <c r="HPU1" s="53"/>
      <c r="HPV1" s="53"/>
      <c r="HPW1" s="53"/>
      <c r="HPX1" s="53"/>
      <c r="HPY1" s="53"/>
      <c r="HPZ1" s="53"/>
      <c r="HQA1" s="53"/>
      <c r="HQB1" s="53"/>
      <c r="HQC1" s="53"/>
      <c r="HQD1" s="53"/>
      <c r="HQE1" s="53"/>
      <c r="HQF1" s="53"/>
      <c r="HQG1" s="53"/>
      <c r="HQH1" s="53"/>
      <c r="HQI1" s="53"/>
      <c r="HQJ1" s="53"/>
      <c r="HQK1" s="53"/>
      <c r="HQL1" s="53"/>
      <c r="HQM1" s="53"/>
      <c r="HQN1" s="53"/>
      <c r="HQO1" s="53"/>
      <c r="HQP1" s="53"/>
      <c r="HQQ1" s="53"/>
      <c r="HQR1" s="53"/>
      <c r="HQS1" s="53"/>
      <c r="HQT1" s="53"/>
      <c r="HQU1" s="53"/>
      <c r="HQV1" s="53"/>
      <c r="HQW1" s="53"/>
      <c r="HQX1" s="53"/>
      <c r="HQY1" s="53"/>
      <c r="HQZ1" s="53"/>
      <c r="HRA1" s="53"/>
      <c r="HRB1" s="53"/>
      <c r="HRC1" s="53"/>
      <c r="HRD1" s="53"/>
      <c r="HRE1" s="53"/>
      <c r="HRF1" s="53"/>
      <c r="HRG1" s="53"/>
      <c r="HRH1" s="53"/>
      <c r="HRI1" s="53"/>
      <c r="HRJ1" s="53"/>
      <c r="HRK1" s="53"/>
      <c r="HRL1" s="53"/>
      <c r="HRM1" s="53"/>
      <c r="HRN1" s="53"/>
      <c r="HRO1" s="53"/>
      <c r="HRP1" s="53"/>
      <c r="HRQ1" s="53"/>
      <c r="HRR1" s="53"/>
      <c r="HRS1" s="53"/>
      <c r="HRT1" s="53"/>
      <c r="HRU1" s="53"/>
      <c r="HRV1" s="53"/>
      <c r="HRW1" s="53"/>
      <c r="HRX1" s="53"/>
      <c r="HRY1" s="53"/>
      <c r="HRZ1" s="53"/>
      <c r="HSA1" s="53"/>
      <c r="HSB1" s="53"/>
      <c r="HSC1" s="53"/>
      <c r="HSD1" s="53"/>
      <c r="HSE1" s="53"/>
      <c r="HSF1" s="53"/>
      <c r="HSG1" s="53"/>
      <c r="HSH1" s="53"/>
      <c r="HSI1" s="53"/>
      <c r="HSJ1" s="53"/>
      <c r="HSK1" s="53"/>
      <c r="HSL1" s="53"/>
      <c r="HSM1" s="53"/>
      <c r="HSN1" s="53"/>
      <c r="HSO1" s="53"/>
      <c r="HSP1" s="53"/>
      <c r="HSQ1" s="53"/>
      <c r="HSR1" s="53"/>
      <c r="HSS1" s="53"/>
      <c r="HST1" s="53"/>
      <c r="HSU1" s="53"/>
      <c r="HSV1" s="53"/>
      <c r="HSW1" s="53"/>
      <c r="HSX1" s="53"/>
      <c r="HSY1" s="53"/>
      <c r="HSZ1" s="53"/>
      <c r="HTA1" s="53"/>
      <c r="HTB1" s="53"/>
      <c r="HTC1" s="53"/>
      <c r="HTD1" s="53"/>
      <c r="HTE1" s="53"/>
      <c r="HTF1" s="53"/>
      <c r="HTG1" s="53"/>
      <c r="HTH1" s="53"/>
      <c r="HTI1" s="53"/>
      <c r="HTJ1" s="53"/>
      <c r="HTK1" s="53"/>
      <c r="HTL1" s="53"/>
      <c r="HTM1" s="53"/>
      <c r="HTN1" s="53"/>
      <c r="HTO1" s="53"/>
      <c r="HTP1" s="53"/>
      <c r="HTQ1" s="53"/>
      <c r="HTR1" s="53"/>
      <c r="HTS1" s="53"/>
      <c r="HTT1" s="53"/>
      <c r="HTU1" s="53"/>
      <c r="HTV1" s="53"/>
      <c r="HTW1" s="53"/>
      <c r="HTX1" s="53"/>
      <c r="HTY1" s="53"/>
      <c r="HTZ1" s="53"/>
      <c r="HUA1" s="53"/>
      <c r="HUB1" s="53"/>
      <c r="HUC1" s="53"/>
      <c r="HUD1" s="53"/>
      <c r="HUE1" s="53"/>
      <c r="HUF1" s="53"/>
      <c r="HUG1" s="53"/>
      <c r="HUH1" s="53"/>
      <c r="HUI1" s="53"/>
      <c r="HUJ1" s="53"/>
      <c r="HUK1" s="53"/>
      <c r="HUL1" s="53"/>
      <c r="HUM1" s="53"/>
      <c r="HUN1" s="53"/>
      <c r="HUO1" s="53"/>
      <c r="HUP1" s="53"/>
      <c r="HUQ1" s="53"/>
      <c r="HUR1" s="53"/>
      <c r="HUS1" s="53"/>
      <c r="HUT1" s="53"/>
      <c r="HUU1" s="53"/>
      <c r="HUV1" s="53"/>
      <c r="HUW1" s="53"/>
      <c r="HUX1" s="53"/>
      <c r="HUY1" s="53"/>
      <c r="HUZ1" s="53"/>
      <c r="HVA1" s="53"/>
      <c r="HVB1" s="53"/>
      <c r="HVC1" s="53"/>
      <c r="HVD1" s="53"/>
      <c r="HVE1" s="53"/>
      <c r="HVF1" s="53"/>
      <c r="HVG1" s="53"/>
      <c r="HVH1" s="53"/>
      <c r="HVI1" s="53"/>
      <c r="HVJ1" s="53"/>
      <c r="HVK1" s="53"/>
      <c r="HVL1" s="53"/>
      <c r="HVM1" s="53"/>
      <c r="HVN1" s="53"/>
      <c r="HVO1" s="53"/>
      <c r="HVP1" s="53"/>
      <c r="HVQ1" s="53"/>
      <c r="HVR1" s="53"/>
      <c r="HVS1" s="53"/>
      <c r="HVT1" s="53"/>
      <c r="HVU1" s="53"/>
      <c r="HVV1" s="53"/>
      <c r="HVW1" s="53"/>
      <c r="HVX1" s="53"/>
      <c r="HVY1" s="53"/>
      <c r="HVZ1" s="53"/>
      <c r="HWA1" s="53"/>
      <c r="HWB1" s="53"/>
      <c r="HWC1" s="53"/>
      <c r="HWD1" s="53"/>
      <c r="HWE1" s="53"/>
      <c r="HWF1" s="53"/>
      <c r="HWG1" s="53"/>
      <c r="HWH1" s="53"/>
      <c r="HWI1" s="53"/>
      <c r="HWJ1" s="53"/>
      <c r="HWK1" s="53"/>
      <c r="HWL1" s="53"/>
      <c r="HWM1" s="53"/>
      <c r="HWN1" s="53"/>
      <c r="HWO1" s="53"/>
      <c r="HWP1" s="53"/>
      <c r="HWQ1" s="53"/>
      <c r="HWR1" s="53"/>
      <c r="HWS1" s="53"/>
      <c r="HWT1" s="53"/>
      <c r="HWU1" s="53"/>
      <c r="HWV1" s="53"/>
      <c r="HWW1" s="53"/>
      <c r="HWX1" s="53"/>
      <c r="HWY1" s="53"/>
      <c r="HWZ1" s="53"/>
      <c r="HXA1" s="53"/>
      <c r="HXB1" s="53"/>
      <c r="HXC1" s="53"/>
      <c r="HXD1" s="53"/>
      <c r="HXE1" s="53"/>
      <c r="HXF1" s="53"/>
      <c r="HXG1" s="53"/>
      <c r="HXH1" s="53"/>
      <c r="HXI1" s="53"/>
      <c r="HXJ1" s="53"/>
      <c r="HXK1" s="53"/>
      <c r="HXL1" s="53"/>
      <c r="HXM1" s="53"/>
      <c r="HXN1" s="53"/>
      <c r="HXO1" s="53"/>
      <c r="HXP1" s="53"/>
      <c r="HXQ1" s="53"/>
      <c r="HXR1" s="53"/>
      <c r="HXS1" s="53"/>
      <c r="HXT1" s="53"/>
      <c r="HXU1" s="53"/>
      <c r="HXV1" s="53"/>
      <c r="HXW1" s="53"/>
      <c r="HXX1" s="53"/>
      <c r="HXY1" s="53"/>
      <c r="HXZ1" s="53"/>
      <c r="HYA1" s="53"/>
      <c r="HYB1" s="53"/>
      <c r="HYC1" s="53"/>
      <c r="HYD1" s="53"/>
      <c r="HYE1" s="53"/>
      <c r="HYF1" s="53"/>
      <c r="HYG1" s="53"/>
      <c r="HYH1" s="53"/>
      <c r="HYI1" s="53"/>
      <c r="HYJ1" s="53"/>
      <c r="HYK1" s="53"/>
      <c r="HYL1" s="53"/>
      <c r="HYM1" s="53"/>
      <c r="HYN1" s="53"/>
      <c r="HYO1" s="53"/>
      <c r="HYP1" s="53"/>
      <c r="HYQ1" s="53"/>
      <c r="HYR1" s="53"/>
      <c r="HYS1" s="53"/>
      <c r="HYT1" s="53"/>
      <c r="HYU1" s="53"/>
      <c r="HYV1" s="53"/>
      <c r="HYW1" s="53"/>
      <c r="HYX1" s="53"/>
      <c r="HYY1" s="53"/>
      <c r="HYZ1" s="53"/>
      <c r="HZA1" s="53"/>
      <c r="HZB1" s="53"/>
      <c r="HZC1" s="53"/>
      <c r="HZD1" s="53"/>
      <c r="HZE1" s="53"/>
      <c r="HZF1" s="53"/>
      <c r="HZG1" s="53"/>
      <c r="HZH1" s="53"/>
      <c r="HZI1" s="53"/>
      <c r="HZJ1" s="53"/>
      <c r="HZK1" s="53"/>
      <c r="HZL1" s="53"/>
      <c r="HZM1" s="53"/>
      <c r="HZN1" s="53"/>
      <c r="HZO1" s="53"/>
      <c r="HZP1" s="53"/>
      <c r="HZQ1" s="53"/>
      <c r="HZR1" s="53"/>
      <c r="HZS1" s="53"/>
      <c r="HZT1" s="53"/>
      <c r="HZU1" s="53"/>
      <c r="HZV1" s="53"/>
      <c r="HZW1" s="53"/>
      <c r="HZX1" s="53"/>
      <c r="HZY1" s="53"/>
      <c r="HZZ1" s="53"/>
      <c r="IAA1" s="53"/>
      <c r="IAB1" s="53"/>
      <c r="IAC1" s="53"/>
      <c r="IAD1" s="53"/>
      <c r="IAE1" s="53"/>
      <c r="IAF1" s="53"/>
      <c r="IAG1" s="53"/>
      <c r="IAH1" s="53"/>
      <c r="IAI1" s="53"/>
      <c r="IAJ1" s="53"/>
      <c r="IAK1" s="53"/>
      <c r="IAL1" s="53"/>
      <c r="IAM1" s="53"/>
      <c r="IAN1" s="53"/>
      <c r="IAO1" s="53"/>
      <c r="IAP1" s="53"/>
      <c r="IAQ1" s="53"/>
      <c r="IAR1" s="53"/>
      <c r="IAS1" s="53"/>
      <c r="IAT1" s="53"/>
      <c r="IAU1" s="53"/>
      <c r="IAV1" s="53"/>
      <c r="IAW1" s="53"/>
      <c r="IAX1" s="53"/>
      <c r="IAY1" s="53"/>
      <c r="IAZ1" s="53"/>
      <c r="IBA1" s="53"/>
      <c r="IBB1" s="53"/>
      <c r="IBC1" s="53"/>
      <c r="IBD1" s="53"/>
      <c r="IBE1" s="53"/>
      <c r="IBF1" s="53"/>
      <c r="IBG1" s="53"/>
      <c r="IBH1" s="53"/>
      <c r="IBI1" s="53"/>
      <c r="IBJ1" s="53"/>
      <c r="IBK1" s="53"/>
      <c r="IBL1" s="53"/>
      <c r="IBM1" s="53"/>
      <c r="IBN1" s="53"/>
      <c r="IBO1" s="53"/>
      <c r="IBP1" s="53"/>
      <c r="IBQ1" s="53"/>
      <c r="IBR1" s="53"/>
      <c r="IBS1" s="53"/>
      <c r="IBT1" s="53"/>
      <c r="IBU1" s="53"/>
      <c r="IBV1" s="53"/>
      <c r="IBW1" s="53"/>
      <c r="IBX1" s="53"/>
      <c r="IBY1" s="53"/>
      <c r="IBZ1" s="53"/>
      <c r="ICA1" s="53"/>
      <c r="ICB1" s="53"/>
      <c r="ICC1" s="53"/>
      <c r="ICD1" s="53"/>
      <c r="ICE1" s="53"/>
      <c r="ICF1" s="53"/>
      <c r="ICG1" s="53"/>
      <c r="ICH1" s="53"/>
      <c r="ICI1" s="53"/>
      <c r="ICJ1" s="53"/>
      <c r="ICK1" s="53"/>
      <c r="ICL1" s="53"/>
      <c r="ICM1" s="53"/>
      <c r="ICN1" s="53"/>
      <c r="ICO1" s="53"/>
      <c r="ICP1" s="53"/>
      <c r="ICQ1" s="53"/>
      <c r="ICR1" s="53"/>
      <c r="ICS1" s="53"/>
      <c r="ICT1" s="53"/>
      <c r="ICU1" s="53"/>
      <c r="ICV1" s="53"/>
      <c r="ICW1" s="53"/>
      <c r="ICX1" s="53"/>
      <c r="ICY1" s="53"/>
      <c r="ICZ1" s="53"/>
      <c r="IDA1" s="53"/>
      <c r="IDB1" s="53"/>
      <c r="IDC1" s="53"/>
      <c r="IDD1" s="53"/>
      <c r="IDE1" s="53"/>
      <c r="IDF1" s="53"/>
      <c r="IDG1" s="53"/>
      <c r="IDH1" s="53"/>
      <c r="IDI1" s="53"/>
      <c r="IDJ1" s="53"/>
      <c r="IDK1" s="53"/>
      <c r="IDL1" s="53"/>
      <c r="IDM1" s="53"/>
      <c r="IDN1" s="53"/>
      <c r="IDO1" s="53"/>
      <c r="IDP1" s="53"/>
      <c r="IDQ1" s="53"/>
      <c r="IDR1" s="53"/>
      <c r="IDS1" s="53"/>
      <c r="IDT1" s="53"/>
      <c r="IDU1" s="53"/>
      <c r="IDV1" s="53"/>
      <c r="IDW1" s="53"/>
      <c r="IDX1" s="53"/>
      <c r="IDY1" s="53"/>
      <c r="IDZ1" s="53"/>
      <c r="IEA1" s="53"/>
      <c r="IEB1" s="53"/>
      <c r="IEC1" s="53"/>
      <c r="IED1" s="53"/>
      <c r="IEE1" s="53"/>
      <c r="IEF1" s="53"/>
      <c r="IEG1" s="53"/>
      <c r="IEH1" s="53"/>
      <c r="IEI1" s="53"/>
      <c r="IEJ1" s="53"/>
      <c r="IEK1" s="53"/>
      <c r="IEL1" s="53"/>
      <c r="IEM1" s="53"/>
      <c r="IEN1" s="53"/>
      <c r="IEO1" s="53"/>
      <c r="IEP1" s="53"/>
      <c r="IEQ1" s="53"/>
      <c r="IER1" s="53"/>
      <c r="IES1" s="53"/>
      <c r="IET1" s="53"/>
      <c r="IEU1" s="53"/>
      <c r="IEV1" s="53"/>
      <c r="IEW1" s="53"/>
      <c r="IEX1" s="53"/>
      <c r="IEY1" s="53"/>
      <c r="IEZ1" s="53"/>
      <c r="IFA1" s="53"/>
      <c r="IFB1" s="53"/>
      <c r="IFC1" s="53"/>
      <c r="IFD1" s="53"/>
      <c r="IFE1" s="53"/>
      <c r="IFF1" s="53"/>
      <c r="IFG1" s="53"/>
      <c r="IFH1" s="53"/>
      <c r="IFI1" s="53"/>
      <c r="IFJ1" s="53"/>
      <c r="IFK1" s="53"/>
      <c r="IFL1" s="53"/>
      <c r="IFM1" s="53"/>
      <c r="IFN1" s="53"/>
      <c r="IFO1" s="53"/>
      <c r="IFP1" s="53"/>
      <c r="IFQ1" s="53"/>
      <c r="IFR1" s="53"/>
      <c r="IFS1" s="53"/>
      <c r="IFT1" s="53"/>
      <c r="IFU1" s="53"/>
      <c r="IFV1" s="53"/>
      <c r="IFW1" s="53"/>
      <c r="IFX1" s="53"/>
      <c r="IFY1" s="53"/>
      <c r="IFZ1" s="53"/>
      <c r="IGA1" s="53"/>
      <c r="IGB1" s="53"/>
      <c r="IGC1" s="53"/>
      <c r="IGD1" s="53"/>
      <c r="IGE1" s="53"/>
      <c r="IGF1" s="53"/>
      <c r="IGG1" s="53"/>
      <c r="IGH1" s="53"/>
      <c r="IGI1" s="53"/>
      <c r="IGJ1" s="53"/>
      <c r="IGK1" s="53"/>
      <c r="IGL1" s="53"/>
      <c r="IGM1" s="53"/>
      <c r="IGN1" s="53"/>
      <c r="IGO1" s="53"/>
      <c r="IGP1" s="53"/>
      <c r="IGQ1" s="53"/>
      <c r="IGR1" s="53"/>
      <c r="IGS1" s="53"/>
      <c r="IGT1" s="53"/>
      <c r="IGU1" s="53"/>
      <c r="IGV1" s="53"/>
      <c r="IGW1" s="53"/>
      <c r="IGX1" s="53"/>
      <c r="IGY1" s="53"/>
      <c r="IGZ1" s="53"/>
      <c r="IHA1" s="53"/>
      <c r="IHB1" s="53"/>
      <c r="IHC1" s="53"/>
      <c r="IHD1" s="53"/>
      <c r="IHE1" s="53"/>
      <c r="IHF1" s="53"/>
      <c r="IHG1" s="53"/>
      <c r="IHH1" s="53"/>
      <c r="IHI1" s="53"/>
      <c r="IHJ1" s="53"/>
      <c r="IHK1" s="53"/>
      <c r="IHL1" s="53"/>
      <c r="IHM1" s="53"/>
      <c r="IHN1" s="53"/>
      <c r="IHO1" s="53"/>
      <c r="IHP1" s="53"/>
      <c r="IHQ1" s="53"/>
      <c r="IHR1" s="53"/>
      <c r="IHS1" s="53"/>
      <c r="IHT1" s="53"/>
      <c r="IHU1" s="53"/>
      <c r="IHV1" s="53"/>
      <c r="IHW1" s="53"/>
      <c r="IHX1" s="53"/>
      <c r="IHY1" s="53"/>
      <c r="IHZ1" s="53"/>
      <c r="IIA1" s="53"/>
      <c r="IIB1" s="53"/>
      <c r="IIC1" s="53"/>
      <c r="IID1" s="53"/>
      <c r="IIE1" s="53"/>
      <c r="IIF1" s="53"/>
      <c r="IIG1" s="53"/>
      <c r="IIH1" s="53"/>
      <c r="III1" s="53"/>
      <c r="IIJ1" s="53"/>
      <c r="IIK1" s="53"/>
      <c r="IIL1" s="53"/>
      <c r="IIM1" s="53"/>
      <c r="IIN1" s="53"/>
      <c r="IIO1" s="53"/>
      <c r="IIP1" s="53"/>
      <c r="IIQ1" s="53"/>
      <c r="IIR1" s="53"/>
      <c r="IIS1" s="53"/>
      <c r="IIT1" s="53"/>
      <c r="IIU1" s="53"/>
      <c r="IIV1" s="53"/>
      <c r="IIW1" s="53"/>
      <c r="IIX1" s="53"/>
      <c r="IIY1" s="53"/>
      <c r="IIZ1" s="53"/>
      <c r="IJA1" s="53"/>
      <c r="IJB1" s="53"/>
      <c r="IJC1" s="53"/>
      <c r="IJD1" s="53"/>
      <c r="IJE1" s="53"/>
      <c r="IJF1" s="53"/>
      <c r="IJG1" s="53"/>
      <c r="IJH1" s="53"/>
      <c r="IJI1" s="53"/>
      <c r="IJJ1" s="53"/>
      <c r="IJK1" s="53"/>
      <c r="IJL1" s="53"/>
      <c r="IJM1" s="53"/>
      <c r="IJN1" s="53"/>
      <c r="IJO1" s="53"/>
      <c r="IJP1" s="53"/>
      <c r="IJQ1" s="53"/>
      <c r="IJR1" s="53"/>
      <c r="IJS1" s="53"/>
      <c r="IJT1" s="53"/>
      <c r="IJU1" s="53"/>
      <c r="IJV1" s="53"/>
      <c r="IJW1" s="53"/>
      <c r="IJX1" s="53"/>
      <c r="IJY1" s="53"/>
      <c r="IJZ1" s="53"/>
      <c r="IKA1" s="53"/>
      <c r="IKB1" s="53"/>
      <c r="IKC1" s="53"/>
      <c r="IKD1" s="53"/>
      <c r="IKE1" s="53"/>
      <c r="IKF1" s="53"/>
      <c r="IKG1" s="53"/>
      <c r="IKH1" s="53"/>
      <c r="IKI1" s="53"/>
      <c r="IKJ1" s="53"/>
      <c r="IKK1" s="53"/>
      <c r="IKL1" s="53"/>
      <c r="IKM1" s="53"/>
      <c r="IKN1" s="53"/>
      <c r="IKO1" s="53"/>
      <c r="IKP1" s="53"/>
      <c r="IKQ1" s="53"/>
      <c r="IKR1" s="53"/>
      <c r="IKS1" s="53"/>
      <c r="IKT1" s="53"/>
      <c r="IKU1" s="53"/>
      <c r="IKV1" s="53"/>
      <c r="IKW1" s="53"/>
      <c r="IKX1" s="53"/>
      <c r="IKY1" s="53"/>
      <c r="IKZ1" s="53"/>
      <c r="ILA1" s="53"/>
      <c r="ILB1" s="53"/>
      <c r="ILC1" s="53"/>
      <c r="ILD1" s="53"/>
      <c r="ILE1" s="53"/>
      <c r="ILF1" s="53"/>
      <c r="ILG1" s="53"/>
      <c r="ILH1" s="53"/>
      <c r="ILI1" s="53"/>
      <c r="ILJ1" s="53"/>
      <c r="ILK1" s="53"/>
      <c r="ILL1" s="53"/>
      <c r="ILM1" s="53"/>
      <c r="ILN1" s="53"/>
      <c r="ILO1" s="53"/>
      <c r="ILP1" s="53"/>
      <c r="ILQ1" s="53"/>
      <c r="ILR1" s="53"/>
      <c r="ILS1" s="53"/>
      <c r="ILT1" s="53"/>
      <c r="ILU1" s="53"/>
      <c r="ILV1" s="53"/>
      <c r="ILW1" s="53"/>
      <c r="ILX1" s="53"/>
      <c r="ILY1" s="53"/>
      <c r="ILZ1" s="53"/>
      <c r="IMA1" s="53"/>
      <c r="IMB1" s="53"/>
      <c r="IMC1" s="53"/>
      <c r="IMD1" s="53"/>
      <c r="IME1" s="53"/>
      <c r="IMF1" s="53"/>
      <c r="IMG1" s="53"/>
      <c r="IMH1" s="53"/>
      <c r="IMI1" s="53"/>
      <c r="IMJ1" s="53"/>
      <c r="IMK1" s="53"/>
      <c r="IML1" s="53"/>
      <c r="IMM1" s="53"/>
      <c r="IMN1" s="53"/>
      <c r="IMO1" s="53"/>
      <c r="IMP1" s="53"/>
      <c r="IMQ1" s="53"/>
      <c r="IMR1" s="53"/>
      <c r="IMS1" s="53"/>
      <c r="IMT1" s="53"/>
      <c r="IMU1" s="53"/>
      <c r="IMV1" s="53"/>
      <c r="IMW1" s="53"/>
      <c r="IMX1" s="53"/>
      <c r="IMY1" s="53"/>
      <c r="IMZ1" s="53"/>
      <c r="INA1" s="53"/>
      <c r="INB1" s="53"/>
      <c r="INC1" s="53"/>
      <c r="IND1" s="53"/>
      <c r="INE1" s="53"/>
      <c r="INF1" s="53"/>
      <c r="ING1" s="53"/>
      <c r="INH1" s="53"/>
      <c r="INI1" s="53"/>
      <c r="INJ1" s="53"/>
      <c r="INK1" s="53"/>
      <c r="INL1" s="53"/>
      <c r="INM1" s="53"/>
      <c r="INN1" s="53"/>
      <c r="INO1" s="53"/>
      <c r="INP1" s="53"/>
      <c r="INQ1" s="53"/>
      <c r="INR1" s="53"/>
      <c r="INS1" s="53"/>
      <c r="INT1" s="53"/>
      <c r="INU1" s="53"/>
      <c r="INV1" s="53"/>
      <c r="INW1" s="53"/>
      <c r="INX1" s="53"/>
      <c r="INY1" s="53"/>
      <c r="INZ1" s="53"/>
      <c r="IOA1" s="53"/>
      <c r="IOB1" s="53"/>
      <c r="IOC1" s="53"/>
      <c r="IOD1" s="53"/>
      <c r="IOE1" s="53"/>
      <c r="IOF1" s="53"/>
      <c r="IOG1" s="53"/>
      <c r="IOH1" s="53"/>
      <c r="IOI1" s="53"/>
      <c r="IOJ1" s="53"/>
      <c r="IOK1" s="53"/>
      <c r="IOL1" s="53"/>
      <c r="IOM1" s="53"/>
      <c r="ION1" s="53"/>
      <c r="IOO1" s="53"/>
      <c r="IOP1" s="53"/>
      <c r="IOQ1" s="53"/>
      <c r="IOR1" s="53"/>
      <c r="IOS1" s="53"/>
      <c r="IOT1" s="53"/>
      <c r="IOU1" s="53"/>
      <c r="IOV1" s="53"/>
      <c r="IOW1" s="53"/>
      <c r="IOX1" s="53"/>
      <c r="IOY1" s="53"/>
      <c r="IOZ1" s="53"/>
      <c r="IPA1" s="53"/>
      <c r="IPB1" s="53"/>
      <c r="IPC1" s="53"/>
      <c r="IPD1" s="53"/>
      <c r="IPE1" s="53"/>
      <c r="IPF1" s="53"/>
      <c r="IPG1" s="53"/>
      <c r="IPH1" s="53"/>
      <c r="IPI1" s="53"/>
      <c r="IPJ1" s="53"/>
      <c r="IPK1" s="53"/>
      <c r="IPL1" s="53"/>
      <c r="IPM1" s="53"/>
      <c r="IPN1" s="53"/>
      <c r="IPO1" s="53"/>
      <c r="IPP1" s="53"/>
      <c r="IPQ1" s="53"/>
      <c r="IPR1" s="53"/>
      <c r="IPS1" s="53"/>
      <c r="IPT1" s="53"/>
      <c r="IPU1" s="53"/>
      <c r="IPV1" s="53"/>
      <c r="IPW1" s="53"/>
      <c r="IPX1" s="53"/>
      <c r="IPY1" s="53"/>
      <c r="IPZ1" s="53"/>
      <c r="IQA1" s="53"/>
      <c r="IQB1" s="53"/>
      <c r="IQC1" s="53"/>
      <c r="IQD1" s="53"/>
      <c r="IQE1" s="53"/>
      <c r="IQF1" s="53"/>
      <c r="IQG1" s="53"/>
      <c r="IQH1" s="53"/>
      <c r="IQI1" s="53"/>
      <c r="IQJ1" s="53"/>
      <c r="IQK1" s="53"/>
      <c r="IQL1" s="53"/>
      <c r="IQM1" s="53"/>
      <c r="IQN1" s="53"/>
      <c r="IQO1" s="53"/>
      <c r="IQP1" s="53"/>
      <c r="IQQ1" s="53"/>
      <c r="IQR1" s="53"/>
      <c r="IQS1" s="53"/>
      <c r="IQT1" s="53"/>
      <c r="IQU1" s="53"/>
      <c r="IQV1" s="53"/>
      <c r="IQW1" s="53"/>
      <c r="IQX1" s="53"/>
      <c r="IQY1" s="53"/>
      <c r="IQZ1" s="53"/>
      <c r="IRA1" s="53"/>
      <c r="IRB1" s="53"/>
      <c r="IRC1" s="53"/>
      <c r="IRD1" s="53"/>
      <c r="IRE1" s="53"/>
      <c r="IRF1" s="53"/>
      <c r="IRG1" s="53"/>
      <c r="IRH1" s="53"/>
      <c r="IRI1" s="53"/>
      <c r="IRJ1" s="53"/>
      <c r="IRK1" s="53"/>
      <c r="IRL1" s="53"/>
      <c r="IRM1" s="53"/>
      <c r="IRN1" s="53"/>
      <c r="IRO1" s="53"/>
      <c r="IRP1" s="53"/>
      <c r="IRQ1" s="53"/>
      <c r="IRR1" s="53"/>
      <c r="IRS1" s="53"/>
      <c r="IRT1" s="53"/>
      <c r="IRU1" s="53"/>
      <c r="IRV1" s="53"/>
      <c r="IRW1" s="53"/>
      <c r="IRX1" s="53"/>
      <c r="IRY1" s="53"/>
      <c r="IRZ1" s="53"/>
      <c r="ISA1" s="53"/>
      <c r="ISB1" s="53"/>
      <c r="ISC1" s="53"/>
      <c r="ISD1" s="53"/>
      <c r="ISE1" s="53"/>
      <c r="ISF1" s="53"/>
      <c r="ISG1" s="53"/>
      <c r="ISH1" s="53"/>
      <c r="ISI1" s="53"/>
      <c r="ISJ1" s="53"/>
      <c r="ISK1" s="53"/>
      <c r="ISL1" s="53"/>
      <c r="ISM1" s="53"/>
      <c r="ISN1" s="53"/>
      <c r="ISO1" s="53"/>
      <c r="ISP1" s="53"/>
      <c r="ISQ1" s="53"/>
      <c r="ISR1" s="53"/>
      <c r="ISS1" s="53"/>
      <c r="IST1" s="53"/>
      <c r="ISU1" s="53"/>
      <c r="ISV1" s="53"/>
      <c r="ISW1" s="53"/>
      <c r="ISX1" s="53"/>
      <c r="ISY1" s="53"/>
      <c r="ISZ1" s="53"/>
      <c r="ITA1" s="53"/>
      <c r="ITB1" s="53"/>
      <c r="ITC1" s="53"/>
      <c r="ITD1" s="53"/>
      <c r="ITE1" s="53"/>
      <c r="ITF1" s="53"/>
      <c r="ITG1" s="53"/>
      <c r="ITH1" s="53"/>
      <c r="ITI1" s="53"/>
      <c r="ITJ1" s="53"/>
      <c r="ITK1" s="53"/>
      <c r="ITL1" s="53"/>
      <c r="ITM1" s="53"/>
      <c r="ITN1" s="53"/>
      <c r="ITO1" s="53"/>
      <c r="ITP1" s="53"/>
      <c r="ITQ1" s="53"/>
      <c r="ITR1" s="53"/>
      <c r="ITS1" s="53"/>
      <c r="ITT1" s="53"/>
      <c r="ITU1" s="53"/>
      <c r="ITV1" s="53"/>
      <c r="ITW1" s="53"/>
      <c r="ITX1" s="53"/>
      <c r="ITY1" s="53"/>
      <c r="ITZ1" s="53"/>
      <c r="IUA1" s="53"/>
      <c r="IUB1" s="53"/>
      <c r="IUC1" s="53"/>
      <c r="IUD1" s="53"/>
      <c r="IUE1" s="53"/>
      <c r="IUF1" s="53"/>
      <c r="IUG1" s="53"/>
      <c r="IUH1" s="53"/>
      <c r="IUI1" s="53"/>
      <c r="IUJ1" s="53"/>
      <c r="IUK1" s="53"/>
      <c r="IUL1" s="53"/>
      <c r="IUM1" s="53"/>
      <c r="IUN1" s="53"/>
      <c r="IUO1" s="53"/>
      <c r="IUP1" s="53"/>
      <c r="IUQ1" s="53"/>
      <c r="IUR1" s="53"/>
      <c r="IUS1" s="53"/>
      <c r="IUT1" s="53"/>
      <c r="IUU1" s="53"/>
      <c r="IUV1" s="53"/>
      <c r="IUW1" s="53"/>
      <c r="IUX1" s="53"/>
      <c r="IUY1" s="53"/>
      <c r="IUZ1" s="53"/>
      <c r="IVA1" s="53"/>
      <c r="IVB1" s="53"/>
      <c r="IVC1" s="53"/>
      <c r="IVD1" s="53"/>
      <c r="IVE1" s="53"/>
      <c r="IVF1" s="53"/>
      <c r="IVG1" s="53"/>
      <c r="IVH1" s="53"/>
      <c r="IVI1" s="53"/>
      <c r="IVJ1" s="53"/>
      <c r="IVK1" s="53"/>
      <c r="IVL1" s="53"/>
      <c r="IVM1" s="53"/>
      <c r="IVN1" s="53"/>
      <c r="IVO1" s="53"/>
      <c r="IVP1" s="53"/>
      <c r="IVQ1" s="53"/>
      <c r="IVR1" s="53"/>
      <c r="IVS1" s="53"/>
      <c r="IVT1" s="53"/>
      <c r="IVU1" s="53"/>
      <c r="IVV1" s="53"/>
      <c r="IVW1" s="53"/>
      <c r="IVX1" s="53"/>
      <c r="IVY1" s="53"/>
      <c r="IVZ1" s="53"/>
      <c r="IWA1" s="53"/>
      <c r="IWB1" s="53"/>
      <c r="IWC1" s="53"/>
      <c r="IWD1" s="53"/>
      <c r="IWE1" s="53"/>
      <c r="IWF1" s="53"/>
      <c r="IWG1" s="53"/>
      <c r="IWH1" s="53"/>
      <c r="IWI1" s="53"/>
      <c r="IWJ1" s="53"/>
      <c r="IWK1" s="53"/>
      <c r="IWL1" s="53"/>
      <c r="IWM1" s="53"/>
      <c r="IWN1" s="53"/>
      <c r="IWO1" s="53"/>
      <c r="IWP1" s="53"/>
      <c r="IWQ1" s="53"/>
      <c r="IWR1" s="53"/>
      <c r="IWS1" s="53"/>
      <c r="IWT1" s="53"/>
      <c r="IWU1" s="53"/>
      <c r="IWV1" s="53"/>
      <c r="IWW1" s="53"/>
      <c r="IWX1" s="53"/>
      <c r="IWY1" s="53"/>
      <c r="IWZ1" s="53"/>
      <c r="IXA1" s="53"/>
      <c r="IXB1" s="53"/>
      <c r="IXC1" s="53"/>
      <c r="IXD1" s="53"/>
      <c r="IXE1" s="53"/>
      <c r="IXF1" s="53"/>
      <c r="IXG1" s="53"/>
      <c r="IXH1" s="53"/>
      <c r="IXI1" s="53"/>
      <c r="IXJ1" s="53"/>
      <c r="IXK1" s="53"/>
      <c r="IXL1" s="53"/>
      <c r="IXM1" s="53"/>
      <c r="IXN1" s="53"/>
      <c r="IXO1" s="53"/>
      <c r="IXP1" s="53"/>
      <c r="IXQ1" s="53"/>
      <c r="IXR1" s="53"/>
      <c r="IXS1" s="53"/>
      <c r="IXT1" s="53"/>
      <c r="IXU1" s="53"/>
      <c r="IXV1" s="53"/>
      <c r="IXW1" s="53"/>
      <c r="IXX1" s="53"/>
      <c r="IXY1" s="53"/>
      <c r="IXZ1" s="53"/>
      <c r="IYA1" s="53"/>
      <c r="IYB1" s="53"/>
      <c r="IYC1" s="53"/>
      <c r="IYD1" s="53"/>
      <c r="IYE1" s="53"/>
      <c r="IYF1" s="53"/>
      <c r="IYG1" s="53"/>
      <c r="IYH1" s="53"/>
      <c r="IYI1" s="53"/>
      <c r="IYJ1" s="53"/>
      <c r="IYK1" s="53"/>
      <c r="IYL1" s="53"/>
      <c r="IYM1" s="53"/>
      <c r="IYN1" s="53"/>
      <c r="IYO1" s="53"/>
      <c r="IYP1" s="53"/>
      <c r="IYQ1" s="53"/>
      <c r="IYR1" s="53"/>
      <c r="IYS1" s="53"/>
      <c r="IYT1" s="53"/>
      <c r="IYU1" s="53"/>
      <c r="IYV1" s="53"/>
      <c r="IYW1" s="53"/>
      <c r="IYX1" s="53"/>
      <c r="IYY1" s="53"/>
      <c r="IYZ1" s="53"/>
      <c r="IZA1" s="53"/>
      <c r="IZB1" s="53"/>
      <c r="IZC1" s="53"/>
      <c r="IZD1" s="53"/>
      <c r="IZE1" s="53"/>
      <c r="IZF1" s="53"/>
      <c r="IZG1" s="53"/>
      <c r="IZH1" s="53"/>
      <c r="IZI1" s="53"/>
      <c r="IZJ1" s="53"/>
      <c r="IZK1" s="53"/>
      <c r="IZL1" s="53"/>
      <c r="IZM1" s="53"/>
      <c r="IZN1" s="53"/>
      <c r="IZO1" s="53"/>
      <c r="IZP1" s="53"/>
      <c r="IZQ1" s="53"/>
      <c r="IZR1" s="53"/>
      <c r="IZS1" s="53"/>
      <c r="IZT1" s="53"/>
      <c r="IZU1" s="53"/>
      <c r="IZV1" s="53"/>
      <c r="IZW1" s="53"/>
      <c r="IZX1" s="53"/>
      <c r="IZY1" s="53"/>
      <c r="IZZ1" s="53"/>
      <c r="JAA1" s="53"/>
      <c r="JAB1" s="53"/>
      <c r="JAC1" s="53"/>
      <c r="JAD1" s="53"/>
      <c r="JAE1" s="53"/>
      <c r="JAF1" s="53"/>
      <c r="JAG1" s="53"/>
      <c r="JAH1" s="53"/>
      <c r="JAI1" s="53"/>
      <c r="JAJ1" s="53"/>
      <c r="JAK1" s="53"/>
      <c r="JAL1" s="53"/>
      <c r="JAM1" s="53"/>
      <c r="JAN1" s="53"/>
      <c r="JAO1" s="53"/>
      <c r="JAP1" s="53"/>
      <c r="JAQ1" s="53"/>
      <c r="JAR1" s="53"/>
      <c r="JAS1" s="53"/>
      <c r="JAT1" s="53"/>
      <c r="JAU1" s="53"/>
      <c r="JAV1" s="53"/>
      <c r="JAW1" s="53"/>
      <c r="JAX1" s="53"/>
      <c r="JAY1" s="53"/>
      <c r="JAZ1" s="53"/>
      <c r="JBA1" s="53"/>
      <c r="JBB1" s="53"/>
      <c r="JBC1" s="53"/>
      <c r="JBD1" s="53"/>
      <c r="JBE1" s="53"/>
      <c r="JBF1" s="53"/>
      <c r="JBG1" s="53"/>
      <c r="JBH1" s="53"/>
      <c r="JBI1" s="53"/>
      <c r="JBJ1" s="53"/>
      <c r="JBK1" s="53"/>
      <c r="JBL1" s="53"/>
      <c r="JBM1" s="53"/>
      <c r="JBN1" s="53"/>
      <c r="JBO1" s="53"/>
      <c r="JBP1" s="53"/>
      <c r="JBQ1" s="53"/>
      <c r="JBR1" s="53"/>
      <c r="JBS1" s="53"/>
      <c r="JBT1" s="53"/>
      <c r="JBU1" s="53"/>
      <c r="JBV1" s="53"/>
      <c r="JBW1" s="53"/>
      <c r="JBX1" s="53"/>
      <c r="JBY1" s="53"/>
      <c r="JBZ1" s="53"/>
      <c r="JCA1" s="53"/>
      <c r="JCB1" s="53"/>
      <c r="JCC1" s="53"/>
      <c r="JCD1" s="53"/>
      <c r="JCE1" s="53"/>
      <c r="JCF1" s="53"/>
      <c r="JCG1" s="53"/>
      <c r="JCH1" s="53"/>
      <c r="JCI1" s="53"/>
      <c r="JCJ1" s="53"/>
      <c r="JCK1" s="53"/>
      <c r="JCL1" s="53"/>
      <c r="JCM1" s="53"/>
      <c r="JCN1" s="53"/>
      <c r="JCO1" s="53"/>
      <c r="JCP1" s="53"/>
      <c r="JCQ1" s="53"/>
      <c r="JCR1" s="53"/>
      <c r="JCS1" s="53"/>
      <c r="JCT1" s="53"/>
      <c r="JCU1" s="53"/>
      <c r="JCV1" s="53"/>
      <c r="JCW1" s="53"/>
      <c r="JCX1" s="53"/>
      <c r="JCY1" s="53"/>
      <c r="JCZ1" s="53"/>
      <c r="JDA1" s="53"/>
      <c r="JDB1" s="53"/>
      <c r="JDC1" s="53"/>
      <c r="JDD1" s="53"/>
      <c r="JDE1" s="53"/>
      <c r="JDF1" s="53"/>
      <c r="JDG1" s="53"/>
      <c r="JDH1" s="53"/>
      <c r="JDI1" s="53"/>
      <c r="JDJ1" s="53"/>
      <c r="JDK1" s="53"/>
      <c r="JDL1" s="53"/>
      <c r="JDM1" s="53"/>
      <c r="JDN1" s="53"/>
      <c r="JDO1" s="53"/>
      <c r="JDP1" s="53"/>
      <c r="JDQ1" s="53"/>
      <c r="JDR1" s="53"/>
      <c r="JDS1" s="53"/>
      <c r="JDT1" s="53"/>
      <c r="JDU1" s="53"/>
      <c r="JDV1" s="53"/>
      <c r="JDW1" s="53"/>
      <c r="JDX1" s="53"/>
      <c r="JDY1" s="53"/>
      <c r="JDZ1" s="53"/>
      <c r="JEA1" s="53"/>
      <c r="JEB1" s="53"/>
      <c r="JEC1" s="53"/>
      <c r="JED1" s="53"/>
      <c r="JEE1" s="53"/>
      <c r="JEF1" s="53"/>
      <c r="JEG1" s="53"/>
      <c r="JEH1" s="53"/>
      <c r="JEI1" s="53"/>
      <c r="JEJ1" s="53"/>
      <c r="JEK1" s="53"/>
      <c r="JEL1" s="53"/>
      <c r="JEM1" s="53"/>
      <c r="JEN1" s="53"/>
      <c r="JEO1" s="53"/>
      <c r="JEP1" s="53"/>
      <c r="JEQ1" s="53"/>
      <c r="JER1" s="53"/>
      <c r="JES1" s="53"/>
      <c r="JET1" s="53"/>
      <c r="JEU1" s="53"/>
      <c r="JEV1" s="53"/>
      <c r="JEW1" s="53"/>
      <c r="JEX1" s="53"/>
      <c r="JEY1" s="53"/>
      <c r="JEZ1" s="53"/>
      <c r="JFA1" s="53"/>
      <c r="JFB1" s="53"/>
      <c r="JFC1" s="53"/>
      <c r="JFD1" s="53"/>
      <c r="JFE1" s="53"/>
      <c r="JFF1" s="53"/>
      <c r="JFG1" s="53"/>
      <c r="JFH1" s="53"/>
      <c r="JFI1" s="53"/>
      <c r="JFJ1" s="53"/>
      <c r="JFK1" s="53"/>
      <c r="JFL1" s="53"/>
      <c r="JFM1" s="53"/>
      <c r="JFN1" s="53"/>
      <c r="JFO1" s="53"/>
      <c r="JFP1" s="53"/>
      <c r="JFQ1" s="53"/>
      <c r="JFR1" s="53"/>
      <c r="JFS1" s="53"/>
      <c r="JFT1" s="53"/>
      <c r="JFU1" s="53"/>
      <c r="JFV1" s="53"/>
      <c r="JFW1" s="53"/>
      <c r="JFX1" s="53"/>
      <c r="JFY1" s="53"/>
      <c r="JFZ1" s="53"/>
      <c r="JGA1" s="53"/>
      <c r="JGB1" s="53"/>
      <c r="JGC1" s="53"/>
      <c r="JGD1" s="53"/>
      <c r="JGE1" s="53"/>
      <c r="JGF1" s="53"/>
      <c r="JGG1" s="53"/>
      <c r="JGH1" s="53"/>
      <c r="JGI1" s="53"/>
      <c r="JGJ1" s="53"/>
      <c r="JGK1" s="53"/>
      <c r="JGL1" s="53"/>
      <c r="JGM1" s="53"/>
      <c r="JGN1" s="53"/>
      <c r="JGO1" s="53"/>
      <c r="JGP1" s="53"/>
      <c r="JGQ1" s="53"/>
      <c r="JGR1" s="53"/>
      <c r="JGS1" s="53"/>
      <c r="JGT1" s="53"/>
      <c r="JGU1" s="53"/>
      <c r="JGV1" s="53"/>
      <c r="JGW1" s="53"/>
      <c r="JGX1" s="53"/>
      <c r="JGY1" s="53"/>
      <c r="JGZ1" s="53"/>
      <c r="JHA1" s="53"/>
      <c r="JHB1" s="53"/>
      <c r="JHC1" s="53"/>
      <c r="JHD1" s="53"/>
      <c r="JHE1" s="53"/>
      <c r="JHF1" s="53"/>
      <c r="JHG1" s="53"/>
      <c r="JHH1" s="53"/>
      <c r="JHI1" s="53"/>
      <c r="JHJ1" s="53"/>
      <c r="JHK1" s="53"/>
      <c r="JHL1" s="53"/>
      <c r="JHM1" s="53"/>
      <c r="JHN1" s="53"/>
      <c r="JHO1" s="53"/>
      <c r="JHP1" s="53"/>
      <c r="JHQ1" s="53"/>
      <c r="JHR1" s="53"/>
      <c r="JHS1" s="53"/>
      <c r="JHT1" s="53"/>
      <c r="JHU1" s="53"/>
      <c r="JHV1" s="53"/>
      <c r="JHW1" s="53"/>
      <c r="JHX1" s="53"/>
      <c r="JHY1" s="53"/>
      <c r="JHZ1" s="53"/>
      <c r="JIA1" s="53"/>
      <c r="JIB1" s="53"/>
      <c r="JIC1" s="53"/>
      <c r="JID1" s="53"/>
      <c r="JIE1" s="53"/>
      <c r="JIF1" s="53"/>
      <c r="JIG1" s="53"/>
      <c r="JIH1" s="53"/>
      <c r="JII1" s="53"/>
      <c r="JIJ1" s="53"/>
      <c r="JIK1" s="53"/>
      <c r="JIL1" s="53"/>
      <c r="JIM1" s="53"/>
      <c r="JIN1" s="53"/>
      <c r="JIO1" s="53"/>
      <c r="JIP1" s="53"/>
      <c r="JIQ1" s="53"/>
      <c r="JIR1" s="53"/>
      <c r="JIS1" s="53"/>
      <c r="JIT1" s="53"/>
      <c r="JIU1" s="53"/>
      <c r="JIV1" s="53"/>
      <c r="JIW1" s="53"/>
      <c r="JIX1" s="53"/>
      <c r="JIY1" s="53"/>
      <c r="JIZ1" s="53"/>
      <c r="JJA1" s="53"/>
      <c r="JJB1" s="53"/>
      <c r="JJC1" s="53"/>
      <c r="JJD1" s="53"/>
      <c r="JJE1" s="53"/>
      <c r="JJF1" s="53"/>
      <c r="JJG1" s="53"/>
      <c r="JJH1" s="53"/>
      <c r="JJI1" s="53"/>
      <c r="JJJ1" s="53"/>
      <c r="JJK1" s="53"/>
      <c r="JJL1" s="53"/>
      <c r="JJM1" s="53"/>
      <c r="JJN1" s="53"/>
      <c r="JJO1" s="53"/>
      <c r="JJP1" s="53"/>
      <c r="JJQ1" s="53"/>
      <c r="JJR1" s="53"/>
      <c r="JJS1" s="53"/>
      <c r="JJT1" s="53"/>
      <c r="JJU1" s="53"/>
      <c r="JJV1" s="53"/>
      <c r="JJW1" s="53"/>
      <c r="JJX1" s="53"/>
      <c r="JJY1" s="53"/>
      <c r="JJZ1" s="53"/>
      <c r="JKA1" s="53"/>
      <c r="JKB1" s="53"/>
      <c r="JKC1" s="53"/>
      <c r="JKD1" s="53"/>
      <c r="JKE1" s="53"/>
      <c r="JKF1" s="53"/>
      <c r="JKG1" s="53"/>
      <c r="JKH1" s="53"/>
      <c r="JKI1" s="53"/>
      <c r="JKJ1" s="53"/>
      <c r="JKK1" s="53"/>
      <c r="JKL1" s="53"/>
      <c r="JKM1" s="53"/>
      <c r="JKN1" s="53"/>
      <c r="JKO1" s="53"/>
      <c r="JKP1" s="53"/>
      <c r="JKQ1" s="53"/>
      <c r="JKR1" s="53"/>
      <c r="JKS1" s="53"/>
      <c r="JKT1" s="53"/>
      <c r="JKU1" s="53"/>
      <c r="JKV1" s="53"/>
      <c r="JKW1" s="53"/>
      <c r="JKX1" s="53"/>
      <c r="JKY1" s="53"/>
      <c r="JKZ1" s="53"/>
      <c r="JLA1" s="53"/>
      <c r="JLB1" s="53"/>
      <c r="JLC1" s="53"/>
      <c r="JLD1" s="53"/>
      <c r="JLE1" s="53"/>
      <c r="JLF1" s="53"/>
      <c r="JLG1" s="53"/>
      <c r="JLH1" s="53"/>
      <c r="JLI1" s="53"/>
      <c r="JLJ1" s="53"/>
      <c r="JLK1" s="53"/>
      <c r="JLL1" s="53"/>
      <c r="JLM1" s="53"/>
      <c r="JLN1" s="53"/>
      <c r="JLO1" s="53"/>
      <c r="JLP1" s="53"/>
      <c r="JLQ1" s="53"/>
      <c r="JLR1" s="53"/>
      <c r="JLS1" s="53"/>
      <c r="JLT1" s="53"/>
      <c r="JLU1" s="53"/>
      <c r="JLV1" s="53"/>
      <c r="JLW1" s="53"/>
      <c r="JLX1" s="53"/>
      <c r="JLY1" s="53"/>
      <c r="JLZ1" s="53"/>
      <c r="JMA1" s="53"/>
      <c r="JMB1" s="53"/>
      <c r="JMC1" s="53"/>
      <c r="JMD1" s="53"/>
      <c r="JME1" s="53"/>
      <c r="JMF1" s="53"/>
      <c r="JMG1" s="53"/>
      <c r="JMH1" s="53"/>
      <c r="JMI1" s="53"/>
      <c r="JMJ1" s="53"/>
      <c r="JMK1" s="53"/>
      <c r="JML1" s="53"/>
      <c r="JMM1" s="53"/>
      <c r="JMN1" s="53"/>
      <c r="JMO1" s="53"/>
      <c r="JMP1" s="53"/>
      <c r="JMQ1" s="53"/>
      <c r="JMR1" s="53"/>
      <c r="JMS1" s="53"/>
      <c r="JMT1" s="53"/>
      <c r="JMU1" s="53"/>
      <c r="JMV1" s="53"/>
      <c r="JMW1" s="53"/>
      <c r="JMX1" s="53"/>
      <c r="JMY1" s="53"/>
      <c r="JMZ1" s="53"/>
      <c r="JNA1" s="53"/>
      <c r="JNB1" s="53"/>
      <c r="JNC1" s="53"/>
      <c r="JND1" s="53"/>
      <c r="JNE1" s="53"/>
      <c r="JNF1" s="53"/>
      <c r="JNG1" s="53"/>
      <c r="JNH1" s="53"/>
      <c r="JNI1" s="53"/>
      <c r="JNJ1" s="53"/>
      <c r="JNK1" s="53"/>
      <c r="JNL1" s="53"/>
      <c r="JNM1" s="53"/>
      <c r="JNN1" s="53"/>
      <c r="JNO1" s="53"/>
      <c r="JNP1" s="53"/>
      <c r="JNQ1" s="53"/>
      <c r="JNR1" s="53"/>
      <c r="JNS1" s="53"/>
      <c r="JNT1" s="53"/>
      <c r="JNU1" s="53"/>
      <c r="JNV1" s="53"/>
      <c r="JNW1" s="53"/>
      <c r="JNX1" s="53"/>
      <c r="JNY1" s="53"/>
      <c r="JNZ1" s="53"/>
      <c r="JOA1" s="53"/>
      <c r="JOB1" s="53"/>
      <c r="JOC1" s="53"/>
      <c r="JOD1" s="53"/>
      <c r="JOE1" s="53"/>
      <c r="JOF1" s="53"/>
      <c r="JOG1" s="53"/>
      <c r="JOH1" s="53"/>
      <c r="JOI1" s="53"/>
      <c r="JOJ1" s="53"/>
      <c r="JOK1" s="53"/>
      <c r="JOL1" s="53"/>
      <c r="JOM1" s="53"/>
      <c r="JON1" s="53"/>
      <c r="JOO1" s="53"/>
      <c r="JOP1" s="53"/>
      <c r="JOQ1" s="53"/>
      <c r="JOR1" s="53"/>
      <c r="JOS1" s="53"/>
      <c r="JOT1" s="53"/>
      <c r="JOU1" s="53"/>
      <c r="JOV1" s="53"/>
      <c r="JOW1" s="53"/>
      <c r="JOX1" s="53"/>
      <c r="JOY1" s="53"/>
      <c r="JOZ1" s="53"/>
      <c r="JPA1" s="53"/>
      <c r="JPB1" s="53"/>
      <c r="JPC1" s="53"/>
      <c r="JPD1" s="53"/>
      <c r="JPE1" s="53"/>
      <c r="JPF1" s="53"/>
      <c r="JPG1" s="53"/>
      <c r="JPH1" s="53"/>
      <c r="JPI1" s="53"/>
      <c r="JPJ1" s="53"/>
      <c r="JPK1" s="53"/>
      <c r="JPL1" s="53"/>
      <c r="JPM1" s="53"/>
      <c r="JPN1" s="53"/>
      <c r="JPO1" s="53"/>
      <c r="JPP1" s="53"/>
      <c r="JPQ1" s="53"/>
      <c r="JPR1" s="53"/>
      <c r="JPS1" s="53"/>
      <c r="JPT1" s="53"/>
      <c r="JPU1" s="53"/>
      <c r="JPV1" s="53"/>
      <c r="JPW1" s="53"/>
      <c r="JPX1" s="53"/>
      <c r="JPY1" s="53"/>
      <c r="JPZ1" s="53"/>
      <c r="JQA1" s="53"/>
      <c r="JQB1" s="53"/>
      <c r="JQC1" s="53"/>
      <c r="JQD1" s="53"/>
      <c r="JQE1" s="53"/>
      <c r="JQF1" s="53"/>
      <c r="JQG1" s="53"/>
      <c r="JQH1" s="53"/>
      <c r="JQI1" s="53"/>
      <c r="JQJ1" s="53"/>
      <c r="JQK1" s="53"/>
      <c r="JQL1" s="53"/>
      <c r="JQM1" s="53"/>
      <c r="JQN1" s="53"/>
      <c r="JQO1" s="53"/>
      <c r="JQP1" s="53"/>
      <c r="JQQ1" s="53"/>
      <c r="JQR1" s="53"/>
      <c r="JQS1" s="53"/>
      <c r="JQT1" s="53"/>
      <c r="JQU1" s="53"/>
      <c r="JQV1" s="53"/>
      <c r="JQW1" s="53"/>
      <c r="JQX1" s="53"/>
      <c r="JQY1" s="53"/>
      <c r="JQZ1" s="53"/>
      <c r="JRA1" s="53"/>
      <c r="JRB1" s="53"/>
      <c r="JRC1" s="53"/>
      <c r="JRD1" s="53"/>
      <c r="JRE1" s="53"/>
      <c r="JRF1" s="53"/>
      <c r="JRG1" s="53"/>
      <c r="JRH1" s="53"/>
      <c r="JRI1" s="53"/>
      <c r="JRJ1" s="53"/>
      <c r="JRK1" s="53"/>
      <c r="JRL1" s="53"/>
      <c r="JRM1" s="53"/>
      <c r="JRN1" s="53"/>
      <c r="JRO1" s="53"/>
      <c r="JRP1" s="53"/>
      <c r="JRQ1" s="53"/>
      <c r="JRR1" s="53"/>
      <c r="JRS1" s="53"/>
      <c r="JRT1" s="53"/>
      <c r="JRU1" s="53"/>
      <c r="JRV1" s="53"/>
      <c r="JRW1" s="53"/>
      <c r="JRX1" s="53"/>
      <c r="JRY1" s="53"/>
      <c r="JRZ1" s="53"/>
      <c r="JSA1" s="53"/>
      <c r="JSB1" s="53"/>
      <c r="JSC1" s="53"/>
      <c r="JSD1" s="53"/>
      <c r="JSE1" s="53"/>
      <c r="JSF1" s="53"/>
      <c r="JSG1" s="53"/>
      <c r="JSH1" s="53"/>
      <c r="JSI1" s="53"/>
      <c r="JSJ1" s="53"/>
      <c r="JSK1" s="53"/>
      <c r="JSL1" s="53"/>
      <c r="JSM1" s="53"/>
      <c r="JSN1" s="53"/>
      <c r="JSO1" s="53"/>
      <c r="JSP1" s="53"/>
      <c r="JSQ1" s="53"/>
      <c r="JSR1" s="53"/>
      <c r="JSS1" s="53"/>
      <c r="JST1" s="53"/>
      <c r="JSU1" s="53"/>
      <c r="JSV1" s="53"/>
      <c r="JSW1" s="53"/>
      <c r="JSX1" s="53"/>
      <c r="JSY1" s="53"/>
      <c r="JSZ1" s="53"/>
      <c r="JTA1" s="53"/>
      <c r="JTB1" s="53"/>
      <c r="JTC1" s="53"/>
      <c r="JTD1" s="53"/>
      <c r="JTE1" s="53"/>
      <c r="JTF1" s="53"/>
      <c r="JTG1" s="53"/>
      <c r="JTH1" s="53"/>
      <c r="JTI1" s="53"/>
      <c r="JTJ1" s="53"/>
      <c r="JTK1" s="53"/>
      <c r="JTL1" s="53"/>
      <c r="JTM1" s="53"/>
      <c r="JTN1" s="53"/>
      <c r="JTO1" s="53"/>
      <c r="JTP1" s="53"/>
      <c r="JTQ1" s="53"/>
      <c r="JTR1" s="53"/>
      <c r="JTS1" s="53"/>
      <c r="JTT1" s="53"/>
      <c r="JTU1" s="53"/>
      <c r="JTV1" s="53"/>
      <c r="JTW1" s="53"/>
      <c r="JTX1" s="53"/>
      <c r="JTY1" s="53"/>
      <c r="JTZ1" s="53"/>
      <c r="JUA1" s="53"/>
      <c r="JUB1" s="53"/>
      <c r="JUC1" s="53"/>
      <c r="JUD1" s="53"/>
      <c r="JUE1" s="53"/>
      <c r="JUF1" s="53"/>
      <c r="JUG1" s="53"/>
      <c r="JUH1" s="53"/>
      <c r="JUI1" s="53"/>
      <c r="JUJ1" s="53"/>
      <c r="JUK1" s="53"/>
      <c r="JUL1" s="53"/>
      <c r="JUM1" s="53"/>
      <c r="JUN1" s="53"/>
      <c r="JUO1" s="53"/>
      <c r="JUP1" s="53"/>
      <c r="JUQ1" s="53"/>
      <c r="JUR1" s="53"/>
      <c r="JUS1" s="53"/>
      <c r="JUT1" s="53"/>
      <c r="JUU1" s="53"/>
      <c r="JUV1" s="53"/>
      <c r="JUW1" s="53"/>
      <c r="JUX1" s="53"/>
      <c r="JUY1" s="53"/>
      <c r="JUZ1" s="53"/>
      <c r="JVA1" s="53"/>
      <c r="JVB1" s="53"/>
      <c r="JVC1" s="53"/>
      <c r="JVD1" s="53"/>
      <c r="JVE1" s="53"/>
      <c r="JVF1" s="53"/>
      <c r="JVG1" s="53"/>
      <c r="JVH1" s="53"/>
      <c r="JVI1" s="53"/>
      <c r="JVJ1" s="53"/>
      <c r="JVK1" s="53"/>
      <c r="JVL1" s="53"/>
      <c r="JVM1" s="53"/>
      <c r="JVN1" s="53"/>
      <c r="JVO1" s="53"/>
      <c r="JVP1" s="53"/>
      <c r="JVQ1" s="53"/>
      <c r="JVR1" s="53"/>
      <c r="JVS1" s="53"/>
      <c r="JVT1" s="53"/>
      <c r="JVU1" s="53"/>
      <c r="JVV1" s="53"/>
      <c r="JVW1" s="53"/>
      <c r="JVX1" s="53"/>
      <c r="JVY1" s="53"/>
      <c r="JVZ1" s="53"/>
      <c r="JWA1" s="53"/>
      <c r="JWB1" s="53"/>
      <c r="JWC1" s="53"/>
      <c r="JWD1" s="53"/>
      <c r="JWE1" s="53"/>
      <c r="JWF1" s="53"/>
      <c r="JWG1" s="53"/>
      <c r="JWH1" s="53"/>
      <c r="JWI1" s="53"/>
      <c r="JWJ1" s="53"/>
      <c r="JWK1" s="53"/>
      <c r="JWL1" s="53"/>
      <c r="JWM1" s="53"/>
      <c r="JWN1" s="53"/>
      <c r="JWO1" s="53"/>
      <c r="JWP1" s="53"/>
      <c r="JWQ1" s="53"/>
      <c r="JWR1" s="53"/>
      <c r="JWS1" s="53"/>
      <c r="JWT1" s="53"/>
      <c r="JWU1" s="53"/>
      <c r="JWV1" s="53"/>
      <c r="JWW1" s="53"/>
      <c r="JWX1" s="53"/>
      <c r="JWY1" s="53"/>
      <c r="JWZ1" s="53"/>
      <c r="JXA1" s="53"/>
      <c r="JXB1" s="53"/>
      <c r="JXC1" s="53"/>
      <c r="JXD1" s="53"/>
      <c r="JXE1" s="53"/>
      <c r="JXF1" s="53"/>
      <c r="JXG1" s="53"/>
      <c r="JXH1" s="53"/>
      <c r="JXI1" s="53"/>
      <c r="JXJ1" s="53"/>
      <c r="JXK1" s="53"/>
      <c r="JXL1" s="53"/>
      <c r="JXM1" s="53"/>
      <c r="JXN1" s="53"/>
      <c r="JXO1" s="53"/>
      <c r="JXP1" s="53"/>
      <c r="JXQ1" s="53"/>
      <c r="JXR1" s="53"/>
      <c r="JXS1" s="53"/>
      <c r="JXT1" s="53"/>
      <c r="JXU1" s="53"/>
      <c r="JXV1" s="53"/>
      <c r="JXW1" s="53"/>
      <c r="JXX1" s="53"/>
      <c r="JXY1" s="53"/>
      <c r="JXZ1" s="53"/>
      <c r="JYA1" s="53"/>
      <c r="JYB1" s="53"/>
      <c r="JYC1" s="53"/>
      <c r="JYD1" s="53"/>
      <c r="JYE1" s="53"/>
      <c r="JYF1" s="53"/>
      <c r="JYG1" s="53"/>
      <c r="JYH1" s="53"/>
      <c r="JYI1" s="53"/>
      <c r="JYJ1" s="53"/>
      <c r="JYK1" s="53"/>
      <c r="JYL1" s="53"/>
      <c r="JYM1" s="53"/>
      <c r="JYN1" s="53"/>
      <c r="JYO1" s="53"/>
      <c r="JYP1" s="53"/>
      <c r="JYQ1" s="53"/>
      <c r="JYR1" s="53"/>
      <c r="JYS1" s="53"/>
      <c r="JYT1" s="53"/>
      <c r="JYU1" s="53"/>
      <c r="JYV1" s="53"/>
      <c r="JYW1" s="53"/>
      <c r="JYX1" s="53"/>
      <c r="JYY1" s="53"/>
      <c r="JYZ1" s="53"/>
      <c r="JZA1" s="53"/>
      <c r="JZB1" s="53"/>
      <c r="JZC1" s="53"/>
      <c r="JZD1" s="53"/>
      <c r="JZE1" s="53"/>
      <c r="JZF1" s="53"/>
      <c r="JZG1" s="53"/>
      <c r="JZH1" s="53"/>
      <c r="JZI1" s="53"/>
      <c r="JZJ1" s="53"/>
      <c r="JZK1" s="53"/>
      <c r="JZL1" s="53"/>
      <c r="JZM1" s="53"/>
      <c r="JZN1" s="53"/>
      <c r="JZO1" s="53"/>
      <c r="JZP1" s="53"/>
      <c r="JZQ1" s="53"/>
      <c r="JZR1" s="53"/>
      <c r="JZS1" s="53"/>
      <c r="JZT1" s="53"/>
      <c r="JZU1" s="53"/>
      <c r="JZV1" s="53"/>
      <c r="JZW1" s="53"/>
      <c r="JZX1" s="53"/>
      <c r="JZY1" s="53"/>
      <c r="JZZ1" s="53"/>
      <c r="KAA1" s="53"/>
      <c r="KAB1" s="53"/>
      <c r="KAC1" s="53"/>
      <c r="KAD1" s="53"/>
      <c r="KAE1" s="53"/>
      <c r="KAF1" s="53"/>
      <c r="KAG1" s="53"/>
      <c r="KAH1" s="53"/>
      <c r="KAI1" s="53"/>
      <c r="KAJ1" s="53"/>
      <c r="KAK1" s="53"/>
      <c r="KAL1" s="53"/>
      <c r="KAM1" s="53"/>
      <c r="KAN1" s="53"/>
      <c r="KAO1" s="53"/>
      <c r="KAP1" s="53"/>
      <c r="KAQ1" s="53"/>
      <c r="KAR1" s="53"/>
      <c r="KAS1" s="53"/>
      <c r="KAT1" s="53"/>
      <c r="KAU1" s="53"/>
      <c r="KAV1" s="53"/>
      <c r="KAW1" s="53"/>
      <c r="KAX1" s="53"/>
      <c r="KAY1" s="53"/>
      <c r="KAZ1" s="53"/>
      <c r="KBA1" s="53"/>
      <c r="KBB1" s="53"/>
      <c r="KBC1" s="53"/>
      <c r="KBD1" s="53"/>
      <c r="KBE1" s="53"/>
      <c r="KBF1" s="53"/>
      <c r="KBG1" s="53"/>
      <c r="KBH1" s="53"/>
      <c r="KBI1" s="53"/>
      <c r="KBJ1" s="53"/>
      <c r="KBK1" s="53"/>
      <c r="KBL1" s="53"/>
      <c r="KBM1" s="53"/>
      <c r="KBN1" s="53"/>
      <c r="KBO1" s="53"/>
      <c r="KBP1" s="53"/>
      <c r="KBQ1" s="53"/>
      <c r="KBR1" s="53"/>
      <c r="KBS1" s="53"/>
      <c r="KBT1" s="53"/>
      <c r="KBU1" s="53"/>
      <c r="KBV1" s="53"/>
      <c r="KBW1" s="53"/>
      <c r="KBX1" s="53"/>
      <c r="KBY1" s="53"/>
      <c r="KBZ1" s="53"/>
      <c r="KCA1" s="53"/>
      <c r="KCB1" s="53"/>
      <c r="KCC1" s="53"/>
      <c r="KCD1" s="53"/>
      <c r="KCE1" s="53"/>
      <c r="KCF1" s="53"/>
      <c r="KCG1" s="53"/>
      <c r="KCH1" s="53"/>
      <c r="KCI1" s="53"/>
      <c r="KCJ1" s="53"/>
      <c r="KCK1" s="53"/>
      <c r="KCL1" s="53"/>
      <c r="KCM1" s="53"/>
      <c r="KCN1" s="53"/>
      <c r="KCO1" s="53"/>
      <c r="KCP1" s="53"/>
      <c r="KCQ1" s="53"/>
      <c r="KCR1" s="53"/>
      <c r="KCS1" s="53"/>
      <c r="KCT1" s="53"/>
      <c r="KCU1" s="53"/>
      <c r="KCV1" s="53"/>
      <c r="KCW1" s="53"/>
      <c r="KCX1" s="53"/>
      <c r="KCY1" s="53"/>
      <c r="KCZ1" s="53"/>
      <c r="KDA1" s="53"/>
      <c r="KDB1" s="53"/>
      <c r="KDC1" s="53"/>
      <c r="KDD1" s="53"/>
      <c r="KDE1" s="53"/>
      <c r="KDF1" s="53"/>
      <c r="KDG1" s="53"/>
      <c r="KDH1" s="53"/>
      <c r="KDI1" s="53"/>
      <c r="KDJ1" s="53"/>
      <c r="KDK1" s="53"/>
      <c r="KDL1" s="53"/>
      <c r="KDM1" s="53"/>
      <c r="KDN1" s="53"/>
      <c r="KDO1" s="53"/>
      <c r="KDP1" s="53"/>
      <c r="KDQ1" s="53"/>
      <c r="KDR1" s="53"/>
      <c r="KDS1" s="53"/>
      <c r="KDT1" s="53"/>
      <c r="KDU1" s="53"/>
      <c r="KDV1" s="53"/>
      <c r="KDW1" s="53"/>
      <c r="KDX1" s="53"/>
      <c r="KDY1" s="53"/>
      <c r="KDZ1" s="53"/>
      <c r="KEA1" s="53"/>
      <c r="KEB1" s="53"/>
      <c r="KEC1" s="53"/>
      <c r="KED1" s="53"/>
      <c r="KEE1" s="53"/>
      <c r="KEF1" s="53"/>
      <c r="KEG1" s="53"/>
      <c r="KEH1" s="53"/>
      <c r="KEI1" s="53"/>
      <c r="KEJ1" s="53"/>
      <c r="KEK1" s="53"/>
      <c r="KEL1" s="53"/>
      <c r="KEM1" s="53"/>
      <c r="KEN1" s="53"/>
      <c r="KEO1" s="53"/>
      <c r="KEP1" s="53"/>
      <c r="KEQ1" s="53"/>
      <c r="KER1" s="53"/>
      <c r="KES1" s="53"/>
      <c r="KET1" s="53"/>
      <c r="KEU1" s="53"/>
      <c r="KEV1" s="53"/>
      <c r="KEW1" s="53"/>
      <c r="KEX1" s="53"/>
      <c r="KEY1" s="53"/>
      <c r="KEZ1" s="53"/>
      <c r="KFA1" s="53"/>
      <c r="KFB1" s="53"/>
      <c r="KFC1" s="53"/>
      <c r="KFD1" s="53"/>
      <c r="KFE1" s="53"/>
      <c r="KFF1" s="53"/>
      <c r="KFG1" s="53"/>
      <c r="KFH1" s="53"/>
      <c r="KFI1" s="53"/>
      <c r="KFJ1" s="53"/>
      <c r="KFK1" s="53"/>
      <c r="KFL1" s="53"/>
      <c r="KFM1" s="53"/>
      <c r="KFN1" s="53"/>
      <c r="KFO1" s="53"/>
      <c r="KFP1" s="53"/>
      <c r="KFQ1" s="53"/>
      <c r="KFR1" s="53"/>
      <c r="KFS1" s="53"/>
      <c r="KFT1" s="53"/>
      <c r="KFU1" s="53"/>
      <c r="KFV1" s="53"/>
      <c r="KFW1" s="53"/>
      <c r="KFX1" s="53"/>
      <c r="KFY1" s="53"/>
      <c r="KFZ1" s="53"/>
      <c r="KGA1" s="53"/>
      <c r="KGB1" s="53"/>
      <c r="KGC1" s="53"/>
      <c r="KGD1" s="53"/>
      <c r="KGE1" s="53"/>
      <c r="KGF1" s="53"/>
      <c r="KGG1" s="53"/>
      <c r="KGH1" s="53"/>
      <c r="KGI1" s="53"/>
      <c r="KGJ1" s="53"/>
      <c r="KGK1" s="53"/>
      <c r="KGL1" s="53"/>
      <c r="KGM1" s="53"/>
      <c r="KGN1" s="53"/>
      <c r="KGO1" s="53"/>
      <c r="KGP1" s="53"/>
      <c r="KGQ1" s="53"/>
      <c r="KGR1" s="53"/>
      <c r="KGS1" s="53"/>
      <c r="KGT1" s="53"/>
      <c r="KGU1" s="53"/>
      <c r="KGV1" s="53"/>
      <c r="KGW1" s="53"/>
      <c r="KGX1" s="53"/>
      <c r="KGY1" s="53"/>
      <c r="KGZ1" s="53"/>
      <c r="KHA1" s="53"/>
      <c r="KHB1" s="53"/>
      <c r="KHC1" s="53"/>
      <c r="KHD1" s="53"/>
      <c r="KHE1" s="53"/>
      <c r="KHF1" s="53"/>
      <c r="KHG1" s="53"/>
      <c r="KHH1" s="53"/>
      <c r="KHI1" s="53"/>
      <c r="KHJ1" s="53"/>
      <c r="KHK1" s="53"/>
      <c r="KHL1" s="53"/>
      <c r="KHM1" s="53"/>
      <c r="KHN1" s="53"/>
      <c r="KHO1" s="53"/>
      <c r="KHP1" s="53"/>
      <c r="KHQ1" s="53"/>
      <c r="KHR1" s="53"/>
      <c r="KHS1" s="53"/>
      <c r="KHT1" s="53"/>
      <c r="KHU1" s="53"/>
      <c r="KHV1" s="53"/>
      <c r="KHW1" s="53"/>
      <c r="KHX1" s="53"/>
      <c r="KHY1" s="53"/>
      <c r="KHZ1" s="53"/>
      <c r="KIA1" s="53"/>
      <c r="KIB1" s="53"/>
      <c r="KIC1" s="53"/>
      <c r="KID1" s="53"/>
      <c r="KIE1" s="53"/>
      <c r="KIF1" s="53"/>
      <c r="KIG1" s="53"/>
      <c r="KIH1" s="53"/>
      <c r="KII1" s="53"/>
      <c r="KIJ1" s="53"/>
      <c r="KIK1" s="53"/>
      <c r="KIL1" s="53"/>
      <c r="KIM1" s="53"/>
      <c r="KIN1" s="53"/>
      <c r="KIO1" s="53"/>
      <c r="KIP1" s="53"/>
      <c r="KIQ1" s="53"/>
      <c r="KIR1" s="53"/>
      <c r="KIS1" s="53"/>
      <c r="KIT1" s="53"/>
      <c r="KIU1" s="53"/>
      <c r="KIV1" s="53"/>
      <c r="KIW1" s="53"/>
      <c r="KIX1" s="53"/>
      <c r="KIY1" s="53"/>
      <c r="KIZ1" s="53"/>
      <c r="KJA1" s="53"/>
      <c r="KJB1" s="53"/>
      <c r="KJC1" s="53"/>
      <c r="KJD1" s="53"/>
      <c r="KJE1" s="53"/>
      <c r="KJF1" s="53"/>
      <c r="KJG1" s="53"/>
      <c r="KJH1" s="53"/>
      <c r="KJI1" s="53"/>
      <c r="KJJ1" s="53"/>
      <c r="KJK1" s="53"/>
      <c r="KJL1" s="53"/>
      <c r="KJM1" s="53"/>
      <c r="KJN1" s="53"/>
      <c r="KJO1" s="53"/>
      <c r="KJP1" s="53"/>
      <c r="KJQ1" s="53"/>
      <c r="KJR1" s="53"/>
      <c r="KJS1" s="53"/>
      <c r="KJT1" s="53"/>
      <c r="KJU1" s="53"/>
      <c r="KJV1" s="53"/>
      <c r="KJW1" s="53"/>
      <c r="KJX1" s="53"/>
      <c r="KJY1" s="53"/>
      <c r="KJZ1" s="53"/>
      <c r="KKA1" s="53"/>
      <c r="KKB1" s="53"/>
      <c r="KKC1" s="53"/>
      <c r="KKD1" s="53"/>
      <c r="KKE1" s="53"/>
      <c r="KKF1" s="53"/>
      <c r="KKG1" s="53"/>
      <c r="KKH1" s="53"/>
      <c r="KKI1" s="53"/>
      <c r="KKJ1" s="53"/>
      <c r="KKK1" s="53"/>
      <c r="KKL1" s="53"/>
      <c r="KKM1" s="53"/>
      <c r="KKN1" s="53"/>
      <c r="KKO1" s="53"/>
      <c r="KKP1" s="53"/>
      <c r="KKQ1" s="53"/>
      <c r="KKR1" s="53"/>
      <c r="KKS1" s="53"/>
      <c r="KKT1" s="53"/>
      <c r="KKU1" s="53"/>
      <c r="KKV1" s="53"/>
      <c r="KKW1" s="53"/>
      <c r="KKX1" s="53"/>
      <c r="KKY1" s="53"/>
      <c r="KKZ1" s="53"/>
      <c r="KLA1" s="53"/>
      <c r="KLB1" s="53"/>
      <c r="KLC1" s="53"/>
      <c r="KLD1" s="53"/>
      <c r="KLE1" s="53"/>
      <c r="KLF1" s="53"/>
      <c r="KLG1" s="53"/>
      <c r="KLH1" s="53"/>
      <c r="KLI1" s="53"/>
      <c r="KLJ1" s="53"/>
      <c r="KLK1" s="53"/>
      <c r="KLL1" s="53"/>
      <c r="KLM1" s="53"/>
      <c r="KLN1" s="53"/>
      <c r="KLO1" s="53"/>
      <c r="KLP1" s="53"/>
      <c r="KLQ1" s="53"/>
      <c r="KLR1" s="53"/>
      <c r="KLS1" s="53"/>
      <c r="KLT1" s="53"/>
      <c r="KLU1" s="53"/>
      <c r="KLV1" s="53"/>
      <c r="KLW1" s="53"/>
      <c r="KLX1" s="53"/>
      <c r="KLY1" s="53"/>
      <c r="KLZ1" s="53"/>
      <c r="KMA1" s="53"/>
      <c r="KMB1" s="53"/>
      <c r="KMC1" s="53"/>
      <c r="KMD1" s="53"/>
      <c r="KME1" s="53"/>
      <c r="KMF1" s="53"/>
      <c r="KMG1" s="53"/>
      <c r="KMH1" s="53"/>
      <c r="KMI1" s="53"/>
      <c r="KMJ1" s="53"/>
      <c r="KMK1" s="53"/>
      <c r="KML1" s="53"/>
      <c r="KMM1" s="53"/>
      <c r="KMN1" s="53"/>
      <c r="KMO1" s="53"/>
      <c r="KMP1" s="53"/>
      <c r="KMQ1" s="53"/>
      <c r="KMR1" s="53"/>
      <c r="KMS1" s="53"/>
      <c r="KMT1" s="53"/>
      <c r="KMU1" s="53"/>
      <c r="KMV1" s="53"/>
      <c r="KMW1" s="53"/>
      <c r="KMX1" s="53"/>
      <c r="KMY1" s="53"/>
      <c r="KMZ1" s="53"/>
      <c r="KNA1" s="53"/>
      <c r="KNB1" s="53"/>
      <c r="KNC1" s="53"/>
      <c r="KND1" s="53"/>
      <c r="KNE1" s="53"/>
      <c r="KNF1" s="53"/>
      <c r="KNG1" s="53"/>
      <c r="KNH1" s="53"/>
      <c r="KNI1" s="53"/>
      <c r="KNJ1" s="53"/>
      <c r="KNK1" s="53"/>
      <c r="KNL1" s="53"/>
      <c r="KNM1" s="53"/>
      <c r="KNN1" s="53"/>
      <c r="KNO1" s="53"/>
      <c r="KNP1" s="53"/>
      <c r="KNQ1" s="53"/>
      <c r="KNR1" s="53"/>
      <c r="KNS1" s="53"/>
      <c r="KNT1" s="53"/>
      <c r="KNU1" s="53"/>
      <c r="KNV1" s="53"/>
      <c r="KNW1" s="53"/>
      <c r="KNX1" s="53"/>
      <c r="KNY1" s="53"/>
      <c r="KNZ1" s="53"/>
      <c r="KOA1" s="53"/>
      <c r="KOB1" s="53"/>
      <c r="KOC1" s="53"/>
      <c r="KOD1" s="53"/>
      <c r="KOE1" s="53"/>
      <c r="KOF1" s="53"/>
      <c r="KOG1" s="53"/>
      <c r="KOH1" s="53"/>
      <c r="KOI1" s="53"/>
      <c r="KOJ1" s="53"/>
      <c r="KOK1" s="53"/>
      <c r="KOL1" s="53"/>
      <c r="KOM1" s="53"/>
      <c r="KON1" s="53"/>
      <c r="KOO1" s="53"/>
      <c r="KOP1" s="53"/>
      <c r="KOQ1" s="53"/>
      <c r="KOR1" s="53"/>
      <c r="KOS1" s="53"/>
      <c r="KOT1" s="53"/>
      <c r="KOU1" s="53"/>
      <c r="KOV1" s="53"/>
      <c r="KOW1" s="53"/>
      <c r="KOX1" s="53"/>
      <c r="KOY1" s="53"/>
      <c r="KOZ1" s="53"/>
      <c r="KPA1" s="53"/>
      <c r="KPB1" s="53"/>
      <c r="KPC1" s="53"/>
      <c r="KPD1" s="53"/>
      <c r="KPE1" s="53"/>
      <c r="KPF1" s="53"/>
      <c r="KPG1" s="53"/>
      <c r="KPH1" s="53"/>
      <c r="KPI1" s="53"/>
      <c r="KPJ1" s="53"/>
      <c r="KPK1" s="53"/>
      <c r="KPL1" s="53"/>
      <c r="KPM1" s="53"/>
      <c r="KPN1" s="53"/>
      <c r="KPO1" s="53"/>
      <c r="KPP1" s="53"/>
      <c r="KPQ1" s="53"/>
      <c r="KPR1" s="53"/>
      <c r="KPS1" s="53"/>
      <c r="KPT1" s="53"/>
      <c r="KPU1" s="53"/>
      <c r="KPV1" s="53"/>
      <c r="KPW1" s="53"/>
      <c r="KPX1" s="53"/>
      <c r="KPY1" s="53"/>
      <c r="KPZ1" s="53"/>
      <c r="KQA1" s="53"/>
      <c r="KQB1" s="53"/>
      <c r="KQC1" s="53"/>
      <c r="KQD1" s="53"/>
      <c r="KQE1" s="53"/>
      <c r="KQF1" s="53"/>
      <c r="KQG1" s="53"/>
      <c r="KQH1" s="53"/>
      <c r="KQI1" s="53"/>
      <c r="KQJ1" s="53"/>
      <c r="KQK1" s="53"/>
      <c r="KQL1" s="53"/>
      <c r="KQM1" s="53"/>
      <c r="KQN1" s="53"/>
      <c r="KQO1" s="53"/>
      <c r="KQP1" s="53"/>
      <c r="KQQ1" s="53"/>
      <c r="KQR1" s="53"/>
      <c r="KQS1" s="53"/>
      <c r="KQT1" s="53"/>
      <c r="KQU1" s="53"/>
      <c r="KQV1" s="53"/>
      <c r="KQW1" s="53"/>
      <c r="KQX1" s="53"/>
      <c r="KQY1" s="53"/>
      <c r="KQZ1" s="53"/>
      <c r="KRA1" s="53"/>
      <c r="KRB1" s="53"/>
      <c r="KRC1" s="53"/>
      <c r="KRD1" s="53"/>
      <c r="KRE1" s="53"/>
      <c r="KRF1" s="53"/>
      <c r="KRG1" s="53"/>
      <c r="KRH1" s="53"/>
      <c r="KRI1" s="53"/>
      <c r="KRJ1" s="53"/>
      <c r="KRK1" s="53"/>
      <c r="KRL1" s="53"/>
      <c r="KRM1" s="53"/>
      <c r="KRN1" s="53"/>
      <c r="KRO1" s="53"/>
      <c r="KRP1" s="53"/>
      <c r="KRQ1" s="53"/>
      <c r="KRR1" s="53"/>
      <c r="KRS1" s="53"/>
      <c r="KRT1" s="53"/>
      <c r="KRU1" s="53"/>
      <c r="KRV1" s="53"/>
      <c r="KRW1" s="53"/>
      <c r="KRX1" s="53"/>
      <c r="KRY1" s="53"/>
      <c r="KRZ1" s="53"/>
      <c r="KSA1" s="53"/>
      <c r="KSB1" s="53"/>
      <c r="KSC1" s="53"/>
      <c r="KSD1" s="53"/>
      <c r="KSE1" s="53"/>
      <c r="KSF1" s="53"/>
      <c r="KSG1" s="53"/>
      <c r="KSH1" s="53"/>
      <c r="KSI1" s="53"/>
      <c r="KSJ1" s="53"/>
      <c r="KSK1" s="53"/>
      <c r="KSL1" s="53"/>
      <c r="KSM1" s="53"/>
      <c r="KSN1" s="53"/>
      <c r="KSO1" s="53"/>
      <c r="KSP1" s="53"/>
      <c r="KSQ1" s="53"/>
      <c r="KSR1" s="53"/>
      <c r="KSS1" s="53"/>
      <c r="KST1" s="53"/>
      <c r="KSU1" s="53"/>
      <c r="KSV1" s="53"/>
      <c r="KSW1" s="53"/>
      <c r="KSX1" s="53"/>
      <c r="KSY1" s="53"/>
      <c r="KSZ1" s="53"/>
      <c r="KTA1" s="53"/>
      <c r="KTB1" s="53"/>
      <c r="KTC1" s="53"/>
      <c r="KTD1" s="53"/>
      <c r="KTE1" s="53"/>
      <c r="KTF1" s="53"/>
      <c r="KTG1" s="53"/>
      <c r="KTH1" s="53"/>
      <c r="KTI1" s="53"/>
      <c r="KTJ1" s="53"/>
      <c r="KTK1" s="53"/>
      <c r="KTL1" s="53"/>
      <c r="KTM1" s="53"/>
      <c r="KTN1" s="53"/>
      <c r="KTO1" s="53"/>
      <c r="KTP1" s="53"/>
      <c r="KTQ1" s="53"/>
      <c r="KTR1" s="53"/>
      <c r="KTS1" s="53"/>
      <c r="KTT1" s="53"/>
      <c r="KTU1" s="53"/>
      <c r="KTV1" s="53"/>
      <c r="KTW1" s="53"/>
      <c r="KTX1" s="53"/>
      <c r="KTY1" s="53"/>
      <c r="KTZ1" s="53"/>
      <c r="KUA1" s="53"/>
      <c r="KUB1" s="53"/>
      <c r="KUC1" s="53"/>
      <c r="KUD1" s="53"/>
      <c r="KUE1" s="53"/>
      <c r="KUF1" s="53"/>
      <c r="KUG1" s="53"/>
      <c r="KUH1" s="53"/>
      <c r="KUI1" s="53"/>
      <c r="KUJ1" s="53"/>
      <c r="KUK1" s="53"/>
      <c r="KUL1" s="53"/>
      <c r="KUM1" s="53"/>
      <c r="KUN1" s="53"/>
      <c r="KUO1" s="53"/>
      <c r="KUP1" s="53"/>
      <c r="KUQ1" s="53"/>
      <c r="KUR1" s="53"/>
      <c r="KUS1" s="53"/>
      <c r="KUT1" s="53"/>
      <c r="KUU1" s="53"/>
      <c r="KUV1" s="53"/>
      <c r="KUW1" s="53"/>
      <c r="KUX1" s="53"/>
      <c r="KUY1" s="53"/>
      <c r="KUZ1" s="53"/>
      <c r="KVA1" s="53"/>
      <c r="KVB1" s="53"/>
      <c r="KVC1" s="53"/>
      <c r="KVD1" s="53"/>
      <c r="KVE1" s="53"/>
      <c r="KVF1" s="53"/>
      <c r="KVG1" s="53"/>
      <c r="KVH1" s="53"/>
      <c r="KVI1" s="53"/>
      <c r="KVJ1" s="53"/>
      <c r="KVK1" s="53"/>
      <c r="KVL1" s="53"/>
      <c r="KVM1" s="53"/>
      <c r="KVN1" s="53"/>
      <c r="KVO1" s="53"/>
      <c r="KVP1" s="53"/>
      <c r="KVQ1" s="53"/>
      <c r="KVR1" s="53"/>
      <c r="KVS1" s="53"/>
      <c r="KVT1" s="53"/>
      <c r="KVU1" s="53"/>
      <c r="KVV1" s="53"/>
      <c r="KVW1" s="53"/>
      <c r="KVX1" s="53"/>
      <c r="KVY1" s="53"/>
      <c r="KVZ1" s="53"/>
      <c r="KWA1" s="53"/>
      <c r="KWB1" s="53"/>
      <c r="KWC1" s="53"/>
      <c r="KWD1" s="53"/>
      <c r="KWE1" s="53"/>
      <c r="KWF1" s="53"/>
      <c r="KWG1" s="53"/>
      <c r="KWH1" s="53"/>
      <c r="KWI1" s="53"/>
      <c r="KWJ1" s="53"/>
      <c r="KWK1" s="53"/>
      <c r="KWL1" s="53"/>
      <c r="KWM1" s="53"/>
      <c r="KWN1" s="53"/>
      <c r="KWO1" s="53"/>
      <c r="KWP1" s="53"/>
      <c r="KWQ1" s="53"/>
      <c r="KWR1" s="53"/>
      <c r="KWS1" s="53"/>
      <c r="KWT1" s="53"/>
      <c r="KWU1" s="53"/>
      <c r="KWV1" s="53"/>
      <c r="KWW1" s="53"/>
      <c r="KWX1" s="53"/>
      <c r="KWY1" s="53"/>
      <c r="KWZ1" s="53"/>
      <c r="KXA1" s="53"/>
      <c r="KXB1" s="53"/>
      <c r="KXC1" s="53"/>
      <c r="KXD1" s="53"/>
      <c r="KXE1" s="53"/>
      <c r="KXF1" s="53"/>
      <c r="KXG1" s="53"/>
      <c r="KXH1" s="53"/>
      <c r="KXI1" s="53"/>
      <c r="KXJ1" s="53"/>
      <c r="KXK1" s="53"/>
      <c r="KXL1" s="53"/>
      <c r="KXM1" s="53"/>
      <c r="KXN1" s="53"/>
      <c r="KXO1" s="53"/>
      <c r="KXP1" s="53"/>
      <c r="KXQ1" s="53"/>
      <c r="KXR1" s="53"/>
      <c r="KXS1" s="53"/>
      <c r="KXT1" s="53"/>
      <c r="KXU1" s="53"/>
      <c r="KXV1" s="53"/>
      <c r="KXW1" s="53"/>
      <c r="KXX1" s="53"/>
      <c r="KXY1" s="53"/>
      <c r="KXZ1" s="53"/>
      <c r="KYA1" s="53"/>
      <c r="KYB1" s="53"/>
      <c r="KYC1" s="53"/>
      <c r="KYD1" s="53"/>
      <c r="KYE1" s="53"/>
      <c r="KYF1" s="53"/>
      <c r="KYG1" s="53"/>
      <c r="KYH1" s="53"/>
      <c r="KYI1" s="53"/>
      <c r="KYJ1" s="53"/>
      <c r="KYK1" s="53"/>
      <c r="KYL1" s="53"/>
      <c r="KYM1" s="53"/>
      <c r="KYN1" s="53"/>
      <c r="KYO1" s="53"/>
      <c r="KYP1" s="53"/>
      <c r="KYQ1" s="53"/>
      <c r="KYR1" s="53"/>
      <c r="KYS1" s="53"/>
      <c r="KYT1" s="53"/>
      <c r="KYU1" s="53"/>
      <c r="KYV1" s="53"/>
      <c r="KYW1" s="53"/>
      <c r="KYX1" s="53"/>
      <c r="KYY1" s="53"/>
      <c r="KYZ1" s="53"/>
      <c r="KZA1" s="53"/>
      <c r="KZB1" s="53"/>
      <c r="KZC1" s="53"/>
      <c r="KZD1" s="53"/>
      <c r="KZE1" s="53"/>
      <c r="KZF1" s="53"/>
      <c r="KZG1" s="53"/>
      <c r="KZH1" s="53"/>
      <c r="KZI1" s="53"/>
      <c r="KZJ1" s="53"/>
      <c r="KZK1" s="53"/>
      <c r="KZL1" s="53"/>
      <c r="KZM1" s="53"/>
      <c r="KZN1" s="53"/>
      <c r="KZO1" s="53"/>
      <c r="KZP1" s="53"/>
      <c r="KZQ1" s="53"/>
      <c r="KZR1" s="53"/>
      <c r="KZS1" s="53"/>
      <c r="KZT1" s="53"/>
      <c r="KZU1" s="53"/>
      <c r="KZV1" s="53"/>
      <c r="KZW1" s="53"/>
      <c r="KZX1" s="53"/>
      <c r="KZY1" s="53"/>
      <c r="KZZ1" s="53"/>
      <c r="LAA1" s="53"/>
      <c r="LAB1" s="53"/>
      <c r="LAC1" s="53"/>
      <c r="LAD1" s="53"/>
      <c r="LAE1" s="53"/>
      <c r="LAF1" s="53"/>
      <c r="LAG1" s="53"/>
      <c r="LAH1" s="53"/>
      <c r="LAI1" s="53"/>
      <c r="LAJ1" s="53"/>
      <c r="LAK1" s="53"/>
      <c r="LAL1" s="53"/>
      <c r="LAM1" s="53"/>
      <c r="LAN1" s="53"/>
      <c r="LAO1" s="53"/>
      <c r="LAP1" s="53"/>
      <c r="LAQ1" s="53"/>
      <c r="LAR1" s="53"/>
      <c r="LAS1" s="53"/>
      <c r="LAT1" s="53"/>
      <c r="LAU1" s="53"/>
      <c r="LAV1" s="53"/>
      <c r="LAW1" s="53"/>
      <c r="LAX1" s="53"/>
      <c r="LAY1" s="53"/>
      <c r="LAZ1" s="53"/>
      <c r="LBA1" s="53"/>
      <c r="LBB1" s="53"/>
      <c r="LBC1" s="53"/>
      <c r="LBD1" s="53"/>
      <c r="LBE1" s="53"/>
      <c r="LBF1" s="53"/>
      <c r="LBG1" s="53"/>
      <c r="LBH1" s="53"/>
      <c r="LBI1" s="53"/>
      <c r="LBJ1" s="53"/>
      <c r="LBK1" s="53"/>
      <c r="LBL1" s="53"/>
      <c r="LBM1" s="53"/>
      <c r="LBN1" s="53"/>
      <c r="LBO1" s="53"/>
      <c r="LBP1" s="53"/>
      <c r="LBQ1" s="53"/>
      <c r="LBR1" s="53"/>
      <c r="LBS1" s="53"/>
      <c r="LBT1" s="53"/>
      <c r="LBU1" s="53"/>
      <c r="LBV1" s="53"/>
      <c r="LBW1" s="53"/>
      <c r="LBX1" s="53"/>
      <c r="LBY1" s="53"/>
      <c r="LBZ1" s="53"/>
      <c r="LCA1" s="53"/>
      <c r="LCB1" s="53"/>
      <c r="LCC1" s="53"/>
      <c r="LCD1" s="53"/>
      <c r="LCE1" s="53"/>
      <c r="LCF1" s="53"/>
      <c r="LCG1" s="53"/>
      <c r="LCH1" s="53"/>
      <c r="LCI1" s="53"/>
      <c r="LCJ1" s="53"/>
      <c r="LCK1" s="53"/>
      <c r="LCL1" s="53"/>
      <c r="LCM1" s="53"/>
      <c r="LCN1" s="53"/>
      <c r="LCO1" s="53"/>
      <c r="LCP1" s="53"/>
      <c r="LCQ1" s="53"/>
      <c r="LCR1" s="53"/>
      <c r="LCS1" s="53"/>
      <c r="LCT1" s="53"/>
      <c r="LCU1" s="53"/>
      <c r="LCV1" s="53"/>
      <c r="LCW1" s="53"/>
      <c r="LCX1" s="53"/>
      <c r="LCY1" s="53"/>
      <c r="LCZ1" s="53"/>
      <c r="LDA1" s="53"/>
      <c r="LDB1" s="53"/>
      <c r="LDC1" s="53"/>
      <c r="LDD1" s="53"/>
      <c r="LDE1" s="53"/>
      <c r="LDF1" s="53"/>
      <c r="LDG1" s="53"/>
      <c r="LDH1" s="53"/>
      <c r="LDI1" s="53"/>
      <c r="LDJ1" s="53"/>
      <c r="LDK1" s="53"/>
      <c r="LDL1" s="53"/>
      <c r="LDM1" s="53"/>
      <c r="LDN1" s="53"/>
      <c r="LDO1" s="53"/>
      <c r="LDP1" s="53"/>
      <c r="LDQ1" s="53"/>
      <c r="LDR1" s="53"/>
      <c r="LDS1" s="53"/>
      <c r="LDT1" s="53"/>
      <c r="LDU1" s="53"/>
      <c r="LDV1" s="53"/>
      <c r="LDW1" s="53"/>
      <c r="LDX1" s="53"/>
      <c r="LDY1" s="53"/>
      <c r="LDZ1" s="53"/>
      <c r="LEA1" s="53"/>
      <c r="LEB1" s="53"/>
      <c r="LEC1" s="53"/>
      <c r="LED1" s="53"/>
      <c r="LEE1" s="53"/>
      <c r="LEF1" s="53"/>
      <c r="LEG1" s="53"/>
      <c r="LEH1" s="53"/>
      <c r="LEI1" s="53"/>
      <c r="LEJ1" s="53"/>
      <c r="LEK1" s="53"/>
      <c r="LEL1" s="53"/>
      <c r="LEM1" s="53"/>
      <c r="LEN1" s="53"/>
      <c r="LEO1" s="53"/>
      <c r="LEP1" s="53"/>
      <c r="LEQ1" s="53"/>
      <c r="LER1" s="53"/>
      <c r="LES1" s="53"/>
      <c r="LET1" s="53"/>
      <c r="LEU1" s="53"/>
      <c r="LEV1" s="53"/>
      <c r="LEW1" s="53"/>
      <c r="LEX1" s="53"/>
      <c r="LEY1" s="53"/>
      <c r="LEZ1" s="53"/>
      <c r="LFA1" s="53"/>
      <c r="LFB1" s="53"/>
      <c r="LFC1" s="53"/>
      <c r="LFD1" s="53"/>
      <c r="LFE1" s="53"/>
      <c r="LFF1" s="53"/>
      <c r="LFG1" s="53"/>
      <c r="LFH1" s="53"/>
      <c r="LFI1" s="53"/>
      <c r="LFJ1" s="53"/>
      <c r="LFK1" s="53"/>
      <c r="LFL1" s="53"/>
      <c r="LFM1" s="53"/>
      <c r="LFN1" s="53"/>
      <c r="LFO1" s="53"/>
      <c r="LFP1" s="53"/>
      <c r="LFQ1" s="53"/>
      <c r="LFR1" s="53"/>
      <c r="LFS1" s="53"/>
      <c r="LFT1" s="53"/>
      <c r="LFU1" s="53"/>
      <c r="LFV1" s="53"/>
      <c r="LFW1" s="53"/>
      <c r="LFX1" s="53"/>
      <c r="LFY1" s="53"/>
      <c r="LFZ1" s="53"/>
      <c r="LGA1" s="53"/>
      <c r="LGB1" s="53"/>
      <c r="LGC1" s="53"/>
      <c r="LGD1" s="53"/>
      <c r="LGE1" s="53"/>
      <c r="LGF1" s="53"/>
      <c r="LGG1" s="53"/>
      <c r="LGH1" s="53"/>
      <c r="LGI1" s="53"/>
      <c r="LGJ1" s="53"/>
      <c r="LGK1" s="53"/>
      <c r="LGL1" s="53"/>
      <c r="LGM1" s="53"/>
      <c r="LGN1" s="53"/>
      <c r="LGO1" s="53"/>
      <c r="LGP1" s="53"/>
      <c r="LGQ1" s="53"/>
      <c r="LGR1" s="53"/>
      <c r="LGS1" s="53"/>
      <c r="LGT1" s="53"/>
      <c r="LGU1" s="53"/>
      <c r="LGV1" s="53"/>
      <c r="LGW1" s="53"/>
      <c r="LGX1" s="53"/>
      <c r="LGY1" s="53"/>
      <c r="LGZ1" s="53"/>
      <c r="LHA1" s="53"/>
      <c r="LHB1" s="53"/>
      <c r="LHC1" s="53"/>
      <c r="LHD1" s="53"/>
      <c r="LHE1" s="53"/>
      <c r="LHF1" s="53"/>
      <c r="LHG1" s="53"/>
      <c r="LHH1" s="53"/>
      <c r="LHI1" s="53"/>
      <c r="LHJ1" s="53"/>
      <c r="LHK1" s="53"/>
      <c r="LHL1" s="53"/>
      <c r="LHM1" s="53"/>
      <c r="LHN1" s="53"/>
      <c r="LHO1" s="53"/>
      <c r="LHP1" s="53"/>
      <c r="LHQ1" s="53"/>
      <c r="LHR1" s="53"/>
      <c r="LHS1" s="53"/>
      <c r="LHT1" s="53"/>
      <c r="LHU1" s="53"/>
      <c r="LHV1" s="53"/>
      <c r="LHW1" s="53"/>
      <c r="LHX1" s="53"/>
      <c r="LHY1" s="53"/>
      <c r="LHZ1" s="53"/>
      <c r="LIA1" s="53"/>
      <c r="LIB1" s="53"/>
      <c r="LIC1" s="53"/>
      <c r="LID1" s="53"/>
      <c r="LIE1" s="53"/>
      <c r="LIF1" s="53"/>
      <c r="LIG1" s="53"/>
      <c r="LIH1" s="53"/>
      <c r="LII1" s="53"/>
      <c r="LIJ1" s="53"/>
      <c r="LIK1" s="53"/>
      <c r="LIL1" s="53"/>
      <c r="LIM1" s="53"/>
      <c r="LIN1" s="53"/>
      <c r="LIO1" s="53"/>
      <c r="LIP1" s="53"/>
      <c r="LIQ1" s="53"/>
      <c r="LIR1" s="53"/>
      <c r="LIS1" s="53"/>
      <c r="LIT1" s="53"/>
      <c r="LIU1" s="53"/>
      <c r="LIV1" s="53"/>
      <c r="LIW1" s="53"/>
      <c r="LIX1" s="53"/>
      <c r="LIY1" s="53"/>
      <c r="LIZ1" s="53"/>
      <c r="LJA1" s="53"/>
      <c r="LJB1" s="53"/>
      <c r="LJC1" s="53"/>
      <c r="LJD1" s="53"/>
      <c r="LJE1" s="53"/>
      <c r="LJF1" s="53"/>
      <c r="LJG1" s="53"/>
      <c r="LJH1" s="53"/>
      <c r="LJI1" s="53"/>
      <c r="LJJ1" s="53"/>
      <c r="LJK1" s="53"/>
      <c r="LJL1" s="53"/>
      <c r="LJM1" s="53"/>
      <c r="LJN1" s="53"/>
      <c r="LJO1" s="53"/>
      <c r="LJP1" s="53"/>
      <c r="LJQ1" s="53"/>
      <c r="LJR1" s="53"/>
      <c r="LJS1" s="53"/>
      <c r="LJT1" s="53"/>
      <c r="LJU1" s="53"/>
      <c r="LJV1" s="53"/>
      <c r="LJW1" s="53"/>
      <c r="LJX1" s="53"/>
      <c r="LJY1" s="53"/>
      <c r="LJZ1" s="53"/>
      <c r="LKA1" s="53"/>
      <c r="LKB1" s="53"/>
      <c r="LKC1" s="53"/>
      <c r="LKD1" s="53"/>
      <c r="LKE1" s="53"/>
      <c r="LKF1" s="53"/>
      <c r="LKG1" s="53"/>
      <c r="LKH1" s="53"/>
      <c r="LKI1" s="53"/>
      <c r="LKJ1" s="53"/>
      <c r="LKK1" s="53"/>
      <c r="LKL1" s="53"/>
      <c r="LKM1" s="53"/>
      <c r="LKN1" s="53"/>
      <c r="LKO1" s="53"/>
      <c r="LKP1" s="53"/>
      <c r="LKQ1" s="53"/>
      <c r="LKR1" s="53"/>
      <c r="LKS1" s="53"/>
      <c r="LKT1" s="53"/>
      <c r="LKU1" s="53"/>
      <c r="LKV1" s="53"/>
      <c r="LKW1" s="53"/>
      <c r="LKX1" s="53"/>
      <c r="LKY1" s="53"/>
      <c r="LKZ1" s="53"/>
      <c r="LLA1" s="53"/>
      <c r="LLB1" s="53"/>
      <c r="LLC1" s="53"/>
      <c r="LLD1" s="53"/>
      <c r="LLE1" s="53"/>
      <c r="LLF1" s="53"/>
      <c r="LLG1" s="53"/>
      <c r="LLH1" s="53"/>
      <c r="LLI1" s="53"/>
      <c r="LLJ1" s="53"/>
      <c r="LLK1" s="53"/>
      <c r="LLL1" s="53"/>
      <c r="LLM1" s="53"/>
      <c r="LLN1" s="53"/>
      <c r="LLO1" s="53"/>
      <c r="LLP1" s="53"/>
      <c r="LLQ1" s="53"/>
      <c r="LLR1" s="53"/>
      <c r="LLS1" s="53"/>
      <c r="LLT1" s="53"/>
      <c r="LLU1" s="53"/>
      <c r="LLV1" s="53"/>
      <c r="LLW1" s="53"/>
      <c r="LLX1" s="53"/>
      <c r="LLY1" s="53"/>
      <c r="LLZ1" s="53"/>
      <c r="LMA1" s="53"/>
      <c r="LMB1" s="53"/>
      <c r="LMC1" s="53"/>
      <c r="LMD1" s="53"/>
      <c r="LME1" s="53"/>
      <c r="LMF1" s="53"/>
      <c r="LMG1" s="53"/>
      <c r="LMH1" s="53"/>
      <c r="LMI1" s="53"/>
      <c r="LMJ1" s="53"/>
      <c r="LMK1" s="53"/>
      <c r="LML1" s="53"/>
      <c r="LMM1" s="53"/>
      <c r="LMN1" s="53"/>
      <c r="LMO1" s="53"/>
      <c r="LMP1" s="53"/>
      <c r="LMQ1" s="53"/>
      <c r="LMR1" s="53"/>
      <c r="LMS1" s="53"/>
      <c r="LMT1" s="53"/>
      <c r="LMU1" s="53"/>
      <c r="LMV1" s="53"/>
      <c r="LMW1" s="53"/>
      <c r="LMX1" s="53"/>
      <c r="LMY1" s="53"/>
      <c r="LMZ1" s="53"/>
      <c r="LNA1" s="53"/>
      <c r="LNB1" s="53"/>
      <c r="LNC1" s="53"/>
      <c r="LND1" s="53"/>
      <c r="LNE1" s="53"/>
      <c r="LNF1" s="53"/>
      <c r="LNG1" s="53"/>
      <c r="LNH1" s="53"/>
      <c r="LNI1" s="53"/>
      <c r="LNJ1" s="53"/>
      <c r="LNK1" s="53"/>
      <c r="LNL1" s="53"/>
      <c r="LNM1" s="53"/>
      <c r="LNN1" s="53"/>
      <c r="LNO1" s="53"/>
      <c r="LNP1" s="53"/>
      <c r="LNQ1" s="53"/>
      <c r="LNR1" s="53"/>
      <c r="LNS1" s="53"/>
      <c r="LNT1" s="53"/>
      <c r="LNU1" s="53"/>
      <c r="LNV1" s="53"/>
      <c r="LNW1" s="53"/>
      <c r="LNX1" s="53"/>
      <c r="LNY1" s="53"/>
      <c r="LNZ1" s="53"/>
      <c r="LOA1" s="53"/>
      <c r="LOB1" s="53"/>
      <c r="LOC1" s="53"/>
      <c r="LOD1" s="53"/>
      <c r="LOE1" s="53"/>
      <c r="LOF1" s="53"/>
      <c r="LOG1" s="53"/>
      <c r="LOH1" s="53"/>
      <c r="LOI1" s="53"/>
      <c r="LOJ1" s="53"/>
      <c r="LOK1" s="53"/>
      <c r="LOL1" s="53"/>
      <c r="LOM1" s="53"/>
      <c r="LON1" s="53"/>
      <c r="LOO1" s="53"/>
      <c r="LOP1" s="53"/>
      <c r="LOQ1" s="53"/>
      <c r="LOR1" s="53"/>
      <c r="LOS1" s="53"/>
      <c r="LOT1" s="53"/>
      <c r="LOU1" s="53"/>
      <c r="LOV1" s="53"/>
      <c r="LOW1" s="53"/>
      <c r="LOX1" s="53"/>
      <c r="LOY1" s="53"/>
      <c r="LOZ1" s="53"/>
      <c r="LPA1" s="53"/>
      <c r="LPB1" s="53"/>
      <c r="LPC1" s="53"/>
      <c r="LPD1" s="53"/>
      <c r="LPE1" s="53"/>
      <c r="LPF1" s="53"/>
      <c r="LPG1" s="53"/>
      <c r="LPH1" s="53"/>
      <c r="LPI1" s="53"/>
      <c r="LPJ1" s="53"/>
      <c r="LPK1" s="53"/>
      <c r="LPL1" s="53"/>
      <c r="LPM1" s="53"/>
      <c r="LPN1" s="53"/>
      <c r="LPO1" s="53"/>
      <c r="LPP1" s="53"/>
      <c r="LPQ1" s="53"/>
      <c r="LPR1" s="53"/>
      <c r="LPS1" s="53"/>
      <c r="LPT1" s="53"/>
      <c r="LPU1" s="53"/>
      <c r="LPV1" s="53"/>
      <c r="LPW1" s="53"/>
      <c r="LPX1" s="53"/>
      <c r="LPY1" s="53"/>
      <c r="LPZ1" s="53"/>
      <c r="LQA1" s="53"/>
      <c r="LQB1" s="53"/>
      <c r="LQC1" s="53"/>
      <c r="LQD1" s="53"/>
      <c r="LQE1" s="53"/>
      <c r="LQF1" s="53"/>
      <c r="LQG1" s="53"/>
      <c r="LQH1" s="53"/>
      <c r="LQI1" s="53"/>
      <c r="LQJ1" s="53"/>
      <c r="LQK1" s="53"/>
      <c r="LQL1" s="53"/>
      <c r="LQM1" s="53"/>
      <c r="LQN1" s="53"/>
      <c r="LQO1" s="53"/>
      <c r="LQP1" s="53"/>
      <c r="LQQ1" s="53"/>
      <c r="LQR1" s="53"/>
      <c r="LQS1" s="53"/>
      <c r="LQT1" s="53"/>
      <c r="LQU1" s="53"/>
      <c r="LQV1" s="53"/>
      <c r="LQW1" s="53"/>
      <c r="LQX1" s="53"/>
      <c r="LQY1" s="53"/>
      <c r="LQZ1" s="53"/>
      <c r="LRA1" s="53"/>
      <c r="LRB1" s="53"/>
      <c r="LRC1" s="53"/>
      <c r="LRD1" s="53"/>
      <c r="LRE1" s="53"/>
      <c r="LRF1" s="53"/>
      <c r="LRG1" s="53"/>
      <c r="LRH1" s="53"/>
      <c r="LRI1" s="53"/>
      <c r="LRJ1" s="53"/>
      <c r="LRK1" s="53"/>
      <c r="LRL1" s="53"/>
      <c r="LRM1" s="53"/>
      <c r="LRN1" s="53"/>
      <c r="LRO1" s="53"/>
      <c r="LRP1" s="53"/>
      <c r="LRQ1" s="53"/>
      <c r="LRR1" s="53"/>
      <c r="LRS1" s="53"/>
      <c r="LRT1" s="53"/>
      <c r="LRU1" s="53"/>
      <c r="LRV1" s="53"/>
      <c r="LRW1" s="53"/>
      <c r="LRX1" s="53"/>
      <c r="LRY1" s="53"/>
      <c r="LRZ1" s="53"/>
      <c r="LSA1" s="53"/>
      <c r="LSB1" s="53"/>
      <c r="LSC1" s="53"/>
      <c r="LSD1" s="53"/>
      <c r="LSE1" s="53"/>
      <c r="LSF1" s="53"/>
      <c r="LSG1" s="53"/>
      <c r="LSH1" s="53"/>
      <c r="LSI1" s="53"/>
      <c r="LSJ1" s="53"/>
      <c r="LSK1" s="53"/>
      <c r="LSL1" s="53"/>
      <c r="LSM1" s="53"/>
      <c r="LSN1" s="53"/>
      <c r="LSO1" s="53"/>
      <c r="LSP1" s="53"/>
      <c r="LSQ1" s="53"/>
      <c r="LSR1" s="53"/>
      <c r="LSS1" s="53"/>
      <c r="LST1" s="53"/>
      <c r="LSU1" s="53"/>
      <c r="LSV1" s="53"/>
      <c r="LSW1" s="53"/>
      <c r="LSX1" s="53"/>
      <c r="LSY1" s="53"/>
      <c r="LSZ1" s="53"/>
      <c r="LTA1" s="53"/>
      <c r="LTB1" s="53"/>
      <c r="LTC1" s="53"/>
      <c r="LTD1" s="53"/>
      <c r="LTE1" s="53"/>
      <c r="LTF1" s="53"/>
      <c r="LTG1" s="53"/>
      <c r="LTH1" s="53"/>
      <c r="LTI1" s="53"/>
      <c r="LTJ1" s="53"/>
      <c r="LTK1" s="53"/>
      <c r="LTL1" s="53"/>
      <c r="LTM1" s="53"/>
      <c r="LTN1" s="53"/>
      <c r="LTO1" s="53"/>
      <c r="LTP1" s="53"/>
      <c r="LTQ1" s="53"/>
      <c r="LTR1" s="53"/>
      <c r="LTS1" s="53"/>
      <c r="LTT1" s="53"/>
      <c r="LTU1" s="53"/>
      <c r="LTV1" s="53"/>
      <c r="LTW1" s="53"/>
      <c r="LTX1" s="53"/>
      <c r="LTY1" s="53"/>
      <c r="LTZ1" s="53"/>
      <c r="LUA1" s="53"/>
      <c r="LUB1" s="53"/>
      <c r="LUC1" s="53"/>
      <c r="LUD1" s="53"/>
      <c r="LUE1" s="53"/>
      <c r="LUF1" s="53"/>
      <c r="LUG1" s="53"/>
      <c r="LUH1" s="53"/>
      <c r="LUI1" s="53"/>
      <c r="LUJ1" s="53"/>
      <c r="LUK1" s="53"/>
      <c r="LUL1" s="53"/>
      <c r="LUM1" s="53"/>
      <c r="LUN1" s="53"/>
      <c r="LUO1" s="53"/>
      <c r="LUP1" s="53"/>
      <c r="LUQ1" s="53"/>
      <c r="LUR1" s="53"/>
      <c r="LUS1" s="53"/>
      <c r="LUT1" s="53"/>
      <c r="LUU1" s="53"/>
      <c r="LUV1" s="53"/>
      <c r="LUW1" s="53"/>
      <c r="LUX1" s="53"/>
      <c r="LUY1" s="53"/>
      <c r="LUZ1" s="53"/>
      <c r="LVA1" s="53"/>
      <c r="LVB1" s="53"/>
      <c r="LVC1" s="53"/>
      <c r="LVD1" s="53"/>
      <c r="LVE1" s="53"/>
      <c r="LVF1" s="53"/>
      <c r="LVG1" s="53"/>
      <c r="LVH1" s="53"/>
      <c r="LVI1" s="53"/>
      <c r="LVJ1" s="53"/>
      <c r="LVK1" s="53"/>
      <c r="LVL1" s="53"/>
      <c r="LVM1" s="53"/>
      <c r="LVN1" s="53"/>
      <c r="LVO1" s="53"/>
      <c r="LVP1" s="53"/>
      <c r="LVQ1" s="53"/>
      <c r="LVR1" s="53"/>
      <c r="LVS1" s="53"/>
      <c r="LVT1" s="53"/>
      <c r="LVU1" s="53"/>
      <c r="LVV1" s="53"/>
      <c r="LVW1" s="53"/>
      <c r="LVX1" s="53"/>
      <c r="LVY1" s="53"/>
      <c r="LVZ1" s="53"/>
      <c r="LWA1" s="53"/>
      <c r="LWB1" s="53"/>
      <c r="LWC1" s="53"/>
      <c r="LWD1" s="53"/>
      <c r="LWE1" s="53"/>
      <c r="LWF1" s="53"/>
      <c r="LWG1" s="53"/>
      <c r="LWH1" s="53"/>
      <c r="LWI1" s="53"/>
      <c r="LWJ1" s="53"/>
      <c r="LWK1" s="53"/>
      <c r="LWL1" s="53"/>
      <c r="LWM1" s="53"/>
      <c r="LWN1" s="53"/>
      <c r="LWO1" s="53"/>
      <c r="LWP1" s="53"/>
      <c r="LWQ1" s="53"/>
      <c r="LWR1" s="53"/>
      <c r="LWS1" s="53"/>
      <c r="LWT1" s="53"/>
      <c r="LWU1" s="53"/>
      <c r="LWV1" s="53"/>
      <c r="LWW1" s="53"/>
      <c r="LWX1" s="53"/>
      <c r="LWY1" s="53"/>
      <c r="LWZ1" s="53"/>
      <c r="LXA1" s="53"/>
      <c r="LXB1" s="53"/>
      <c r="LXC1" s="53"/>
      <c r="LXD1" s="53"/>
      <c r="LXE1" s="53"/>
      <c r="LXF1" s="53"/>
      <c r="LXG1" s="53"/>
      <c r="LXH1" s="53"/>
      <c r="LXI1" s="53"/>
      <c r="LXJ1" s="53"/>
      <c r="LXK1" s="53"/>
      <c r="LXL1" s="53"/>
      <c r="LXM1" s="53"/>
      <c r="LXN1" s="53"/>
      <c r="LXO1" s="53"/>
      <c r="LXP1" s="53"/>
      <c r="LXQ1" s="53"/>
      <c r="LXR1" s="53"/>
      <c r="LXS1" s="53"/>
      <c r="LXT1" s="53"/>
      <c r="LXU1" s="53"/>
      <c r="LXV1" s="53"/>
      <c r="LXW1" s="53"/>
      <c r="LXX1" s="53"/>
      <c r="LXY1" s="53"/>
      <c r="LXZ1" s="53"/>
      <c r="LYA1" s="53"/>
      <c r="LYB1" s="53"/>
      <c r="LYC1" s="53"/>
      <c r="LYD1" s="53"/>
      <c r="LYE1" s="53"/>
      <c r="LYF1" s="53"/>
      <c r="LYG1" s="53"/>
      <c r="LYH1" s="53"/>
      <c r="LYI1" s="53"/>
      <c r="LYJ1" s="53"/>
      <c r="LYK1" s="53"/>
      <c r="LYL1" s="53"/>
      <c r="LYM1" s="53"/>
      <c r="LYN1" s="53"/>
      <c r="LYO1" s="53"/>
      <c r="LYP1" s="53"/>
      <c r="LYQ1" s="53"/>
      <c r="LYR1" s="53"/>
      <c r="LYS1" s="53"/>
      <c r="LYT1" s="53"/>
      <c r="LYU1" s="53"/>
      <c r="LYV1" s="53"/>
      <c r="LYW1" s="53"/>
      <c r="LYX1" s="53"/>
      <c r="LYY1" s="53"/>
      <c r="LYZ1" s="53"/>
      <c r="LZA1" s="53"/>
      <c r="LZB1" s="53"/>
      <c r="LZC1" s="53"/>
      <c r="LZD1" s="53"/>
      <c r="LZE1" s="53"/>
      <c r="LZF1" s="53"/>
      <c r="LZG1" s="53"/>
      <c r="LZH1" s="53"/>
      <c r="LZI1" s="53"/>
      <c r="LZJ1" s="53"/>
      <c r="LZK1" s="53"/>
      <c r="LZL1" s="53"/>
      <c r="LZM1" s="53"/>
      <c r="LZN1" s="53"/>
      <c r="LZO1" s="53"/>
      <c r="LZP1" s="53"/>
      <c r="LZQ1" s="53"/>
      <c r="LZR1" s="53"/>
      <c r="LZS1" s="53"/>
      <c r="LZT1" s="53"/>
      <c r="LZU1" s="53"/>
      <c r="LZV1" s="53"/>
      <c r="LZW1" s="53"/>
      <c r="LZX1" s="53"/>
      <c r="LZY1" s="53"/>
      <c r="LZZ1" s="53"/>
      <c r="MAA1" s="53"/>
      <c r="MAB1" s="53"/>
      <c r="MAC1" s="53"/>
      <c r="MAD1" s="53"/>
      <c r="MAE1" s="53"/>
      <c r="MAF1" s="53"/>
      <c r="MAG1" s="53"/>
      <c r="MAH1" s="53"/>
      <c r="MAI1" s="53"/>
      <c r="MAJ1" s="53"/>
      <c r="MAK1" s="53"/>
      <c r="MAL1" s="53"/>
      <c r="MAM1" s="53"/>
      <c r="MAN1" s="53"/>
      <c r="MAO1" s="53"/>
      <c r="MAP1" s="53"/>
      <c r="MAQ1" s="53"/>
      <c r="MAR1" s="53"/>
      <c r="MAS1" s="53"/>
      <c r="MAT1" s="53"/>
      <c r="MAU1" s="53"/>
      <c r="MAV1" s="53"/>
      <c r="MAW1" s="53"/>
      <c r="MAX1" s="53"/>
      <c r="MAY1" s="53"/>
      <c r="MAZ1" s="53"/>
      <c r="MBA1" s="53"/>
      <c r="MBB1" s="53"/>
      <c r="MBC1" s="53"/>
      <c r="MBD1" s="53"/>
      <c r="MBE1" s="53"/>
      <c r="MBF1" s="53"/>
      <c r="MBG1" s="53"/>
      <c r="MBH1" s="53"/>
      <c r="MBI1" s="53"/>
      <c r="MBJ1" s="53"/>
      <c r="MBK1" s="53"/>
      <c r="MBL1" s="53"/>
      <c r="MBM1" s="53"/>
      <c r="MBN1" s="53"/>
      <c r="MBO1" s="53"/>
      <c r="MBP1" s="53"/>
      <c r="MBQ1" s="53"/>
      <c r="MBR1" s="53"/>
      <c r="MBS1" s="53"/>
      <c r="MBT1" s="53"/>
      <c r="MBU1" s="53"/>
      <c r="MBV1" s="53"/>
      <c r="MBW1" s="53"/>
      <c r="MBX1" s="53"/>
      <c r="MBY1" s="53"/>
      <c r="MBZ1" s="53"/>
      <c r="MCA1" s="53"/>
      <c r="MCB1" s="53"/>
      <c r="MCC1" s="53"/>
      <c r="MCD1" s="53"/>
      <c r="MCE1" s="53"/>
      <c r="MCF1" s="53"/>
      <c r="MCG1" s="53"/>
      <c r="MCH1" s="53"/>
      <c r="MCI1" s="53"/>
      <c r="MCJ1" s="53"/>
      <c r="MCK1" s="53"/>
      <c r="MCL1" s="53"/>
      <c r="MCM1" s="53"/>
      <c r="MCN1" s="53"/>
      <c r="MCO1" s="53"/>
      <c r="MCP1" s="53"/>
      <c r="MCQ1" s="53"/>
      <c r="MCR1" s="53"/>
      <c r="MCS1" s="53"/>
      <c r="MCT1" s="53"/>
      <c r="MCU1" s="53"/>
      <c r="MCV1" s="53"/>
      <c r="MCW1" s="53"/>
      <c r="MCX1" s="53"/>
      <c r="MCY1" s="53"/>
      <c r="MCZ1" s="53"/>
      <c r="MDA1" s="53"/>
      <c r="MDB1" s="53"/>
      <c r="MDC1" s="53"/>
      <c r="MDD1" s="53"/>
      <c r="MDE1" s="53"/>
      <c r="MDF1" s="53"/>
      <c r="MDG1" s="53"/>
      <c r="MDH1" s="53"/>
      <c r="MDI1" s="53"/>
      <c r="MDJ1" s="53"/>
      <c r="MDK1" s="53"/>
      <c r="MDL1" s="53"/>
      <c r="MDM1" s="53"/>
      <c r="MDN1" s="53"/>
      <c r="MDO1" s="53"/>
      <c r="MDP1" s="53"/>
      <c r="MDQ1" s="53"/>
      <c r="MDR1" s="53"/>
      <c r="MDS1" s="53"/>
      <c r="MDT1" s="53"/>
      <c r="MDU1" s="53"/>
      <c r="MDV1" s="53"/>
      <c r="MDW1" s="53"/>
      <c r="MDX1" s="53"/>
      <c r="MDY1" s="53"/>
      <c r="MDZ1" s="53"/>
      <c r="MEA1" s="53"/>
      <c r="MEB1" s="53"/>
      <c r="MEC1" s="53"/>
      <c r="MED1" s="53"/>
      <c r="MEE1" s="53"/>
      <c r="MEF1" s="53"/>
      <c r="MEG1" s="53"/>
      <c r="MEH1" s="53"/>
      <c r="MEI1" s="53"/>
      <c r="MEJ1" s="53"/>
      <c r="MEK1" s="53"/>
      <c r="MEL1" s="53"/>
      <c r="MEM1" s="53"/>
      <c r="MEN1" s="53"/>
      <c r="MEO1" s="53"/>
      <c r="MEP1" s="53"/>
      <c r="MEQ1" s="53"/>
      <c r="MER1" s="53"/>
      <c r="MES1" s="53"/>
      <c r="MET1" s="53"/>
      <c r="MEU1" s="53"/>
      <c r="MEV1" s="53"/>
      <c r="MEW1" s="53"/>
      <c r="MEX1" s="53"/>
      <c r="MEY1" s="53"/>
      <c r="MEZ1" s="53"/>
      <c r="MFA1" s="53"/>
      <c r="MFB1" s="53"/>
      <c r="MFC1" s="53"/>
      <c r="MFD1" s="53"/>
      <c r="MFE1" s="53"/>
      <c r="MFF1" s="53"/>
      <c r="MFG1" s="53"/>
      <c r="MFH1" s="53"/>
      <c r="MFI1" s="53"/>
      <c r="MFJ1" s="53"/>
      <c r="MFK1" s="53"/>
      <c r="MFL1" s="53"/>
      <c r="MFM1" s="53"/>
      <c r="MFN1" s="53"/>
      <c r="MFO1" s="53"/>
      <c r="MFP1" s="53"/>
      <c r="MFQ1" s="53"/>
      <c r="MFR1" s="53"/>
      <c r="MFS1" s="53"/>
      <c r="MFT1" s="53"/>
      <c r="MFU1" s="53"/>
      <c r="MFV1" s="53"/>
      <c r="MFW1" s="53"/>
      <c r="MFX1" s="53"/>
      <c r="MFY1" s="53"/>
      <c r="MFZ1" s="53"/>
      <c r="MGA1" s="53"/>
      <c r="MGB1" s="53"/>
      <c r="MGC1" s="53"/>
      <c r="MGD1" s="53"/>
      <c r="MGE1" s="53"/>
      <c r="MGF1" s="53"/>
      <c r="MGG1" s="53"/>
      <c r="MGH1" s="53"/>
      <c r="MGI1" s="53"/>
      <c r="MGJ1" s="53"/>
      <c r="MGK1" s="53"/>
      <c r="MGL1" s="53"/>
      <c r="MGM1" s="53"/>
      <c r="MGN1" s="53"/>
      <c r="MGO1" s="53"/>
      <c r="MGP1" s="53"/>
      <c r="MGQ1" s="53"/>
      <c r="MGR1" s="53"/>
      <c r="MGS1" s="53"/>
      <c r="MGT1" s="53"/>
      <c r="MGU1" s="53"/>
      <c r="MGV1" s="53"/>
      <c r="MGW1" s="53"/>
      <c r="MGX1" s="53"/>
      <c r="MGY1" s="53"/>
      <c r="MGZ1" s="53"/>
      <c r="MHA1" s="53"/>
      <c r="MHB1" s="53"/>
      <c r="MHC1" s="53"/>
      <c r="MHD1" s="53"/>
      <c r="MHE1" s="53"/>
      <c r="MHF1" s="53"/>
      <c r="MHG1" s="53"/>
      <c r="MHH1" s="53"/>
      <c r="MHI1" s="53"/>
      <c r="MHJ1" s="53"/>
      <c r="MHK1" s="53"/>
      <c r="MHL1" s="53"/>
      <c r="MHM1" s="53"/>
      <c r="MHN1" s="53"/>
      <c r="MHO1" s="53"/>
      <c r="MHP1" s="53"/>
      <c r="MHQ1" s="53"/>
      <c r="MHR1" s="53"/>
      <c r="MHS1" s="53"/>
      <c r="MHT1" s="53"/>
      <c r="MHU1" s="53"/>
      <c r="MHV1" s="53"/>
      <c r="MHW1" s="53"/>
      <c r="MHX1" s="53"/>
      <c r="MHY1" s="53"/>
      <c r="MHZ1" s="53"/>
      <c r="MIA1" s="53"/>
      <c r="MIB1" s="53"/>
      <c r="MIC1" s="53"/>
      <c r="MID1" s="53"/>
      <c r="MIE1" s="53"/>
      <c r="MIF1" s="53"/>
      <c r="MIG1" s="53"/>
      <c r="MIH1" s="53"/>
      <c r="MII1" s="53"/>
      <c r="MIJ1" s="53"/>
      <c r="MIK1" s="53"/>
      <c r="MIL1" s="53"/>
      <c r="MIM1" s="53"/>
      <c r="MIN1" s="53"/>
      <c r="MIO1" s="53"/>
      <c r="MIP1" s="53"/>
      <c r="MIQ1" s="53"/>
      <c r="MIR1" s="53"/>
      <c r="MIS1" s="53"/>
      <c r="MIT1" s="53"/>
      <c r="MIU1" s="53"/>
      <c r="MIV1" s="53"/>
      <c r="MIW1" s="53"/>
      <c r="MIX1" s="53"/>
      <c r="MIY1" s="53"/>
      <c r="MIZ1" s="53"/>
      <c r="MJA1" s="53"/>
      <c r="MJB1" s="53"/>
      <c r="MJC1" s="53"/>
      <c r="MJD1" s="53"/>
      <c r="MJE1" s="53"/>
      <c r="MJF1" s="53"/>
      <c r="MJG1" s="53"/>
      <c r="MJH1" s="53"/>
      <c r="MJI1" s="53"/>
      <c r="MJJ1" s="53"/>
      <c r="MJK1" s="53"/>
      <c r="MJL1" s="53"/>
      <c r="MJM1" s="53"/>
      <c r="MJN1" s="53"/>
      <c r="MJO1" s="53"/>
      <c r="MJP1" s="53"/>
      <c r="MJQ1" s="53"/>
      <c r="MJR1" s="53"/>
      <c r="MJS1" s="53"/>
      <c r="MJT1" s="53"/>
      <c r="MJU1" s="53"/>
      <c r="MJV1" s="53"/>
      <c r="MJW1" s="53"/>
      <c r="MJX1" s="53"/>
      <c r="MJY1" s="53"/>
      <c r="MJZ1" s="53"/>
      <c r="MKA1" s="53"/>
      <c r="MKB1" s="53"/>
      <c r="MKC1" s="53"/>
      <c r="MKD1" s="53"/>
      <c r="MKE1" s="53"/>
      <c r="MKF1" s="53"/>
      <c r="MKG1" s="53"/>
      <c r="MKH1" s="53"/>
      <c r="MKI1" s="53"/>
      <c r="MKJ1" s="53"/>
      <c r="MKK1" s="53"/>
      <c r="MKL1" s="53"/>
      <c r="MKM1" s="53"/>
      <c r="MKN1" s="53"/>
      <c r="MKO1" s="53"/>
      <c r="MKP1" s="53"/>
      <c r="MKQ1" s="53"/>
      <c r="MKR1" s="53"/>
      <c r="MKS1" s="53"/>
      <c r="MKT1" s="53"/>
      <c r="MKU1" s="53"/>
      <c r="MKV1" s="53"/>
      <c r="MKW1" s="53"/>
      <c r="MKX1" s="53"/>
      <c r="MKY1" s="53"/>
      <c r="MKZ1" s="53"/>
      <c r="MLA1" s="53"/>
      <c r="MLB1" s="53"/>
      <c r="MLC1" s="53"/>
      <c r="MLD1" s="53"/>
      <c r="MLE1" s="53"/>
      <c r="MLF1" s="53"/>
      <c r="MLG1" s="53"/>
      <c r="MLH1" s="53"/>
      <c r="MLI1" s="53"/>
      <c r="MLJ1" s="53"/>
      <c r="MLK1" s="53"/>
      <c r="MLL1" s="53"/>
      <c r="MLM1" s="53"/>
      <c r="MLN1" s="53"/>
      <c r="MLO1" s="53"/>
      <c r="MLP1" s="53"/>
      <c r="MLQ1" s="53"/>
      <c r="MLR1" s="53"/>
      <c r="MLS1" s="53"/>
      <c r="MLT1" s="53"/>
      <c r="MLU1" s="53"/>
      <c r="MLV1" s="53"/>
      <c r="MLW1" s="53"/>
      <c r="MLX1" s="53"/>
      <c r="MLY1" s="53"/>
      <c r="MLZ1" s="53"/>
      <c r="MMA1" s="53"/>
      <c r="MMB1" s="53"/>
      <c r="MMC1" s="53"/>
      <c r="MMD1" s="53"/>
      <c r="MME1" s="53"/>
      <c r="MMF1" s="53"/>
      <c r="MMG1" s="53"/>
      <c r="MMH1" s="53"/>
      <c r="MMI1" s="53"/>
      <c r="MMJ1" s="53"/>
      <c r="MMK1" s="53"/>
      <c r="MML1" s="53"/>
      <c r="MMM1" s="53"/>
      <c r="MMN1" s="53"/>
      <c r="MMO1" s="53"/>
      <c r="MMP1" s="53"/>
      <c r="MMQ1" s="53"/>
      <c r="MMR1" s="53"/>
      <c r="MMS1" s="53"/>
      <c r="MMT1" s="53"/>
      <c r="MMU1" s="53"/>
      <c r="MMV1" s="53"/>
      <c r="MMW1" s="53"/>
      <c r="MMX1" s="53"/>
      <c r="MMY1" s="53"/>
      <c r="MMZ1" s="53"/>
      <c r="MNA1" s="53"/>
      <c r="MNB1" s="53"/>
      <c r="MNC1" s="53"/>
      <c r="MND1" s="53"/>
      <c r="MNE1" s="53"/>
      <c r="MNF1" s="53"/>
      <c r="MNG1" s="53"/>
      <c r="MNH1" s="53"/>
      <c r="MNI1" s="53"/>
      <c r="MNJ1" s="53"/>
      <c r="MNK1" s="53"/>
      <c r="MNL1" s="53"/>
      <c r="MNM1" s="53"/>
      <c r="MNN1" s="53"/>
      <c r="MNO1" s="53"/>
      <c r="MNP1" s="53"/>
      <c r="MNQ1" s="53"/>
      <c r="MNR1" s="53"/>
      <c r="MNS1" s="53"/>
      <c r="MNT1" s="53"/>
      <c r="MNU1" s="53"/>
      <c r="MNV1" s="53"/>
      <c r="MNW1" s="53"/>
      <c r="MNX1" s="53"/>
      <c r="MNY1" s="53"/>
      <c r="MNZ1" s="53"/>
      <c r="MOA1" s="53"/>
      <c r="MOB1" s="53"/>
      <c r="MOC1" s="53"/>
      <c r="MOD1" s="53"/>
      <c r="MOE1" s="53"/>
      <c r="MOF1" s="53"/>
      <c r="MOG1" s="53"/>
      <c r="MOH1" s="53"/>
      <c r="MOI1" s="53"/>
      <c r="MOJ1" s="53"/>
      <c r="MOK1" s="53"/>
      <c r="MOL1" s="53"/>
      <c r="MOM1" s="53"/>
      <c r="MON1" s="53"/>
      <c r="MOO1" s="53"/>
      <c r="MOP1" s="53"/>
      <c r="MOQ1" s="53"/>
      <c r="MOR1" s="53"/>
      <c r="MOS1" s="53"/>
      <c r="MOT1" s="53"/>
      <c r="MOU1" s="53"/>
      <c r="MOV1" s="53"/>
      <c r="MOW1" s="53"/>
      <c r="MOX1" s="53"/>
      <c r="MOY1" s="53"/>
      <c r="MOZ1" s="53"/>
      <c r="MPA1" s="53"/>
      <c r="MPB1" s="53"/>
      <c r="MPC1" s="53"/>
      <c r="MPD1" s="53"/>
      <c r="MPE1" s="53"/>
      <c r="MPF1" s="53"/>
      <c r="MPG1" s="53"/>
      <c r="MPH1" s="53"/>
      <c r="MPI1" s="53"/>
      <c r="MPJ1" s="53"/>
      <c r="MPK1" s="53"/>
      <c r="MPL1" s="53"/>
      <c r="MPM1" s="53"/>
      <c r="MPN1" s="53"/>
      <c r="MPO1" s="53"/>
      <c r="MPP1" s="53"/>
      <c r="MPQ1" s="53"/>
      <c r="MPR1" s="53"/>
      <c r="MPS1" s="53"/>
      <c r="MPT1" s="53"/>
      <c r="MPU1" s="53"/>
      <c r="MPV1" s="53"/>
      <c r="MPW1" s="53"/>
      <c r="MPX1" s="53"/>
      <c r="MPY1" s="53"/>
      <c r="MPZ1" s="53"/>
      <c r="MQA1" s="53"/>
      <c r="MQB1" s="53"/>
      <c r="MQC1" s="53"/>
      <c r="MQD1" s="53"/>
      <c r="MQE1" s="53"/>
      <c r="MQF1" s="53"/>
      <c r="MQG1" s="53"/>
      <c r="MQH1" s="53"/>
      <c r="MQI1" s="53"/>
      <c r="MQJ1" s="53"/>
      <c r="MQK1" s="53"/>
      <c r="MQL1" s="53"/>
      <c r="MQM1" s="53"/>
      <c r="MQN1" s="53"/>
      <c r="MQO1" s="53"/>
      <c r="MQP1" s="53"/>
      <c r="MQQ1" s="53"/>
      <c r="MQR1" s="53"/>
      <c r="MQS1" s="53"/>
      <c r="MQT1" s="53"/>
      <c r="MQU1" s="53"/>
      <c r="MQV1" s="53"/>
      <c r="MQW1" s="53"/>
      <c r="MQX1" s="53"/>
      <c r="MQY1" s="53"/>
      <c r="MQZ1" s="53"/>
      <c r="MRA1" s="53"/>
      <c r="MRB1" s="53"/>
      <c r="MRC1" s="53"/>
      <c r="MRD1" s="53"/>
      <c r="MRE1" s="53"/>
      <c r="MRF1" s="53"/>
      <c r="MRG1" s="53"/>
      <c r="MRH1" s="53"/>
      <c r="MRI1" s="53"/>
      <c r="MRJ1" s="53"/>
      <c r="MRK1" s="53"/>
      <c r="MRL1" s="53"/>
      <c r="MRM1" s="53"/>
      <c r="MRN1" s="53"/>
      <c r="MRO1" s="53"/>
      <c r="MRP1" s="53"/>
      <c r="MRQ1" s="53"/>
      <c r="MRR1" s="53"/>
      <c r="MRS1" s="53"/>
      <c r="MRT1" s="53"/>
      <c r="MRU1" s="53"/>
      <c r="MRV1" s="53"/>
      <c r="MRW1" s="53"/>
      <c r="MRX1" s="53"/>
      <c r="MRY1" s="53"/>
      <c r="MRZ1" s="53"/>
      <c r="MSA1" s="53"/>
      <c r="MSB1" s="53"/>
      <c r="MSC1" s="53"/>
      <c r="MSD1" s="53"/>
      <c r="MSE1" s="53"/>
      <c r="MSF1" s="53"/>
      <c r="MSG1" s="53"/>
      <c r="MSH1" s="53"/>
      <c r="MSI1" s="53"/>
      <c r="MSJ1" s="53"/>
      <c r="MSK1" s="53"/>
      <c r="MSL1" s="53"/>
      <c r="MSM1" s="53"/>
      <c r="MSN1" s="53"/>
      <c r="MSO1" s="53"/>
      <c r="MSP1" s="53"/>
      <c r="MSQ1" s="53"/>
      <c r="MSR1" s="53"/>
      <c r="MSS1" s="53"/>
      <c r="MST1" s="53"/>
      <c r="MSU1" s="53"/>
      <c r="MSV1" s="53"/>
      <c r="MSW1" s="53"/>
      <c r="MSX1" s="53"/>
      <c r="MSY1" s="53"/>
      <c r="MSZ1" s="53"/>
      <c r="MTA1" s="53"/>
      <c r="MTB1" s="53"/>
      <c r="MTC1" s="53"/>
      <c r="MTD1" s="53"/>
      <c r="MTE1" s="53"/>
      <c r="MTF1" s="53"/>
      <c r="MTG1" s="53"/>
      <c r="MTH1" s="53"/>
      <c r="MTI1" s="53"/>
      <c r="MTJ1" s="53"/>
      <c r="MTK1" s="53"/>
      <c r="MTL1" s="53"/>
      <c r="MTM1" s="53"/>
      <c r="MTN1" s="53"/>
      <c r="MTO1" s="53"/>
      <c r="MTP1" s="53"/>
      <c r="MTQ1" s="53"/>
      <c r="MTR1" s="53"/>
      <c r="MTS1" s="53"/>
      <c r="MTT1" s="53"/>
      <c r="MTU1" s="53"/>
      <c r="MTV1" s="53"/>
      <c r="MTW1" s="53"/>
      <c r="MTX1" s="53"/>
      <c r="MTY1" s="53"/>
      <c r="MTZ1" s="53"/>
      <c r="MUA1" s="53"/>
      <c r="MUB1" s="53"/>
      <c r="MUC1" s="53"/>
      <c r="MUD1" s="53"/>
      <c r="MUE1" s="53"/>
      <c r="MUF1" s="53"/>
      <c r="MUG1" s="53"/>
      <c r="MUH1" s="53"/>
      <c r="MUI1" s="53"/>
      <c r="MUJ1" s="53"/>
      <c r="MUK1" s="53"/>
      <c r="MUL1" s="53"/>
      <c r="MUM1" s="53"/>
      <c r="MUN1" s="53"/>
      <c r="MUO1" s="53"/>
      <c r="MUP1" s="53"/>
      <c r="MUQ1" s="53"/>
      <c r="MUR1" s="53"/>
      <c r="MUS1" s="53"/>
      <c r="MUT1" s="53"/>
      <c r="MUU1" s="53"/>
      <c r="MUV1" s="53"/>
      <c r="MUW1" s="53"/>
      <c r="MUX1" s="53"/>
      <c r="MUY1" s="53"/>
      <c r="MUZ1" s="53"/>
      <c r="MVA1" s="53"/>
      <c r="MVB1" s="53"/>
      <c r="MVC1" s="53"/>
      <c r="MVD1" s="53"/>
      <c r="MVE1" s="53"/>
      <c r="MVF1" s="53"/>
      <c r="MVG1" s="53"/>
      <c r="MVH1" s="53"/>
      <c r="MVI1" s="53"/>
      <c r="MVJ1" s="53"/>
      <c r="MVK1" s="53"/>
      <c r="MVL1" s="53"/>
      <c r="MVM1" s="53"/>
      <c r="MVN1" s="53"/>
      <c r="MVO1" s="53"/>
      <c r="MVP1" s="53"/>
      <c r="MVQ1" s="53"/>
      <c r="MVR1" s="53"/>
      <c r="MVS1" s="53"/>
      <c r="MVT1" s="53"/>
      <c r="MVU1" s="53"/>
      <c r="MVV1" s="53"/>
      <c r="MVW1" s="53"/>
      <c r="MVX1" s="53"/>
      <c r="MVY1" s="53"/>
      <c r="MVZ1" s="53"/>
      <c r="MWA1" s="53"/>
      <c r="MWB1" s="53"/>
      <c r="MWC1" s="53"/>
      <c r="MWD1" s="53"/>
      <c r="MWE1" s="53"/>
      <c r="MWF1" s="53"/>
      <c r="MWG1" s="53"/>
      <c r="MWH1" s="53"/>
      <c r="MWI1" s="53"/>
      <c r="MWJ1" s="53"/>
      <c r="MWK1" s="53"/>
      <c r="MWL1" s="53"/>
      <c r="MWM1" s="53"/>
      <c r="MWN1" s="53"/>
      <c r="MWO1" s="53"/>
      <c r="MWP1" s="53"/>
      <c r="MWQ1" s="53"/>
      <c r="MWR1" s="53"/>
      <c r="MWS1" s="53"/>
      <c r="MWT1" s="53"/>
      <c r="MWU1" s="53"/>
      <c r="MWV1" s="53"/>
      <c r="MWW1" s="53"/>
      <c r="MWX1" s="53"/>
      <c r="MWY1" s="53"/>
      <c r="MWZ1" s="53"/>
      <c r="MXA1" s="53"/>
      <c r="MXB1" s="53"/>
      <c r="MXC1" s="53"/>
      <c r="MXD1" s="53"/>
      <c r="MXE1" s="53"/>
      <c r="MXF1" s="53"/>
      <c r="MXG1" s="53"/>
      <c r="MXH1" s="53"/>
      <c r="MXI1" s="53"/>
      <c r="MXJ1" s="53"/>
      <c r="MXK1" s="53"/>
      <c r="MXL1" s="53"/>
      <c r="MXM1" s="53"/>
      <c r="MXN1" s="53"/>
      <c r="MXO1" s="53"/>
      <c r="MXP1" s="53"/>
      <c r="MXQ1" s="53"/>
      <c r="MXR1" s="53"/>
      <c r="MXS1" s="53"/>
      <c r="MXT1" s="53"/>
      <c r="MXU1" s="53"/>
      <c r="MXV1" s="53"/>
      <c r="MXW1" s="53"/>
      <c r="MXX1" s="53"/>
      <c r="MXY1" s="53"/>
      <c r="MXZ1" s="53"/>
      <c r="MYA1" s="53"/>
      <c r="MYB1" s="53"/>
      <c r="MYC1" s="53"/>
      <c r="MYD1" s="53"/>
      <c r="MYE1" s="53"/>
      <c r="MYF1" s="53"/>
      <c r="MYG1" s="53"/>
      <c r="MYH1" s="53"/>
      <c r="MYI1" s="53"/>
      <c r="MYJ1" s="53"/>
      <c r="MYK1" s="53"/>
      <c r="MYL1" s="53"/>
      <c r="MYM1" s="53"/>
      <c r="MYN1" s="53"/>
      <c r="MYO1" s="53"/>
      <c r="MYP1" s="53"/>
      <c r="MYQ1" s="53"/>
      <c r="MYR1" s="53"/>
      <c r="MYS1" s="53"/>
      <c r="MYT1" s="53"/>
      <c r="MYU1" s="53"/>
      <c r="MYV1" s="53"/>
      <c r="MYW1" s="53"/>
      <c r="MYX1" s="53"/>
      <c r="MYY1" s="53"/>
      <c r="MYZ1" s="53"/>
      <c r="MZA1" s="53"/>
      <c r="MZB1" s="53"/>
      <c r="MZC1" s="53"/>
      <c r="MZD1" s="53"/>
      <c r="MZE1" s="53"/>
      <c r="MZF1" s="53"/>
      <c r="MZG1" s="53"/>
      <c r="MZH1" s="53"/>
      <c r="MZI1" s="53"/>
      <c r="MZJ1" s="53"/>
      <c r="MZK1" s="53"/>
      <c r="MZL1" s="53"/>
      <c r="MZM1" s="53"/>
      <c r="MZN1" s="53"/>
      <c r="MZO1" s="53"/>
      <c r="MZP1" s="53"/>
      <c r="MZQ1" s="53"/>
      <c r="MZR1" s="53"/>
      <c r="MZS1" s="53"/>
      <c r="MZT1" s="53"/>
      <c r="MZU1" s="53"/>
      <c r="MZV1" s="53"/>
      <c r="MZW1" s="53"/>
      <c r="MZX1" s="53"/>
      <c r="MZY1" s="53"/>
      <c r="MZZ1" s="53"/>
      <c r="NAA1" s="53"/>
      <c r="NAB1" s="53"/>
      <c r="NAC1" s="53"/>
      <c r="NAD1" s="53"/>
      <c r="NAE1" s="53"/>
      <c r="NAF1" s="53"/>
      <c r="NAG1" s="53"/>
      <c r="NAH1" s="53"/>
      <c r="NAI1" s="53"/>
      <c r="NAJ1" s="53"/>
      <c r="NAK1" s="53"/>
      <c r="NAL1" s="53"/>
      <c r="NAM1" s="53"/>
      <c r="NAN1" s="53"/>
      <c r="NAO1" s="53"/>
      <c r="NAP1" s="53"/>
      <c r="NAQ1" s="53"/>
      <c r="NAR1" s="53"/>
      <c r="NAS1" s="53"/>
      <c r="NAT1" s="53"/>
      <c r="NAU1" s="53"/>
      <c r="NAV1" s="53"/>
      <c r="NAW1" s="53"/>
      <c r="NAX1" s="53"/>
      <c r="NAY1" s="53"/>
      <c r="NAZ1" s="53"/>
      <c r="NBA1" s="53"/>
      <c r="NBB1" s="53"/>
      <c r="NBC1" s="53"/>
      <c r="NBD1" s="53"/>
      <c r="NBE1" s="53"/>
      <c r="NBF1" s="53"/>
      <c r="NBG1" s="53"/>
      <c r="NBH1" s="53"/>
      <c r="NBI1" s="53"/>
      <c r="NBJ1" s="53"/>
      <c r="NBK1" s="53"/>
      <c r="NBL1" s="53"/>
      <c r="NBM1" s="53"/>
      <c r="NBN1" s="53"/>
      <c r="NBO1" s="53"/>
      <c r="NBP1" s="53"/>
      <c r="NBQ1" s="53"/>
      <c r="NBR1" s="53"/>
      <c r="NBS1" s="53"/>
      <c r="NBT1" s="53"/>
      <c r="NBU1" s="53"/>
      <c r="NBV1" s="53"/>
      <c r="NBW1" s="53"/>
      <c r="NBX1" s="53"/>
      <c r="NBY1" s="53"/>
      <c r="NBZ1" s="53"/>
      <c r="NCA1" s="53"/>
      <c r="NCB1" s="53"/>
      <c r="NCC1" s="53"/>
      <c r="NCD1" s="53"/>
      <c r="NCE1" s="53"/>
      <c r="NCF1" s="53"/>
      <c r="NCG1" s="53"/>
      <c r="NCH1" s="53"/>
      <c r="NCI1" s="53"/>
      <c r="NCJ1" s="53"/>
      <c r="NCK1" s="53"/>
      <c r="NCL1" s="53"/>
      <c r="NCM1" s="53"/>
      <c r="NCN1" s="53"/>
      <c r="NCO1" s="53"/>
      <c r="NCP1" s="53"/>
      <c r="NCQ1" s="53"/>
      <c r="NCR1" s="53"/>
      <c r="NCS1" s="53"/>
      <c r="NCT1" s="53"/>
      <c r="NCU1" s="53"/>
      <c r="NCV1" s="53"/>
      <c r="NCW1" s="53"/>
      <c r="NCX1" s="53"/>
      <c r="NCY1" s="53"/>
      <c r="NCZ1" s="53"/>
      <c r="NDA1" s="53"/>
      <c r="NDB1" s="53"/>
      <c r="NDC1" s="53"/>
      <c r="NDD1" s="53"/>
      <c r="NDE1" s="53"/>
      <c r="NDF1" s="53"/>
      <c r="NDG1" s="53"/>
      <c r="NDH1" s="53"/>
      <c r="NDI1" s="53"/>
      <c r="NDJ1" s="53"/>
      <c r="NDK1" s="53"/>
      <c r="NDL1" s="53"/>
      <c r="NDM1" s="53"/>
      <c r="NDN1" s="53"/>
      <c r="NDO1" s="53"/>
      <c r="NDP1" s="53"/>
      <c r="NDQ1" s="53"/>
      <c r="NDR1" s="53"/>
      <c r="NDS1" s="53"/>
      <c r="NDT1" s="53"/>
      <c r="NDU1" s="53"/>
      <c r="NDV1" s="53"/>
      <c r="NDW1" s="53"/>
      <c r="NDX1" s="53"/>
      <c r="NDY1" s="53"/>
      <c r="NDZ1" s="53"/>
      <c r="NEA1" s="53"/>
      <c r="NEB1" s="53"/>
      <c r="NEC1" s="53"/>
      <c r="NED1" s="53"/>
      <c r="NEE1" s="53"/>
      <c r="NEF1" s="53"/>
      <c r="NEG1" s="53"/>
      <c r="NEH1" s="53"/>
      <c r="NEI1" s="53"/>
      <c r="NEJ1" s="53"/>
      <c r="NEK1" s="53"/>
      <c r="NEL1" s="53"/>
      <c r="NEM1" s="53"/>
      <c r="NEN1" s="53"/>
      <c r="NEO1" s="53"/>
      <c r="NEP1" s="53"/>
      <c r="NEQ1" s="53"/>
      <c r="NER1" s="53"/>
      <c r="NES1" s="53"/>
      <c r="NET1" s="53"/>
      <c r="NEU1" s="53"/>
      <c r="NEV1" s="53"/>
      <c r="NEW1" s="53"/>
      <c r="NEX1" s="53"/>
      <c r="NEY1" s="53"/>
      <c r="NEZ1" s="53"/>
      <c r="NFA1" s="53"/>
      <c r="NFB1" s="53"/>
      <c r="NFC1" s="53"/>
      <c r="NFD1" s="53"/>
      <c r="NFE1" s="53"/>
      <c r="NFF1" s="53"/>
      <c r="NFG1" s="53"/>
      <c r="NFH1" s="53"/>
      <c r="NFI1" s="53"/>
      <c r="NFJ1" s="53"/>
      <c r="NFK1" s="53"/>
      <c r="NFL1" s="53"/>
      <c r="NFM1" s="53"/>
      <c r="NFN1" s="53"/>
      <c r="NFO1" s="53"/>
      <c r="NFP1" s="53"/>
      <c r="NFQ1" s="53"/>
      <c r="NFR1" s="53"/>
      <c r="NFS1" s="53"/>
      <c r="NFT1" s="53"/>
      <c r="NFU1" s="53"/>
      <c r="NFV1" s="53"/>
      <c r="NFW1" s="53"/>
      <c r="NFX1" s="53"/>
      <c r="NFY1" s="53"/>
      <c r="NFZ1" s="53"/>
      <c r="NGA1" s="53"/>
      <c r="NGB1" s="53"/>
      <c r="NGC1" s="53"/>
      <c r="NGD1" s="53"/>
      <c r="NGE1" s="53"/>
      <c r="NGF1" s="53"/>
      <c r="NGG1" s="53"/>
      <c r="NGH1" s="53"/>
      <c r="NGI1" s="53"/>
      <c r="NGJ1" s="53"/>
      <c r="NGK1" s="53"/>
      <c r="NGL1" s="53"/>
      <c r="NGM1" s="53"/>
      <c r="NGN1" s="53"/>
      <c r="NGO1" s="53"/>
      <c r="NGP1" s="53"/>
      <c r="NGQ1" s="53"/>
      <c r="NGR1" s="53"/>
      <c r="NGS1" s="53"/>
      <c r="NGT1" s="53"/>
      <c r="NGU1" s="53"/>
      <c r="NGV1" s="53"/>
      <c r="NGW1" s="53"/>
      <c r="NGX1" s="53"/>
      <c r="NGY1" s="53"/>
      <c r="NGZ1" s="53"/>
      <c r="NHA1" s="53"/>
      <c r="NHB1" s="53"/>
      <c r="NHC1" s="53"/>
      <c r="NHD1" s="53"/>
      <c r="NHE1" s="53"/>
      <c r="NHF1" s="53"/>
      <c r="NHG1" s="53"/>
      <c r="NHH1" s="53"/>
      <c r="NHI1" s="53"/>
      <c r="NHJ1" s="53"/>
      <c r="NHK1" s="53"/>
      <c r="NHL1" s="53"/>
      <c r="NHM1" s="53"/>
      <c r="NHN1" s="53"/>
      <c r="NHO1" s="53"/>
      <c r="NHP1" s="53"/>
      <c r="NHQ1" s="53"/>
      <c r="NHR1" s="53"/>
      <c r="NHS1" s="53"/>
      <c r="NHT1" s="53"/>
      <c r="NHU1" s="53"/>
      <c r="NHV1" s="53"/>
      <c r="NHW1" s="53"/>
      <c r="NHX1" s="53"/>
      <c r="NHY1" s="53"/>
      <c r="NHZ1" s="53"/>
      <c r="NIA1" s="53"/>
      <c r="NIB1" s="53"/>
      <c r="NIC1" s="53"/>
      <c r="NID1" s="53"/>
      <c r="NIE1" s="53"/>
      <c r="NIF1" s="53"/>
      <c r="NIG1" s="53"/>
      <c r="NIH1" s="53"/>
      <c r="NII1" s="53"/>
      <c r="NIJ1" s="53"/>
      <c r="NIK1" s="53"/>
      <c r="NIL1" s="53"/>
      <c r="NIM1" s="53"/>
      <c r="NIN1" s="53"/>
      <c r="NIO1" s="53"/>
      <c r="NIP1" s="53"/>
      <c r="NIQ1" s="53"/>
      <c r="NIR1" s="53"/>
      <c r="NIS1" s="53"/>
      <c r="NIT1" s="53"/>
      <c r="NIU1" s="53"/>
      <c r="NIV1" s="53"/>
      <c r="NIW1" s="53"/>
      <c r="NIX1" s="53"/>
      <c r="NIY1" s="53"/>
      <c r="NIZ1" s="53"/>
      <c r="NJA1" s="53"/>
      <c r="NJB1" s="53"/>
      <c r="NJC1" s="53"/>
      <c r="NJD1" s="53"/>
      <c r="NJE1" s="53"/>
      <c r="NJF1" s="53"/>
      <c r="NJG1" s="53"/>
      <c r="NJH1" s="53"/>
      <c r="NJI1" s="53"/>
      <c r="NJJ1" s="53"/>
      <c r="NJK1" s="53"/>
      <c r="NJL1" s="53"/>
      <c r="NJM1" s="53"/>
      <c r="NJN1" s="53"/>
      <c r="NJO1" s="53"/>
      <c r="NJP1" s="53"/>
      <c r="NJQ1" s="53"/>
      <c r="NJR1" s="53"/>
      <c r="NJS1" s="53"/>
      <c r="NJT1" s="53"/>
      <c r="NJU1" s="53"/>
      <c r="NJV1" s="53"/>
      <c r="NJW1" s="53"/>
      <c r="NJX1" s="53"/>
      <c r="NJY1" s="53"/>
      <c r="NJZ1" s="53"/>
      <c r="NKA1" s="53"/>
      <c r="NKB1" s="53"/>
      <c r="NKC1" s="53"/>
      <c r="NKD1" s="53"/>
      <c r="NKE1" s="53"/>
      <c r="NKF1" s="53"/>
      <c r="NKG1" s="53"/>
      <c r="NKH1" s="53"/>
      <c r="NKI1" s="53"/>
      <c r="NKJ1" s="53"/>
      <c r="NKK1" s="53"/>
      <c r="NKL1" s="53"/>
      <c r="NKM1" s="53"/>
      <c r="NKN1" s="53"/>
      <c r="NKO1" s="53"/>
      <c r="NKP1" s="53"/>
      <c r="NKQ1" s="53"/>
      <c r="NKR1" s="53"/>
      <c r="NKS1" s="53"/>
      <c r="NKT1" s="53"/>
      <c r="NKU1" s="53"/>
      <c r="NKV1" s="53"/>
      <c r="NKW1" s="53"/>
      <c r="NKX1" s="53"/>
      <c r="NKY1" s="53"/>
      <c r="NKZ1" s="53"/>
      <c r="NLA1" s="53"/>
      <c r="NLB1" s="53"/>
      <c r="NLC1" s="53"/>
      <c r="NLD1" s="53"/>
      <c r="NLE1" s="53"/>
      <c r="NLF1" s="53"/>
      <c r="NLG1" s="53"/>
      <c r="NLH1" s="53"/>
      <c r="NLI1" s="53"/>
      <c r="NLJ1" s="53"/>
      <c r="NLK1" s="53"/>
      <c r="NLL1" s="53"/>
      <c r="NLM1" s="53"/>
      <c r="NLN1" s="53"/>
      <c r="NLO1" s="53"/>
      <c r="NLP1" s="53"/>
      <c r="NLQ1" s="53"/>
      <c r="NLR1" s="53"/>
      <c r="NLS1" s="53"/>
      <c r="NLT1" s="53"/>
      <c r="NLU1" s="53"/>
      <c r="NLV1" s="53"/>
      <c r="NLW1" s="53"/>
      <c r="NLX1" s="53"/>
      <c r="NLY1" s="53"/>
      <c r="NLZ1" s="53"/>
      <c r="NMA1" s="53"/>
      <c r="NMB1" s="53"/>
      <c r="NMC1" s="53"/>
      <c r="NMD1" s="53"/>
      <c r="NME1" s="53"/>
      <c r="NMF1" s="53"/>
      <c r="NMG1" s="53"/>
      <c r="NMH1" s="53"/>
      <c r="NMI1" s="53"/>
      <c r="NMJ1" s="53"/>
      <c r="NMK1" s="53"/>
      <c r="NML1" s="53"/>
      <c r="NMM1" s="53"/>
      <c r="NMN1" s="53"/>
      <c r="NMO1" s="53"/>
      <c r="NMP1" s="53"/>
      <c r="NMQ1" s="53"/>
      <c r="NMR1" s="53"/>
      <c r="NMS1" s="53"/>
      <c r="NMT1" s="53"/>
      <c r="NMU1" s="53"/>
      <c r="NMV1" s="53"/>
      <c r="NMW1" s="53"/>
      <c r="NMX1" s="53"/>
      <c r="NMY1" s="53"/>
      <c r="NMZ1" s="53"/>
      <c r="NNA1" s="53"/>
      <c r="NNB1" s="53"/>
      <c r="NNC1" s="53"/>
      <c r="NND1" s="53"/>
      <c r="NNE1" s="53"/>
      <c r="NNF1" s="53"/>
      <c r="NNG1" s="53"/>
      <c r="NNH1" s="53"/>
      <c r="NNI1" s="53"/>
      <c r="NNJ1" s="53"/>
      <c r="NNK1" s="53"/>
      <c r="NNL1" s="53"/>
      <c r="NNM1" s="53"/>
      <c r="NNN1" s="53"/>
      <c r="NNO1" s="53"/>
      <c r="NNP1" s="53"/>
      <c r="NNQ1" s="53"/>
      <c r="NNR1" s="53"/>
      <c r="NNS1" s="53"/>
      <c r="NNT1" s="53"/>
      <c r="NNU1" s="53"/>
      <c r="NNV1" s="53"/>
      <c r="NNW1" s="53"/>
      <c r="NNX1" s="53"/>
      <c r="NNY1" s="53"/>
      <c r="NNZ1" s="53"/>
      <c r="NOA1" s="53"/>
      <c r="NOB1" s="53"/>
      <c r="NOC1" s="53"/>
      <c r="NOD1" s="53"/>
      <c r="NOE1" s="53"/>
      <c r="NOF1" s="53"/>
      <c r="NOG1" s="53"/>
      <c r="NOH1" s="53"/>
      <c r="NOI1" s="53"/>
      <c r="NOJ1" s="53"/>
      <c r="NOK1" s="53"/>
      <c r="NOL1" s="53"/>
      <c r="NOM1" s="53"/>
      <c r="NON1" s="53"/>
      <c r="NOO1" s="53"/>
      <c r="NOP1" s="53"/>
      <c r="NOQ1" s="53"/>
      <c r="NOR1" s="53"/>
      <c r="NOS1" s="53"/>
      <c r="NOT1" s="53"/>
      <c r="NOU1" s="53"/>
      <c r="NOV1" s="53"/>
      <c r="NOW1" s="53"/>
      <c r="NOX1" s="53"/>
      <c r="NOY1" s="53"/>
      <c r="NOZ1" s="53"/>
      <c r="NPA1" s="53"/>
      <c r="NPB1" s="53"/>
      <c r="NPC1" s="53"/>
      <c r="NPD1" s="53"/>
      <c r="NPE1" s="53"/>
      <c r="NPF1" s="53"/>
      <c r="NPG1" s="53"/>
      <c r="NPH1" s="53"/>
      <c r="NPI1" s="53"/>
      <c r="NPJ1" s="53"/>
      <c r="NPK1" s="53"/>
      <c r="NPL1" s="53"/>
      <c r="NPM1" s="53"/>
      <c r="NPN1" s="53"/>
      <c r="NPO1" s="53"/>
      <c r="NPP1" s="53"/>
      <c r="NPQ1" s="53"/>
      <c r="NPR1" s="53"/>
      <c r="NPS1" s="53"/>
      <c r="NPT1" s="53"/>
      <c r="NPU1" s="53"/>
      <c r="NPV1" s="53"/>
      <c r="NPW1" s="53"/>
      <c r="NPX1" s="53"/>
      <c r="NPY1" s="53"/>
      <c r="NPZ1" s="53"/>
      <c r="NQA1" s="53"/>
      <c r="NQB1" s="53"/>
      <c r="NQC1" s="53"/>
      <c r="NQD1" s="53"/>
      <c r="NQE1" s="53"/>
      <c r="NQF1" s="53"/>
      <c r="NQG1" s="53"/>
      <c r="NQH1" s="53"/>
      <c r="NQI1" s="53"/>
      <c r="NQJ1" s="53"/>
      <c r="NQK1" s="53"/>
      <c r="NQL1" s="53"/>
      <c r="NQM1" s="53"/>
      <c r="NQN1" s="53"/>
      <c r="NQO1" s="53"/>
      <c r="NQP1" s="53"/>
      <c r="NQQ1" s="53"/>
      <c r="NQR1" s="53"/>
      <c r="NQS1" s="53"/>
      <c r="NQT1" s="53"/>
      <c r="NQU1" s="53"/>
      <c r="NQV1" s="53"/>
      <c r="NQW1" s="53"/>
      <c r="NQX1" s="53"/>
      <c r="NQY1" s="53"/>
      <c r="NQZ1" s="53"/>
      <c r="NRA1" s="53"/>
      <c r="NRB1" s="53"/>
      <c r="NRC1" s="53"/>
      <c r="NRD1" s="53"/>
      <c r="NRE1" s="53"/>
      <c r="NRF1" s="53"/>
      <c r="NRG1" s="53"/>
      <c r="NRH1" s="53"/>
      <c r="NRI1" s="53"/>
      <c r="NRJ1" s="53"/>
      <c r="NRK1" s="53"/>
      <c r="NRL1" s="53"/>
      <c r="NRM1" s="53"/>
      <c r="NRN1" s="53"/>
      <c r="NRO1" s="53"/>
      <c r="NRP1" s="53"/>
      <c r="NRQ1" s="53"/>
      <c r="NRR1" s="53"/>
      <c r="NRS1" s="53"/>
      <c r="NRT1" s="53"/>
      <c r="NRU1" s="53"/>
      <c r="NRV1" s="53"/>
      <c r="NRW1" s="53"/>
      <c r="NRX1" s="53"/>
      <c r="NRY1" s="53"/>
      <c r="NRZ1" s="53"/>
      <c r="NSA1" s="53"/>
      <c r="NSB1" s="53"/>
      <c r="NSC1" s="53"/>
      <c r="NSD1" s="53"/>
      <c r="NSE1" s="53"/>
      <c r="NSF1" s="53"/>
      <c r="NSG1" s="53"/>
      <c r="NSH1" s="53"/>
      <c r="NSI1" s="53"/>
      <c r="NSJ1" s="53"/>
      <c r="NSK1" s="53"/>
      <c r="NSL1" s="53"/>
      <c r="NSM1" s="53"/>
      <c r="NSN1" s="53"/>
      <c r="NSO1" s="53"/>
      <c r="NSP1" s="53"/>
      <c r="NSQ1" s="53"/>
      <c r="NSR1" s="53"/>
      <c r="NSS1" s="53"/>
      <c r="NST1" s="53"/>
      <c r="NSU1" s="53"/>
      <c r="NSV1" s="53"/>
      <c r="NSW1" s="53"/>
      <c r="NSX1" s="53"/>
      <c r="NSY1" s="53"/>
      <c r="NSZ1" s="53"/>
      <c r="NTA1" s="53"/>
      <c r="NTB1" s="53"/>
      <c r="NTC1" s="53"/>
      <c r="NTD1" s="53"/>
      <c r="NTE1" s="53"/>
      <c r="NTF1" s="53"/>
      <c r="NTG1" s="53"/>
      <c r="NTH1" s="53"/>
      <c r="NTI1" s="53"/>
      <c r="NTJ1" s="53"/>
      <c r="NTK1" s="53"/>
      <c r="NTL1" s="53"/>
      <c r="NTM1" s="53"/>
      <c r="NTN1" s="53"/>
      <c r="NTO1" s="53"/>
      <c r="NTP1" s="53"/>
      <c r="NTQ1" s="53"/>
      <c r="NTR1" s="53"/>
      <c r="NTS1" s="53"/>
      <c r="NTT1" s="53"/>
      <c r="NTU1" s="53"/>
      <c r="NTV1" s="53"/>
      <c r="NTW1" s="53"/>
      <c r="NTX1" s="53"/>
      <c r="NTY1" s="53"/>
      <c r="NTZ1" s="53"/>
      <c r="NUA1" s="53"/>
      <c r="NUB1" s="53"/>
      <c r="NUC1" s="53"/>
      <c r="NUD1" s="53"/>
      <c r="NUE1" s="53"/>
      <c r="NUF1" s="53"/>
      <c r="NUG1" s="53"/>
      <c r="NUH1" s="53"/>
      <c r="NUI1" s="53"/>
      <c r="NUJ1" s="53"/>
      <c r="NUK1" s="53"/>
      <c r="NUL1" s="53"/>
      <c r="NUM1" s="53"/>
      <c r="NUN1" s="53"/>
      <c r="NUO1" s="53"/>
      <c r="NUP1" s="53"/>
      <c r="NUQ1" s="53"/>
      <c r="NUR1" s="53"/>
      <c r="NUS1" s="53"/>
      <c r="NUT1" s="53"/>
      <c r="NUU1" s="53"/>
      <c r="NUV1" s="53"/>
      <c r="NUW1" s="53"/>
      <c r="NUX1" s="53"/>
      <c r="NUY1" s="53"/>
      <c r="NUZ1" s="53"/>
      <c r="NVA1" s="53"/>
      <c r="NVB1" s="53"/>
      <c r="NVC1" s="53"/>
      <c r="NVD1" s="53"/>
      <c r="NVE1" s="53"/>
      <c r="NVF1" s="53"/>
      <c r="NVG1" s="53"/>
      <c r="NVH1" s="53"/>
      <c r="NVI1" s="53"/>
      <c r="NVJ1" s="53"/>
      <c r="NVK1" s="53"/>
      <c r="NVL1" s="53"/>
      <c r="NVM1" s="53"/>
      <c r="NVN1" s="53"/>
      <c r="NVO1" s="53"/>
      <c r="NVP1" s="53"/>
      <c r="NVQ1" s="53"/>
      <c r="NVR1" s="53"/>
      <c r="NVS1" s="53"/>
      <c r="NVT1" s="53"/>
      <c r="NVU1" s="53"/>
      <c r="NVV1" s="53"/>
      <c r="NVW1" s="53"/>
      <c r="NVX1" s="53"/>
      <c r="NVY1" s="53"/>
      <c r="NVZ1" s="53"/>
      <c r="NWA1" s="53"/>
      <c r="NWB1" s="53"/>
      <c r="NWC1" s="53"/>
      <c r="NWD1" s="53"/>
      <c r="NWE1" s="53"/>
      <c r="NWF1" s="53"/>
      <c r="NWG1" s="53"/>
      <c r="NWH1" s="53"/>
      <c r="NWI1" s="53"/>
      <c r="NWJ1" s="53"/>
      <c r="NWK1" s="53"/>
      <c r="NWL1" s="53"/>
      <c r="NWM1" s="53"/>
      <c r="NWN1" s="53"/>
      <c r="NWO1" s="53"/>
      <c r="NWP1" s="53"/>
      <c r="NWQ1" s="53"/>
      <c r="NWR1" s="53"/>
      <c r="NWS1" s="53"/>
      <c r="NWT1" s="53"/>
      <c r="NWU1" s="53"/>
      <c r="NWV1" s="53"/>
      <c r="NWW1" s="53"/>
      <c r="NWX1" s="53"/>
      <c r="NWY1" s="53"/>
      <c r="NWZ1" s="53"/>
      <c r="NXA1" s="53"/>
      <c r="NXB1" s="53"/>
      <c r="NXC1" s="53"/>
      <c r="NXD1" s="53"/>
      <c r="NXE1" s="53"/>
      <c r="NXF1" s="53"/>
      <c r="NXG1" s="53"/>
      <c r="NXH1" s="53"/>
      <c r="NXI1" s="53"/>
      <c r="NXJ1" s="53"/>
      <c r="NXK1" s="53"/>
      <c r="NXL1" s="53"/>
      <c r="NXM1" s="53"/>
      <c r="NXN1" s="53"/>
      <c r="NXO1" s="53"/>
      <c r="NXP1" s="53"/>
      <c r="NXQ1" s="53"/>
      <c r="NXR1" s="53"/>
      <c r="NXS1" s="53"/>
      <c r="NXT1" s="53"/>
      <c r="NXU1" s="53"/>
      <c r="NXV1" s="53"/>
      <c r="NXW1" s="53"/>
      <c r="NXX1" s="53"/>
      <c r="NXY1" s="53"/>
      <c r="NXZ1" s="53"/>
      <c r="NYA1" s="53"/>
      <c r="NYB1" s="53"/>
      <c r="NYC1" s="53"/>
      <c r="NYD1" s="53"/>
      <c r="NYE1" s="53"/>
      <c r="NYF1" s="53"/>
      <c r="NYG1" s="53"/>
      <c r="NYH1" s="53"/>
      <c r="NYI1" s="53"/>
      <c r="NYJ1" s="53"/>
      <c r="NYK1" s="53"/>
      <c r="NYL1" s="53"/>
      <c r="NYM1" s="53"/>
      <c r="NYN1" s="53"/>
      <c r="NYO1" s="53"/>
      <c r="NYP1" s="53"/>
      <c r="NYQ1" s="53"/>
      <c r="NYR1" s="53"/>
      <c r="NYS1" s="53"/>
      <c r="NYT1" s="53"/>
      <c r="NYU1" s="53"/>
      <c r="NYV1" s="53"/>
      <c r="NYW1" s="53"/>
      <c r="NYX1" s="53"/>
      <c r="NYY1" s="53"/>
      <c r="NYZ1" s="53"/>
      <c r="NZA1" s="53"/>
      <c r="NZB1" s="53"/>
      <c r="NZC1" s="53"/>
      <c r="NZD1" s="53"/>
      <c r="NZE1" s="53"/>
      <c r="NZF1" s="53"/>
      <c r="NZG1" s="53"/>
      <c r="NZH1" s="53"/>
      <c r="NZI1" s="53"/>
      <c r="NZJ1" s="53"/>
      <c r="NZK1" s="53"/>
      <c r="NZL1" s="53"/>
      <c r="NZM1" s="53"/>
      <c r="NZN1" s="53"/>
      <c r="NZO1" s="53"/>
      <c r="NZP1" s="53"/>
      <c r="NZQ1" s="53"/>
      <c r="NZR1" s="53"/>
      <c r="NZS1" s="53"/>
      <c r="NZT1" s="53"/>
      <c r="NZU1" s="53"/>
      <c r="NZV1" s="53"/>
      <c r="NZW1" s="53"/>
      <c r="NZX1" s="53"/>
      <c r="NZY1" s="53"/>
      <c r="NZZ1" s="53"/>
      <c r="OAA1" s="53"/>
      <c r="OAB1" s="53"/>
      <c r="OAC1" s="53"/>
      <c r="OAD1" s="53"/>
      <c r="OAE1" s="53"/>
      <c r="OAF1" s="53"/>
      <c r="OAG1" s="53"/>
      <c r="OAH1" s="53"/>
      <c r="OAI1" s="53"/>
      <c r="OAJ1" s="53"/>
      <c r="OAK1" s="53"/>
      <c r="OAL1" s="53"/>
      <c r="OAM1" s="53"/>
      <c r="OAN1" s="53"/>
      <c r="OAO1" s="53"/>
      <c r="OAP1" s="53"/>
      <c r="OAQ1" s="53"/>
      <c r="OAR1" s="53"/>
      <c r="OAS1" s="53"/>
      <c r="OAT1" s="53"/>
      <c r="OAU1" s="53"/>
      <c r="OAV1" s="53"/>
      <c r="OAW1" s="53"/>
      <c r="OAX1" s="53"/>
      <c r="OAY1" s="53"/>
      <c r="OAZ1" s="53"/>
      <c r="OBA1" s="53"/>
      <c r="OBB1" s="53"/>
      <c r="OBC1" s="53"/>
      <c r="OBD1" s="53"/>
      <c r="OBE1" s="53"/>
      <c r="OBF1" s="53"/>
      <c r="OBG1" s="53"/>
      <c r="OBH1" s="53"/>
      <c r="OBI1" s="53"/>
      <c r="OBJ1" s="53"/>
      <c r="OBK1" s="53"/>
      <c r="OBL1" s="53"/>
      <c r="OBM1" s="53"/>
      <c r="OBN1" s="53"/>
      <c r="OBO1" s="53"/>
      <c r="OBP1" s="53"/>
      <c r="OBQ1" s="53"/>
      <c r="OBR1" s="53"/>
      <c r="OBS1" s="53"/>
      <c r="OBT1" s="53"/>
      <c r="OBU1" s="53"/>
      <c r="OBV1" s="53"/>
      <c r="OBW1" s="53"/>
      <c r="OBX1" s="53"/>
      <c r="OBY1" s="53"/>
      <c r="OBZ1" s="53"/>
      <c r="OCA1" s="53"/>
      <c r="OCB1" s="53"/>
      <c r="OCC1" s="53"/>
      <c r="OCD1" s="53"/>
      <c r="OCE1" s="53"/>
      <c r="OCF1" s="53"/>
      <c r="OCG1" s="53"/>
      <c r="OCH1" s="53"/>
      <c r="OCI1" s="53"/>
      <c r="OCJ1" s="53"/>
      <c r="OCK1" s="53"/>
      <c r="OCL1" s="53"/>
      <c r="OCM1" s="53"/>
      <c r="OCN1" s="53"/>
      <c r="OCO1" s="53"/>
      <c r="OCP1" s="53"/>
      <c r="OCQ1" s="53"/>
      <c r="OCR1" s="53"/>
      <c r="OCS1" s="53"/>
      <c r="OCT1" s="53"/>
      <c r="OCU1" s="53"/>
      <c r="OCV1" s="53"/>
      <c r="OCW1" s="53"/>
      <c r="OCX1" s="53"/>
      <c r="OCY1" s="53"/>
      <c r="OCZ1" s="53"/>
      <c r="ODA1" s="53"/>
      <c r="ODB1" s="53"/>
      <c r="ODC1" s="53"/>
      <c r="ODD1" s="53"/>
      <c r="ODE1" s="53"/>
      <c r="ODF1" s="53"/>
      <c r="ODG1" s="53"/>
      <c r="ODH1" s="53"/>
      <c r="ODI1" s="53"/>
      <c r="ODJ1" s="53"/>
      <c r="ODK1" s="53"/>
      <c r="ODL1" s="53"/>
      <c r="ODM1" s="53"/>
      <c r="ODN1" s="53"/>
      <c r="ODO1" s="53"/>
      <c r="ODP1" s="53"/>
      <c r="ODQ1" s="53"/>
      <c r="ODR1" s="53"/>
      <c r="ODS1" s="53"/>
      <c r="ODT1" s="53"/>
      <c r="ODU1" s="53"/>
      <c r="ODV1" s="53"/>
      <c r="ODW1" s="53"/>
      <c r="ODX1" s="53"/>
      <c r="ODY1" s="53"/>
      <c r="ODZ1" s="53"/>
      <c r="OEA1" s="53"/>
      <c r="OEB1" s="53"/>
      <c r="OEC1" s="53"/>
      <c r="OED1" s="53"/>
      <c r="OEE1" s="53"/>
      <c r="OEF1" s="53"/>
      <c r="OEG1" s="53"/>
      <c r="OEH1" s="53"/>
      <c r="OEI1" s="53"/>
      <c r="OEJ1" s="53"/>
      <c r="OEK1" s="53"/>
      <c r="OEL1" s="53"/>
      <c r="OEM1" s="53"/>
      <c r="OEN1" s="53"/>
      <c r="OEO1" s="53"/>
      <c r="OEP1" s="53"/>
      <c r="OEQ1" s="53"/>
      <c r="OER1" s="53"/>
      <c r="OES1" s="53"/>
      <c r="OET1" s="53"/>
      <c r="OEU1" s="53"/>
      <c r="OEV1" s="53"/>
      <c r="OEW1" s="53"/>
      <c r="OEX1" s="53"/>
      <c r="OEY1" s="53"/>
      <c r="OEZ1" s="53"/>
      <c r="OFA1" s="53"/>
      <c r="OFB1" s="53"/>
      <c r="OFC1" s="53"/>
      <c r="OFD1" s="53"/>
      <c r="OFE1" s="53"/>
      <c r="OFF1" s="53"/>
      <c r="OFG1" s="53"/>
      <c r="OFH1" s="53"/>
      <c r="OFI1" s="53"/>
      <c r="OFJ1" s="53"/>
      <c r="OFK1" s="53"/>
      <c r="OFL1" s="53"/>
      <c r="OFM1" s="53"/>
      <c r="OFN1" s="53"/>
      <c r="OFO1" s="53"/>
      <c r="OFP1" s="53"/>
      <c r="OFQ1" s="53"/>
      <c r="OFR1" s="53"/>
      <c r="OFS1" s="53"/>
      <c r="OFT1" s="53"/>
      <c r="OFU1" s="53"/>
      <c r="OFV1" s="53"/>
      <c r="OFW1" s="53"/>
      <c r="OFX1" s="53"/>
      <c r="OFY1" s="53"/>
      <c r="OFZ1" s="53"/>
      <c r="OGA1" s="53"/>
      <c r="OGB1" s="53"/>
      <c r="OGC1" s="53"/>
      <c r="OGD1" s="53"/>
      <c r="OGE1" s="53"/>
      <c r="OGF1" s="53"/>
      <c r="OGG1" s="53"/>
      <c r="OGH1" s="53"/>
      <c r="OGI1" s="53"/>
      <c r="OGJ1" s="53"/>
      <c r="OGK1" s="53"/>
      <c r="OGL1" s="53"/>
      <c r="OGM1" s="53"/>
      <c r="OGN1" s="53"/>
      <c r="OGO1" s="53"/>
      <c r="OGP1" s="53"/>
      <c r="OGQ1" s="53"/>
      <c r="OGR1" s="53"/>
      <c r="OGS1" s="53"/>
      <c r="OGT1" s="53"/>
      <c r="OGU1" s="53"/>
      <c r="OGV1" s="53"/>
      <c r="OGW1" s="53"/>
      <c r="OGX1" s="53"/>
      <c r="OGY1" s="53"/>
      <c r="OGZ1" s="53"/>
      <c r="OHA1" s="53"/>
      <c r="OHB1" s="53"/>
      <c r="OHC1" s="53"/>
      <c r="OHD1" s="53"/>
      <c r="OHE1" s="53"/>
      <c r="OHF1" s="53"/>
      <c r="OHG1" s="53"/>
      <c r="OHH1" s="53"/>
      <c r="OHI1" s="53"/>
      <c r="OHJ1" s="53"/>
      <c r="OHK1" s="53"/>
      <c r="OHL1" s="53"/>
      <c r="OHM1" s="53"/>
      <c r="OHN1" s="53"/>
      <c r="OHO1" s="53"/>
      <c r="OHP1" s="53"/>
      <c r="OHQ1" s="53"/>
      <c r="OHR1" s="53"/>
      <c r="OHS1" s="53"/>
      <c r="OHT1" s="53"/>
      <c r="OHU1" s="53"/>
      <c r="OHV1" s="53"/>
      <c r="OHW1" s="53"/>
      <c r="OHX1" s="53"/>
      <c r="OHY1" s="53"/>
      <c r="OHZ1" s="53"/>
      <c r="OIA1" s="53"/>
      <c r="OIB1" s="53"/>
      <c r="OIC1" s="53"/>
      <c r="OID1" s="53"/>
      <c r="OIE1" s="53"/>
      <c r="OIF1" s="53"/>
      <c r="OIG1" s="53"/>
      <c r="OIH1" s="53"/>
      <c r="OII1" s="53"/>
      <c r="OIJ1" s="53"/>
      <c r="OIK1" s="53"/>
      <c r="OIL1" s="53"/>
      <c r="OIM1" s="53"/>
      <c r="OIN1" s="53"/>
      <c r="OIO1" s="53"/>
      <c r="OIP1" s="53"/>
      <c r="OIQ1" s="53"/>
      <c r="OIR1" s="53"/>
      <c r="OIS1" s="53"/>
      <c r="OIT1" s="53"/>
      <c r="OIU1" s="53"/>
      <c r="OIV1" s="53"/>
      <c r="OIW1" s="53"/>
      <c r="OIX1" s="53"/>
      <c r="OIY1" s="53"/>
      <c r="OIZ1" s="53"/>
      <c r="OJA1" s="53"/>
      <c r="OJB1" s="53"/>
      <c r="OJC1" s="53"/>
      <c r="OJD1" s="53"/>
      <c r="OJE1" s="53"/>
      <c r="OJF1" s="53"/>
      <c r="OJG1" s="53"/>
      <c r="OJH1" s="53"/>
      <c r="OJI1" s="53"/>
      <c r="OJJ1" s="53"/>
      <c r="OJK1" s="53"/>
      <c r="OJL1" s="53"/>
      <c r="OJM1" s="53"/>
      <c r="OJN1" s="53"/>
      <c r="OJO1" s="53"/>
      <c r="OJP1" s="53"/>
      <c r="OJQ1" s="53"/>
      <c r="OJR1" s="53"/>
      <c r="OJS1" s="53"/>
      <c r="OJT1" s="53"/>
      <c r="OJU1" s="53"/>
      <c r="OJV1" s="53"/>
      <c r="OJW1" s="53"/>
      <c r="OJX1" s="53"/>
      <c r="OJY1" s="53"/>
      <c r="OJZ1" s="53"/>
      <c r="OKA1" s="53"/>
      <c r="OKB1" s="53"/>
      <c r="OKC1" s="53"/>
      <c r="OKD1" s="53"/>
      <c r="OKE1" s="53"/>
      <c r="OKF1" s="53"/>
      <c r="OKG1" s="53"/>
      <c r="OKH1" s="53"/>
      <c r="OKI1" s="53"/>
      <c r="OKJ1" s="53"/>
      <c r="OKK1" s="53"/>
      <c r="OKL1" s="53"/>
      <c r="OKM1" s="53"/>
      <c r="OKN1" s="53"/>
      <c r="OKO1" s="53"/>
      <c r="OKP1" s="53"/>
      <c r="OKQ1" s="53"/>
      <c r="OKR1" s="53"/>
      <c r="OKS1" s="53"/>
      <c r="OKT1" s="53"/>
      <c r="OKU1" s="53"/>
      <c r="OKV1" s="53"/>
      <c r="OKW1" s="53"/>
      <c r="OKX1" s="53"/>
      <c r="OKY1" s="53"/>
      <c r="OKZ1" s="53"/>
      <c r="OLA1" s="53"/>
      <c r="OLB1" s="53"/>
      <c r="OLC1" s="53"/>
      <c r="OLD1" s="53"/>
      <c r="OLE1" s="53"/>
      <c r="OLF1" s="53"/>
      <c r="OLG1" s="53"/>
      <c r="OLH1" s="53"/>
      <c r="OLI1" s="53"/>
      <c r="OLJ1" s="53"/>
      <c r="OLK1" s="53"/>
      <c r="OLL1" s="53"/>
      <c r="OLM1" s="53"/>
      <c r="OLN1" s="53"/>
      <c r="OLO1" s="53"/>
      <c r="OLP1" s="53"/>
      <c r="OLQ1" s="53"/>
      <c r="OLR1" s="53"/>
      <c r="OLS1" s="53"/>
      <c r="OLT1" s="53"/>
      <c r="OLU1" s="53"/>
      <c r="OLV1" s="53"/>
      <c r="OLW1" s="53"/>
      <c r="OLX1" s="53"/>
      <c r="OLY1" s="53"/>
      <c r="OLZ1" s="53"/>
      <c r="OMA1" s="53"/>
      <c r="OMB1" s="53"/>
      <c r="OMC1" s="53"/>
      <c r="OMD1" s="53"/>
      <c r="OME1" s="53"/>
      <c r="OMF1" s="53"/>
      <c r="OMG1" s="53"/>
      <c r="OMH1" s="53"/>
      <c r="OMI1" s="53"/>
      <c r="OMJ1" s="53"/>
      <c r="OMK1" s="53"/>
      <c r="OML1" s="53"/>
      <c r="OMM1" s="53"/>
      <c r="OMN1" s="53"/>
      <c r="OMO1" s="53"/>
      <c r="OMP1" s="53"/>
      <c r="OMQ1" s="53"/>
      <c r="OMR1" s="53"/>
      <c r="OMS1" s="53"/>
      <c r="OMT1" s="53"/>
      <c r="OMU1" s="53"/>
      <c r="OMV1" s="53"/>
      <c r="OMW1" s="53"/>
      <c r="OMX1" s="53"/>
      <c r="OMY1" s="53"/>
      <c r="OMZ1" s="53"/>
      <c r="ONA1" s="53"/>
      <c r="ONB1" s="53"/>
      <c r="ONC1" s="53"/>
      <c r="OND1" s="53"/>
      <c r="ONE1" s="53"/>
      <c r="ONF1" s="53"/>
      <c r="ONG1" s="53"/>
      <c r="ONH1" s="53"/>
      <c r="ONI1" s="53"/>
      <c r="ONJ1" s="53"/>
      <c r="ONK1" s="53"/>
      <c r="ONL1" s="53"/>
      <c r="ONM1" s="53"/>
      <c r="ONN1" s="53"/>
      <c r="ONO1" s="53"/>
      <c r="ONP1" s="53"/>
      <c r="ONQ1" s="53"/>
      <c r="ONR1" s="53"/>
      <c r="ONS1" s="53"/>
      <c r="ONT1" s="53"/>
      <c r="ONU1" s="53"/>
      <c r="ONV1" s="53"/>
      <c r="ONW1" s="53"/>
      <c r="ONX1" s="53"/>
      <c r="ONY1" s="53"/>
      <c r="ONZ1" s="53"/>
      <c r="OOA1" s="53"/>
      <c r="OOB1" s="53"/>
      <c r="OOC1" s="53"/>
      <c r="OOD1" s="53"/>
      <c r="OOE1" s="53"/>
      <c r="OOF1" s="53"/>
      <c r="OOG1" s="53"/>
      <c r="OOH1" s="53"/>
      <c r="OOI1" s="53"/>
      <c r="OOJ1" s="53"/>
      <c r="OOK1" s="53"/>
      <c r="OOL1" s="53"/>
      <c r="OOM1" s="53"/>
      <c r="OON1" s="53"/>
      <c r="OOO1" s="53"/>
      <c r="OOP1" s="53"/>
      <c r="OOQ1" s="53"/>
      <c r="OOR1" s="53"/>
      <c r="OOS1" s="53"/>
      <c r="OOT1" s="53"/>
      <c r="OOU1" s="53"/>
      <c r="OOV1" s="53"/>
      <c r="OOW1" s="53"/>
      <c r="OOX1" s="53"/>
      <c r="OOY1" s="53"/>
      <c r="OOZ1" s="53"/>
      <c r="OPA1" s="53"/>
      <c r="OPB1" s="53"/>
      <c r="OPC1" s="53"/>
      <c r="OPD1" s="53"/>
      <c r="OPE1" s="53"/>
      <c r="OPF1" s="53"/>
      <c r="OPG1" s="53"/>
      <c r="OPH1" s="53"/>
      <c r="OPI1" s="53"/>
      <c r="OPJ1" s="53"/>
      <c r="OPK1" s="53"/>
      <c r="OPL1" s="53"/>
      <c r="OPM1" s="53"/>
      <c r="OPN1" s="53"/>
      <c r="OPO1" s="53"/>
      <c r="OPP1" s="53"/>
      <c r="OPQ1" s="53"/>
      <c r="OPR1" s="53"/>
      <c r="OPS1" s="53"/>
      <c r="OPT1" s="53"/>
      <c r="OPU1" s="53"/>
      <c r="OPV1" s="53"/>
      <c r="OPW1" s="53"/>
      <c r="OPX1" s="53"/>
      <c r="OPY1" s="53"/>
      <c r="OPZ1" s="53"/>
      <c r="OQA1" s="53"/>
      <c r="OQB1" s="53"/>
      <c r="OQC1" s="53"/>
      <c r="OQD1" s="53"/>
      <c r="OQE1" s="53"/>
      <c r="OQF1" s="53"/>
      <c r="OQG1" s="53"/>
      <c r="OQH1" s="53"/>
      <c r="OQI1" s="53"/>
      <c r="OQJ1" s="53"/>
      <c r="OQK1" s="53"/>
      <c r="OQL1" s="53"/>
      <c r="OQM1" s="53"/>
      <c r="OQN1" s="53"/>
      <c r="OQO1" s="53"/>
      <c r="OQP1" s="53"/>
      <c r="OQQ1" s="53"/>
      <c r="OQR1" s="53"/>
      <c r="OQS1" s="53"/>
      <c r="OQT1" s="53"/>
      <c r="OQU1" s="53"/>
      <c r="OQV1" s="53"/>
      <c r="OQW1" s="53"/>
      <c r="OQX1" s="53"/>
      <c r="OQY1" s="53"/>
      <c r="OQZ1" s="53"/>
      <c r="ORA1" s="53"/>
      <c r="ORB1" s="53"/>
      <c r="ORC1" s="53"/>
      <c r="ORD1" s="53"/>
      <c r="ORE1" s="53"/>
      <c r="ORF1" s="53"/>
      <c r="ORG1" s="53"/>
      <c r="ORH1" s="53"/>
      <c r="ORI1" s="53"/>
      <c r="ORJ1" s="53"/>
      <c r="ORK1" s="53"/>
      <c r="ORL1" s="53"/>
      <c r="ORM1" s="53"/>
      <c r="ORN1" s="53"/>
      <c r="ORO1" s="53"/>
      <c r="ORP1" s="53"/>
      <c r="ORQ1" s="53"/>
      <c r="ORR1" s="53"/>
      <c r="ORS1" s="53"/>
      <c r="ORT1" s="53"/>
      <c r="ORU1" s="53"/>
      <c r="ORV1" s="53"/>
      <c r="ORW1" s="53"/>
      <c r="ORX1" s="53"/>
      <c r="ORY1" s="53"/>
      <c r="ORZ1" s="53"/>
      <c r="OSA1" s="53"/>
      <c r="OSB1" s="53"/>
      <c r="OSC1" s="53"/>
      <c r="OSD1" s="53"/>
      <c r="OSE1" s="53"/>
      <c r="OSF1" s="53"/>
      <c r="OSG1" s="53"/>
      <c r="OSH1" s="53"/>
      <c r="OSI1" s="53"/>
      <c r="OSJ1" s="53"/>
      <c r="OSK1" s="53"/>
      <c r="OSL1" s="53"/>
      <c r="OSM1" s="53"/>
      <c r="OSN1" s="53"/>
      <c r="OSO1" s="53"/>
      <c r="OSP1" s="53"/>
      <c r="OSQ1" s="53"/>
      <c r="OSR1" s="53"/>
      <c r="OSS1" s="53"/>
      <c r="OST1" s="53"/>
      <c r="OSU1" s="53"/>
      <c r="OSV1" s="53"/>
      <c r="OSW1" s="53"/>
      <c r="OSX1" s="53"/>
      <c r="OSY1" s="53"/>
      <c r="OSZ1" s="53"/>
      <c r="OTA1" s="53"/>
      <c r="OTB1" s="53"/>
      <c r="OTC1" s="53"/>
      <c r="OTD1" s="53"/>
      <c r="OTE1" s="53"/>
      <c r="OTF1" s="53"/>
      <c r="OTG1" s="53"/>
      <c r="OTH1" s="53"/>
      <c r="OTI1" s="53"/>
      <c r="OTJ1" s="53"/>
      <c r="OTK1" s="53"/>
      <c r="OTL1" s="53"/>
      <c r="OTM1" s="53"/>
      <c r="OTN1" s="53"/>
      <c r="OTO1" s="53"/>
      <c r="OTP1" s="53"/>
      <c r="OTQ1" s="53"/>
      <c r="OTR1" s="53"/>
      <c r="OTS1" s="53"/>
      <c r="OTT1" s="53"/>
      <c r="OTU1" s="53"/>
      <c r="OTV1" s="53"/>
      <c r="OTW1" s="53"/>
      <c r="OTX1" s="53"/>
      <c r="OTY1" s="53"/>
      <c r="OTZ1" s="53"/>
      <c r="OUA1" s="53"/>
      <c r="OUB1" s="53"/>
      <c r="OUC1" s="53"/>
      <c r="OUD1" s="53"/>
      <c r="OUE1" s="53"/>
      <c r="OUF1" s="53"/>
      <c r="OUG1" s="53"/>
      <c r="OUH1" s="53"/>
      <c r="OUI1" s="53"/>
      <c r="OUJ1" s="53"/>
      <c r="OUK1" s="53"/>
      <c r="OUL1" s="53"/>
      <c r="OUM1" s="53"/>
      <c r="OUN1" s="53"/>
      <c r="OUO1" s="53"/>
      <c r="OUP1" s="53"/>
      <c r="OUQ1" s="53"/>
      <c r="OUR1" s="53"/>
      <c r="OUS1" s="53"/>
      <c r="OUT1" s="53"/>
      <c r="OUU1" s="53"/>
      <c r="OUV1" s="53"/>
      <c r="OUW1" s="53"/>
      <c r="OUX1" s="53"/>
      <c r="OUY1" s="53"/>
      <c r="OUZ1" s="53"/>
      <c r="OVA1" s="53"/>
      <c r="OVB1" s="53"/>
      <c r="OVC1" s="53"/>
      <c r="OVD1" s="53"/>
      <c r="OVE1" s="53"/>
      <c r="OVF1" s="53"/>
      <c r="OVG1" s="53"/>
      <c r="OVH1" s="53"/>
      <c r="OVI1" s="53"/>
      <c r="OVJ1" s="53"/>
      <c r="OVK1" s="53"/>
      <c r="OVL1" s="53"/>
      <c r="OVM1" s="53"/>
      <c r="OVN1" s="53"/>
      <c r="OVO1" s="53"/>
      <c r="OVP1" s="53"/>
      <c r="OVQ1" s="53"/>
      <c r="OVR1" s="53"/>
      <c r="OVS1" s="53"/>
      <c r="OVT1" s="53"/>
      <c r="OVU1" s="53"/>
      <c r="OVV1" s="53"/>
      <c r="OVW1" s="53"/>
      <c r="OVX1" s="53"/>
      <c r="OVY1" s="53"/>
      <c r="OVZ1" s="53"/>
      <c r="OWA1" s="53"/>
      <c r="OWB1" s="53"/>
      <c r="OWC1" s="53"/>
      <c r="OWD1" s="53"/>
      <c r="OWE1" s="53"/>
      <c r="OWF1" s="53"/>
      <c r="OWG1" s="53"/>
      <c r="OWH1" s="53"/>
      <c r="OWI1" s="53"/>
      <c r="OWJ1" s="53"/>
      <c r="OWK1" s="53"/>
      <c r="OWL1" s="53"/>
      <c r="OWM1" s="53"/>
      <c r="OWN1" s="53"/>
      <c r="OWO1" s="53"/>
      <c r="OWP1" s="53"/>
      <c r="OWQ1" s="53"/>
      <c r="OWR1" s="53"/>
      <c r="OWS1" s="53"/>
      <c r="OWT1" s="53"/>
      <c r="OWU1" s="53"/>
      <c r="OWV1" s="53"/>
      <c r="OWW1" s="53"/>
      <c r="OWX1" s="53"/>
      <c r="OWY1" s="53"/>
      <c r="OWZ1" s="53"/>
      <c r="OXA1" s="53"/>
      <c r="OXB1" s="53"/>
      <c r="OXC1" s="53"/>
      <c r="OXD1" s="53"/>
      <c r="OXE1" s="53"/>
      <c r="OXF1" s="53"/>
      <c r="OXG1" s="53"/>
      <c r="OXH1" s="53"/>
      <c r="OXI1" s="53"/>
      <c r="OXJ1" s="53"/>
      <c r="OXK1" s="53"/>
      <c r="OXL1" s="53"/>
      <c r="OXM1" s="53"/>
      <c r="OXN1" s="53"/>
      <c r="OXO1" s="53"/>
      <c r="OXP1" s="53"/>
      <c r="OXQ1" s="53"/>
      <c r="OXR1" s="53"/>
      <c r="OXS1" s="53"/>
      <c r="OXT1" s="53"/>
      <c r="OXU1" s="53"/>
      <c r="OXV1" s="53"/>
      <c r="OXW1" s="53"/>
      <c r="OXX1" s="53"/>
      <c r="OXY1" s="53"/>
      <c r="OXZ1" s="53"/>
      <c r="OYA1" s="53"/>
      <c r="OYB1" s="53"/>
      <c r="OYC1" s="53"/>
      <c r="OYD1" s="53"/>
      <c r="OYE1" s="53"/>
      <c r="OYF1" s="53"/>
      <c r="OYG1" s="53"/>
      <c r="OYH1" s="53"/>
      <c r="OYI1" s="53"/>
      <c r="OYJ1" s="53"/>
      <c r="OYK1" s="53"/>
      <c r="OYL1" s="53"/>
      <c r="OYM1" s="53"/>
      <c r="OYN1" s="53"/>
      <c r="OYO1" s="53"/>
      <c r="OYP1" s="53"/>
      <c r="OYQ1" s="53"/>
      <c r="OYR1" s="53"/>
      <c r="OYS1" s="53"/>
      <c r="OYT1" s="53"/>
      <c r="OYU1" s="53"/>
      <c r="OYV1" s="53"/>
      <c r="OYW1" s="53"/>
      <c r="OYX1" s="53"/>
      <c r="OYY1" s="53"/>
      <c r="OYZ1" s="53"/>
      <c r="OZA1" s="53"/>
      <c r="OZB1" s="53"/>
      <c r="OZC1" s="53"/>
      <c r="OZD1" s="53"/>
      <c r="OZE1" s="53"/>
      <c r="OZF1" s="53"/>
      <c r="OZG1" s="53"/>
      <c r="OZH1" s="53"/>
      <c r="OZI1" s="53"/>
      <c r="OZJ1" s="53"/>
      <c r="OZK1" s="53"/>
      <c r="OZL1" s="53"/>
      <c r="OZM1" s="53"/>
      <c r="OZN1" s="53"/>
      <c r="OZO1" s="53"/>
      <c r="OZP1" s="53"/>
      <c r="OZQ1" s="53"/>
      <c r="OZR1" s="53"/>
      <c r="OZS1" s="53"/>
      <c r="OZT1" s="53"/>
      <c r="OZU1" s="53"/>
      <c r="OZV1" s="53"/>
      <c r="OZW1" s="53"/>
      <c r="OZX1" s="53"/>
      <c r="OZY1" s="53"/>
      <c r="OZZ1" s="53"/>
      <c r="PAA1" s="53"/>
      <c r="PAB1" s="53"/>
      <c r="PAC1" s="53"/>
      <c r="PAD1" s="53"/>
      <c r="PAE1" s="53"/>
      <c r="PAF1" s="53"/>
      <c r="PAG1" s="53"/>
      <c r="PAH1" s="53"/>
      <c r="PAI1" s="53"/>
      <c r="PAJ1" s="53"/>
      <c r="PAK1" s="53"/>
      <c r="PAL1" s="53"/>
      <c r="PAM1" s="53"/>
      <c r="PAN1" s="53"/>
      <c r="PAO1" s="53"/>
      <c r="PAP1" s="53"/>
      <c r="PAQ1" s="53"/>
      <c r="PAR1" s="53"/>
      <c r="PAS1" s="53"/>
      <c r="PAT1" s="53"/>
      <c r="PAU1" s="53"/>
      <c r="PAV1" s="53"/>
      <c r="PAW1" s="53"/>
      <c r="PAX1" s="53"/>
      <c r="PAY1" s="53"/>
      <c r="PAZ1" s="53"/>
      <c r="PBA1" s="53"/>
      <c r="PBB1" s="53"/>
      <c r="PBC1" s="53"/>
      <c r="PBD1" s="53"/>
      <c r="PBE1" s="53"/>
      <c r="PBF1" s="53"/>
      <c r="PBG1" s="53"/>
      <c r="PBH1" s="53"/>
      <c r="PBI1" s="53"/>
      <c r="PBJ1" s="53"/>
      <c r="PBK1" s="53"/>
      <c r="PBL1" s="53"/>
      <c r="PBM1" s="53"/>
      <c r="PBN1" s="53"/>
      <c r="PBO1" s="53"/>
      <c r="PBP1" s="53"/>
      <c r="PBQ1" s="53"/>
      <c r="PBR1" s="53"/>
      <c r="PBS1" s="53"/>
      <c r="PBT1" s="53"/>
      <c r="PBU1" s="53"/>
      <c r="PBV1" s="53"/>
      <c r="PBW1" s="53"/>
      <c r="PBX1" s="53"/>
      <c r="PBY1" s="53"/>
      <c r="PBZ1" s="53"/>
      <c r="PCA1" s="53"/>
      <c r="PCB1" s="53"/>
      <c r="PCC1" s="53"/>
      <c r="PCD1" s="53"/>
      <c r="PCE1" s="53"/>
      <c r="PCF1" s="53"/>
      <c r="PCG1" s="53"/>
      <c r="PCH1" s="53"/>
      <c r="PCI1" s="53"/>
      <c r="PCJ1" s="53"/>
      <c r="PCK1" s="53"/>
      <c r="PCL1" s="53"/>
      <c r="PCM1" s="53"/>
      <c r="PCN1" s="53"/>
      <c r="PCO1" s="53"/>
      <c r="PCP1" s="53"/>
      <c r="PCQ1" s="53"/>
      <c r="PCR1" s="53"/>
      <c r="PCS1" s="53"/>
      <c r="PCT1" s="53"/>
      <c r="PCU1" s="53"/>
      <c r="PCV1" s="53"/>
      <c r="PCW1" s="53"/>
      <c r="PCX1" s="53"/>
      <c r="PCY1" s="53"/>
      <c r="PCZ1" s="53"/>
      <c r="PDA1" s="53"/>
      <c r="PDB1" s="53"/>
      <c r="PDC1" s="53"/>
      <c r="PDD1" s="53"/>
      <c r="PDE1" s="53"/>
      <c r="PDF1" s="53"/>
      <c r="PDG1" s="53"/>
      <c r="PDH1" s="53"/>
      <c r="PDI1" s="53"/>
      <c r="PDJ1" s="53"/>
      <c r="PDK1" s="53"/>
      <c r="PDL1" s="53"/>
      <c r="PDM1" s="53"/>
      <c r="PDN1" s="53"/>
      <c r="PDO1" s="53"/>
      <c r="PDP1" s="53"/>
      <c r="PDQ1" s="53"/>
      <c r="PDR1" s="53"/>
      <c r="PDS1" s="53"/>
      <c r="PDT1" s="53"/>
      <c r="PDU1" s="53"/>
      <c r="PDV1" s="53"/>
      <c r="PDW1" s="53"/>
      <c r="PDX1" s="53"/>
      <c r="PDY1" s="53"/>
      <c r="PDZ1" s="53"/>
      <c r="PEA1" s="53"/>
      <c r="PEB1" s="53"/>
      <c r="PEC1" s="53"/>
      <c r="PED1" s="53"/>
      <c r="PEE1" s="53"/>
      <c r="PEF1" s="53"/>
      <c r="PEG1" s="53"/>
      <c r="PEH1" s="53"/>
      <c r="PEI1" s="53"/>
      <c r="PEJ1" s="53"/>
      <c r="PEK1" s="53"/>
      <c r="PEL1" s="53"/>
      <c r="PEM1" s="53"/>
      <c r="PEN1" s="53"/>
      <c r="PEO1" s="53"/>
      <c r="PEP1" s="53"/>
      <c r="PEQ1" s="53"/>
      <c r="PER1" s="53"/>
      <c r="PES1" s="53"/>
      <c r="PET1" s="53"/>
      <c r="PEU1" s="53"/>
      <c r="PEV1" s="53"/>
      <c r="PEW1" s="53"/>
      <c r="PEX1" s="53"/>
      <c r="PEY1" s="53"/>
      <c r="PEZ1" s="53"/>
      <c r="PFA1" s="53"/>
      <c r="PFB1" s="53"/>
      <c r="PFC1" s="53"/>
      <c r="PFD1" s="53"/>
      <c r="PFE1" s="53"/>
      <c r="PFF1" s="53"/>
      <c r="PFG1" s="53"/>
      <c r="PFH1" s="53"/>
      <c r="PFI1" s="53"/>
      <c r="PFJ1" s="53"/>
      <c r="PFK1" s="53"/>
      <c r="PFL1" s="53"/>
      <c r="PFM1" s="53"/>
      <c r="PFN1" s="53"/>
      <c r="PFO1" s="53"/>
      <c r="PFP1" s="53"/>
      <c r="PFQ1" s="53"/>
      <c r="PFR1" s="53"/>
      <c r="PFS1" s="53"/>
      <c r="PFT1" s="53"/>
      <c r="PFU1" s="53"/>
      <c r="PFV1" s="53"/>
      <c r="PFW1" s="53"/>
      <c r="PFX1" s="53"/>
      <c r="PFY1" s="53"/>
      <c r="PFZ1" s="53"/>
      <c r="PGA1" s="53"/>
      <c r="PGB1" s="53"/>
      <c r="PGC1" s="53"/>
      <c r="PGD1" s="53"/>
      <c r="PGE1" s="53"/>
      <c r="PGF1" s="53"/>
      <c r="PGG1" s="53"/>
      <c r="PGH1" s="53"/>
      <c r="PGI1" s="53"/>
      <c r="PGJ1" s="53"/>
      <c r="PGK1" s="53"/>
      <c r="PGL1" s="53"/>
      <c r="PGM1" s="53"/>
      <c r="PGN1" s="53"/>
      <c r="PGO1" s="53"/>
      <c r="PGP1" s="53"/>
      <c r="PGQ1" s="53"/>
      <c r="PGR1" s="53"/>
      <c r="PGS1" s="53"/>
      <c r="PGT1" s="53"/>
      <c r="PGU1" s="53"/>
      <c r="PGV1" s="53"/>
      <c r="PGW1" s="53"/>
      <c r="PGX1" s="53"/>
      <c r="PGY1" s="53"/>
      <c r="PGZ1" s="53"/>
      <c r="PHA1" s="53"/>
      <c r="PHB1" s="53"/>
      <c r="PHC1" s="53"/>
      <c r="PHD1" s="53"/>
      <c r="PHE1" s="53"/>
      <c r="PHF1" s="53"/>
      <c r="PHG1" s="53"/>
      <c r="PHH1" s="53"/>
      <c r="PHI1" s="53"/>
      <c r="PHJ1" s="53"/>
      <c r="PHK1" s="53"/>
      <c r="PHL1" s="53"/>
      <c r="PHM1" s="53"/>
      <c r="PHN1" s="53"/>
      <c r="PHO1" s="53"/>
      <c r="PHP1" s="53"/>
      <c r="PHQ1" s="53"/>
      <c r="PHR1" s="53"/>
      <c r="PHS1" s="53"/>
      <c r="PHT1" s="53"/>
      <c r="PHU1" s="53"/>
      <c r="PHV1" s="53"/>
      <c r="PHW1" s="53"/>
      <c r="PHX1" s="53"/>
      <c r="PHY1" s="53"/>
      <c r="PHZ1" s="53"/>
      <c r="PIA1" s="53"/>
      <c r="PIB1" s="53"/>
      <c r="PIC1" s="53"/>
      <c r="PID1" s="53"/>
      <c r="PIE1" s="53"/>
      <c r="PIF1" s="53"/>
      <c r="PIG1" s="53"/>
      <c r="PIH1" s="53"/>
      <c r="PII1" s="53"/>
      <c r="PIJ1" s="53"/>
      <c r="PIK1" s="53"/>
      <c r="PIL1" s="53"/>
      <c r="PIM1" s="53"/>
      <c r="PIN1" s="53"/>
      <c r="PIO1" s="53"/>
      <c r="PIP1" s="53"/>
      <c r="PIQ1" s="53"/>
      <c r="PIR1" s="53"/>
      <c r="PIS1" s="53"/>
      <c r="PIT1" s="53"/>
      <c r="PIU1" s="53"/>
      <c r="PIV1" s="53"/>
      <c r="PIW1" s="53"/>
      <c r="PIX1" s="53"/>
      <c r="PIY1" s="53"/>
      <c r="PIZ1" s="53"/>
      <c r="PJA1" s="53"/>
      <c r="PJB1" s="53"/>
      <c r="PJC1" s="53"/>
      <c r="PJD1" s="53"/>
      <c r="PJE1" s="53"/>
      <c r="PJF1" s="53"/>
      <c r="PJG1" s="53"/>
      <c r="PJH1" s="53"/>
      <c r="PJI1" s="53"/>
      <c r="PJJ1" s="53"/>
      <c r="PJK1" s="53"/>
      <c r="PJL1" s="53"/>
      <c r="PJM1" s="53"/>
      <c r="PJN1" s="53"/>
      <c r="PJO1" s="53"/>
      <c r="PJP1" s="53"/>
      <c r="PJQ1" s="53"/>
      <c r="PJR1" s="53"/>
      <c r="PJS1" s="53"/>
      <c r="PJT1" s="53"/>
      <c r="PJU1" s="53"/>
      <c r="PJV1" s="53"/>
      <c r="PJW1" s="53"/>
      <c r="PJX1" s="53"/>
      <c r="PJY1" s="53"/>
      <c r="PJZ1" s="53"/>
      <c r="PKA1" s="53"/>
      <c r="PKB1" s="53"/>
      <c r="PKC1" s="53"/>
      <c r="PKD1" s="53"/>
      <c r="PKE1" s="53"/>
      <c r="PKF1" s="53"/>
      <c r="PKG1" s="53"/>
      <c r="PKH1" s="53"/>
      <c r="PKI1" s="53"/>
      <c r="PKJ1" s="53"/>
      <c r="PKK1" s="53"/>
      <c r="PKL1" s="53"/>
      <c r="PKM1" s="53"/>
      <c r="PKN1" s="53"/>
      <c r="PKO1" s="53"/>
      <c r="PKP1" s="53"/>
      <c r="PKQ1" s="53"/>
      <c r="PKR1" s="53"/>
      <c r="PKS1" s="53"/>
      <c r="PKT1" s="53"/>
      <c r="PKU1" s="53"/>
      <c r="PKV1" s="53"/>
      <c r="PKW1" s="53"/>
      <c r="PKX1" s="53"/>
      <c r="PKY1" s="53"/>
      <c r="PKZ1" s="53"/>
      <c r="PLA1" s="53"/>
      <c r="PLB1" s="53"/>
      <c r="PLC1" s="53"/>
      <c r="PLD1" s="53"/>
      <c r="PLE1" s="53"/>
      <c r="PLF1" s="53"/>
      <c r="PLG1" s="53"/>
      <c r="PLH1" s="53"/>
      <c r="PLI1" s="53"/>
      <c r="PLJ1" s="53"/>
      <c r="PLK1" s="53"/>
      <c r="PLL1" s="53"/>
      <c r="PLM1" s="53"/>
      <c r="PLN1" s="53"/>
      <c r="PLO1" s="53"/>
      <c r="PLP1" s="53"/>
      <c r="PLQ1" s="53"/>
      <c r="PLR1" s="53"/>
      <c r="PLS1" s="53"/>
      <c r="PLT1" s="53"/>
      <c r="PLU1" s="53"/>
      <c r="PLV1" s="53"/>
      <c r="PLW1" s="53"/>
      <c r="PLX1" s="53"/>
      <c r="PLY1" s="53"/>
      <c r="PLZ1" s="53"/>
      <c r="PMA1" s="53"/>
      <c r="PMB1" s="53"/>
      <c r="PMC1" s="53"/>
      <c r="PMD1" s="53"/>
      <c r="PME1" s="53"/>
      <c r="PMF1" s="53"/>
      <c r="PMG1" s="53"/>
      <c r="PMH1" s="53"/>
      <c r="PMI1" s="53"/>
      <c r="PMJ1" s="53"/>
      <c r="PMK1" s="53"/>
      <c r="PML1" s="53"/>
      <c r="PMM1" s="53"/>
      <c r="PMN1" s="53"/>
      <c r="PMO1" s="53"/>
      <c r="PMP1" s="53"/>
      <c r="PMQ1" s="53"/>
      <c r="PMR1" s="53"/>
      <c r="PMS1" s="53"/>
      <c r="PMT1" s="53"/>
      <c r="PMU1" s="53"/>
      <c r="PMV1" s="53"/>
      <c r="PMW1" s="53"/>
      <c r="PMX1" s="53"/>
      <c r="PMY1" s="53"/>
      <c r="PMZ1" s="53"/>
      <c r="PNA1" s="53"/>
      <c r="PNB1" s="53"/>
      <c r="PNC1" s="53"/>
      <c r="PND1" s="53"/>
      <c r="PNE1" s="53"/>
      <c r="PNF1" s="53"/>
      <c r="PNG1" s="53"/>
      <c r="PNH1" s="53"/>
      <c r="PNI1" s="53"/>
      <c r="PNJ1" s="53"/>
      <c r="PNK1" s="53"/>
      <c r="PNL1" s="53"/>
      <c r="PNM1" s="53"/>
      <c r="PNN1" s="53"/>
      <c r="PNO1" s="53"/>
      <c r="PNP1" s="53"/>
      <c r="PNQ1" s="53"/>
      <c r="PNR1" s="53"/>
      <c r="PNS1" s="53"/>
      <c r="PNT1" s="53"/>
      <c r="PNU1" s="53"/>
      <c r="PNV1" s="53"/>
      <c r="PNW1" s="53"/>
      <c r="PNX1" s="53"/>
      <c r="PNY1" s="53"/>
      <c r="PNZ1" s="53"/>
      <c r="POA1" s="53"/>
      <c r="POB1" s="53"/>
      <c r="POC1" s="53"/>
      <c r="POD1" s="53"/>
      <c r="POE1" s="53"/>
      <c r="POF1" s="53"/>
      <c r="POG1" s="53"/>
      <c r="POH1" s="53"/>
      <c r="POI1" s="53"/>
      <c r="POJ1" s="53"/>
      <c r="POK1" s="53"/>
      <c r="POL1" s="53"/>
      <c r="POM1" s="53"/>
      <c r="PON1" s="53"/>
      <c r="POO1" s="53"/>
      <c r="POP1" s="53"/>
      <c r="POQ1" s="53"/>
      <c r="POR1" s="53"/>
      <c r="POS1" s="53"/>
      <c r="POT1" s="53"/>
      <c r="POU1" s="53"/>
      <c r="POV1" s="53"/>
      <c r="POW1" s="53"/>
      <c r="POX1" s="53"/>
      <c r="POY1" s="53"/>
      <c r="POZ1" s="53"/>
      <c r="PPA1" s="53"/>
      <c r="PPB1" s="53"/>
      <c r="PPC1" s="53"/>
      <c r="PPD1" s="53"/>
      <c r="PPE1" s="53"/>
      <c r="PPF1" s="53"/>
      <c r="PPG1" s="53"/>
      <c r="PPH1" s="53"/>
      <c r="PPI1" s="53"/>
      <c r="PPJ1" s="53"/>
      <c r="PPK1" s="53"/>
      <c r="PPL1" s="53"/>
      <c r="PPM1" s="53"/>
      <c r="PPN1" s="53"/>
      <c r="PPO1" s="53"/>
      <c r="PPP1" s="53"/>
      <c r="PPQ1" s="53"/>
      <c r="PPR1" s="53"/>
      <c r="PPS1" s="53"/>
      <c r="PPT1" s="53"/>
      <c r="PPU1" s="53"/>
      <c r="PPV1" s="53"/>
      <c r="PPW1" s="53"/>
      <c r="PPX1" s="53"/>
      <c r="PPY1" s="53"/>
      <c r="PPZ1" s="53"/>
      <c r="PQA1" s="53"/>
      <c r="PQB1" s="53"/>
      <c r="PQC1" s="53"/>
      <c r="PQD1" s="53"/>
      <c r="PQE1" s="53"/>
      <c r="PQF1" s="53"/>
      <c r="PQG1" s="53"/>
      <c r="PQH1" s="53"/>
      <c r="PQI1" s="53"/>
      <c r="PQJ1" s="53"/>
      <c r="PQK1" s="53"/>
      <c r="PQL1" s="53"/>
      <c r="PQM1" s="53"/>
      <c r="PQN1" s="53"/>
      <c r="PQO1" s="53"/>
      <c r="PQP1" s="53"/>
      <c r="PQQ1" s="53"/>
      <c r="PQR1" s="53"/>
      <c r="PQS1" s="53"/>
      <c r="PQT1" s="53"/>
      <c r="PQU1" s="53"/>
      <c r="PQV1" s="53"/>
      <c r="PQW1" s="53"/>
      <c r="PQX1" s="53"/>
      <c r="PQY1" s="53"/>
      <c r="PQZ1" s="53"/>
      <c r="PRA1" s="53"/>
      <c r="PRB1" s="53"/>
      <c r="PRC1" s="53"/>
      <c r="PRD1" s="53"/>
      <c r="PRE1" s="53"/>
      <c r="PRF1" s="53"/>
      <c r="PRG1" s="53"/>
      <c r="PRH1" s="53"/>
      <c r="PRI1" s="53"/>
      <c r="PRJ1" s="53"/>
      <c r="PRK1" s="53"/>
      <c r="PRL1" s="53"/>
      <c r="PRM1" s="53"/>
      <c r="PRN1" s="53"/>
      <c r="PRO1" s="53"/>
      <c r="PRP1" s="53"/>
      <c r="PRQ1" s="53"/>
      <c r="PRR1" s="53"/>
      <c r="PRS1" s="53"/>
      <c r="PRT1" s="53"/>
      <c r="PRU1" s="53"/>
      <c r="PRV1" s="53"/>
      <c r="PRW1" s="53"/>
      <c r="PRX1" s="53"/>
      <c r="PRY1" s="53"/>
      <c r="PRZ1" s="53"/>
      <c r="PSA1" s="53"/>
      <c r="PSB1" s="53"/>
      <c r="PSC1" s="53"/>
      <c r="PSD1" s="53"/>
      <c r="PSE1" s="53"/>
      <c r="PSF1" s="53"/>
      <c r="PSG1" s="53"/>
      <c r="PSH1" s="53"/>
      <c r="PSI1" s="53"/>
      <c r="PSJ1" s="53"/>
      <c r="PSK1" s="53"/>
      <c r="PSL1" s="53"/>
      <c r="PSM1" s="53"/>
      <c r="PSN1" s="53"/>
      <c r="PSO1" s="53"/>
      <c r="PSP1" s="53"/>
      <c r="PSQ1" s="53"/>
      <c r="PSR1" s="53"/>
      <c r="PSS1" s="53"/>
      <c r="PST1" s="53"/>
      <c r="PSU1" s="53"/>
      <c r="PSV1" s="53"/>
      <c r="PSW1" s="53"/>
      <c r="PSX1" s="53"/>
      <c r="PSY1" s="53"/>
      <c r="PSZ1" s="53"/>
      <c r="PTA1" s="53"/>
      <c r="PTB1" s="53"/>
      <c r="PTC1" s="53"/>
      <c r="PTD1" s="53"/>
      <c r="PTE1" s="53"/>
      <c r="PTF1" s="53"/>
      <c r="PTG1" s="53"/>
      <c r="PTH1" s="53"/>
      <c r="PTI1" s="53"/>
      <c r="PTJ1" s="53"/>
      <c r="PTK1" s="53"/>
      <c r="PTL1" s="53"/>
      <c r="PTM1" s="53"/>
      <c r="PTN1" s="53"/>
      <c r="PTO1" s="53"/>
      <c r="PTP1" s="53"/>
      <c r="PTQ1" s="53"/>
      <c r="PTR1" s="53"/>
      <c r="PTS1" s="53"/>
      <c r="PTT1" s="53"/>
      <c r="PTU1" s="53"/>
      <c r="PTV1" s="53"/>
      <c r="PTW1" s="53"/>
      <c r="PTX1" s="53"/>
      <c r="PTY1" s="53"/>
      <c r="PTZ1" s="53"/>
      <c r="PUA1" s="53"/>
      <c r="PUB1" s="53"/>
      <c r="PUC1" s="53"/>
      <c r="PUD1" s="53"/>
      <c r="PUE1" s="53"/>
      <c r="PUF1" s="53"/>
      <c r="PUG1" s="53"/>
      <c r="PUH1" s="53"/>
      <c r="PUI1" s="53"/>
      <c r="PUJ1" s="53"/>
      <c r="PUK1" s="53"/>
      <c r="PUL1" s="53"/>
      <c r="PUM1" s="53"/>
      <c r="PUN1" s="53"/>
      <c r="PUO1" s="53"/>
      <c r="PUP1" s="53"/>
      <c r="PUQ1" s="53"/>
      <c r="PUR1" s="53"/>
      <c r="PUS1" s="53"/>
      <c r="PUT1" s="53"/>
      <c r="PUU1" s="53"/>
      <c r="PUV1" s="53"/>
      <c r="PUW1" s="53"/>
      <c r="PUX1" s="53"/>
      <c r="PUY1" s="53"/>
      <c r="PUZ1" s="53"/>
      <c r="PVA1" s="53"/>
      <c r="PVB1" s="53"/>
      <c r="PVC1" s="53"/>
      <c r="PVD1" s="53"/>
      <c r="PVE1" s="53"/>
      <c r="PVF1" s="53"/>
      <c r="PVG1" s="53"/>
      <c r="PVH1" s="53"/>
      <c r="PVI1" s="53"/>
      <c r="PVJ1" s="53"/>
      <c r="PVK1" s="53"/>
      <c r="PVL1" s="53"/>
      <c r="PVM1" s="53"/>
      <c r="PVN1" s="53"/>
      <c r="PVO1" s="53"/>
      <c r="PVP1" s="53"/>
      <c r="PVQ1" s="53"/>
      <c r="PVR1" s="53"/>
      <c r="PVS1" s="53"/>
      <c r="PVT1" s="53"/>
      <c r="PVU1" s="53"/>
      <c r="PVV1" s="53"/>
      <c r="PVW1" s="53"/>
      <c r="PVX1" s="53"/>
      <c r="PVY1" s="53"/>
      <c r="PVZ1" s="53"/>
      <c r="PWA1" s="53"/>
      <c r="PWB1" s="53"/>
      <c r="PWC1" s="53"/>
      <c r="PWD1" s="53"/>
      <c r="PWE1" s="53"/>
      <c r="PWF1" s="53"/>
      <c r="PWG1" s="53"/>
      <c r="PWH1" s="53"/>
      <c r="PWI1" s="53"/>
      <c r="PWJ1" s="53"/>
      <c r="PWK1" s="53"/>
      <c r="PWL1" s="53"/>
      <c r="PWM1" s="53"/>
      <c r="PWN1" s="53"/>
      <c r="PWO1" s="53"/>
      <c r="PWP1" s="53"/>
      <c r="PWQ1" s="53"/>
      <c r="PWR1" s="53"/>
      <c r="PWS1" s="53"/>
      <c r="PWT1" s="53"/>
      <c r="PWU1" s="53"/>
      <c r="PWV1" s="53"/>
      <c r="PWW1" s="53"/>
      <c r="PWX1" s="53"/>
      <c r="PWY1" s="53"/>
      <c r="PWZ1" s="53"/>
      <c r="PXA1" s="53"/>
      <c r="PXB1" s="53"/>
      <c r="PXC1" s="53"/>
      <c r="PXD1" s="53"/>
      <c r="PXE1" s="53"/>
      <c r="PXF1" s="53"/>
      <c r="PXG1" s="53"/>
      <c r="PXH1" s="53"/>
      <c r="PXI1" s="53"/>
      <c r="PXJ1" s="53"/>
      <c r="PXK1" s="53"/>
      <c r="PXL1" s="53"/>
      <c r="PXM1" s="53"/>
      <c r="PXN1" s="53"/>
      <c r="PXO1" s="53"/>
      <c r="PXP1" s="53"/>
      <c r="PXQ1" s="53"/>
      <c r="PXR1" s="53"/>
      <c r="PXS1" s="53"/>
      <c r="PXT1" s="53"/>
      <c r="PXU1" s="53"/>
      <c r="PXV1" s="53"/>
      <c r="PXW1" s="53"/>
      <c r="PXX1" s="53"/>
      <c r="PXY1" s="53"/>
      <c r="PXZ1" s="53"/>
      <c r="PYA1" s="53"/>
      <c r="PYB1" s="53"/>
      <c r="PYC1" s="53"/>
      <c r="PYD1" s="53"/>
      <c r="PYE1" s="53"/>
      <c r="PYF1" s="53"/>
      <c r="PYG1" s="53"/>
      <c r="PYH1" s="53"/>
      <c r="PYI1" s="53"/>
      <c r="PYJ1" s="53"/>
      <c r="PYK1" s="53"/>
      <c r="PYL1" s="53"/>
      <c r="PYM1" s="53"/>
      <c r="PYN1" s="53"/>
      <c r="PYO1" s="53"/>
      <c r="PYP1" s="53"/>
      <c r="PYQ1" s="53"/>
      <c r="PYR1" s="53"/>
      <c r="PYS1" s="53"/>
      <c r="PYT1" s="53"/>
      <c r="PYU1" s="53"/>
      <c r="PYV1" s="53"/>
      <c r="PYW1" s="53"/>
      <c r="PYX1" s="53"/>
      <c r="PYY1" s="53"/>
      <c r="PYZ1" s="53"/>
      <c r="PZA1" s="53"/>
      <c r="PZB1" s="53"/>
      <c r="PZC1" s="53"/>
      <c r="PZD1" s="53"/>
      <c r="PZE1" s="53"/>
      <c r="PZF1" s="53"/>
      <c r="PZG1" s="53"/>
      <c r="PZH1" s="53"/>
      <c r="PZI1" s="53"/>
      <c r="PZJ1" s="53"/>
      <c r="PZK1" s="53"/>
      <c r="PZL1" s="53"/>
      <c r="PZM1" s="53"/>
      <c r="PZN1" s="53"/>
      <c r="PZO1" s="53"/>
      <c r="PZP1" s="53"/>
      <c r="PZQ1" s="53"/>
      <c r="PZR1" s="53"/>
      <c r="PZS1" s="53"/>
      <c r="PZT1" s="53"/>
      <c r="PZU1" s="53"/>
      <c r="PZV1" s="53"/>
      <c r="PZW1" s="53"/>
      <c r="PZX1" s="53"/>
      <c r="PZY1" s="53"/>
      <c r="PZZ1" s="53"/>
      <c r="QAA1" s="53"/>
      <c r="QAB1" s="53"/>
      <c r="QAC1" s="53"/>
      <c r="QAD1" s="53"/>
      <c r="QAE1" s="53"/>
      <c r="QAF1" s="53"/>
      <c r="QAG1" s="53"/>
      <c r="QAH1" s="53"/>
      <c r="QAI1" s="53"/>
      <c r="QAJ1" s="53"/>
      <c r="QAK1" s="53"/>
      <c r="QAL1" s="53"/>
      <c r="QAM1" s="53"/>
      <c r="QAN1" s="53"/>
      <c r="QAO1" s="53"/>
      <c r="QAP1" s="53"/>
      <c r="QAQ1" s="53"/>
      <c r="QAR1" s="53"/>
      <c r="QAS1" s="53"/>
      <c r="QAT1" s="53"/>
      <c r="QAU1" s="53"/>
      <c r="QAV1" s="53"/>
      <c r="QAW1" s="53"/>
      <c r="QAX1" s="53"/>
      <c r="QAY1" s="53"/>
      <c r="QAZ1" s="53"/>
      <c r="QBA1" s="53"/>
      <c r="QBB1" s="53"/>
      <c r="QBC1" s="53"/>
      <c r="QBD1" s="53"/>
      <c r="QBE1" s="53"/>
      <c r="QBF1" s="53"/>
      <c r="QBG1" s="53"/>
      <c r="QBH1" s="53"/>
      <c r="QBI1" s="53"/>
      <c r="QBJ1" s="53"/>
      <c r="QBK1" s="53"/>
      <c r="QBL1" s="53"/>
      <c r="QBM1" s="53"/>
      <c r="QBN1" s="53"/>
      <c r="QBO1" s="53"/>
      <c r="QBP1" s="53"/>
      <c r="QBQ1" s="53"/>
      <c r="QBR1" s="53"/>
      <c r="QBS1" s="53"/>
      <c r="QBT1" s="53"/>
      <c r="QBU1" s="53"/>
      <c r="QBV1" s="53"/>
      <c r="QBW1" s="53"/>
      <c r="QBX1" s="53"/>
      <c r="QBY1" s="53"/>
      <c r="QBZ1" s="53"/>
      <c r="QCA1" s="53"/>
      <c r="QCB1" s="53"/>
      <c r="QCC1" s="53"/>
      <c r="QCD1" s="53"/>
      <c r="QCE1" s="53"/>
      <c r="QCF1" s="53"/>
      <c r="QCG1" s="53"/>
      <c r="QCH1" s="53"/>
      <c r="QCI1" s="53"/>
      <c r="QCJ1" s="53"/>
      <c r="QCK1" s="53"/>
      <c r="QCL1" s="53"/>
      <c r="QCM1" s="53"/>
      <c r="QCN1" s="53"/>
      <c r="QCO1" s="53"/>
      <c r="QCP1" s="53"/>
      <c r="QCQ1" s="53"/>
      <c r="QCR1" s="53"/>
      <c r="QCS1" s="53"/>
      <c r="QCT1" s="53"/>
      <c r="QCU1" s="53"/>
      <c r="QCV1" s="53"/>
      <c r="QCW1" s="53"/>
      <c r="QCX1" s="53"/>
      <c r="QCY1" s="53"/>
      <c r="QCZ1" s="53"/>
      <c r="QDA1" s="53"/>
      <c r="QDB1" s="53"/>
      <c r="QDC1" s="53"/>
      <c r="QDD1" s="53"/>
      <c r="QDE1" s="53"/>
      <c r="QDF1" s="53"/>
      <c r="QDG1" s="53"/>
      <c r="QDH1" s="53"/>
      <c r="QDI1" s="53"/>
      <c r="QDJ1" s="53"/>
      <c r="QDK1" s="53"/>
      <c r="QDL1" s="53"/>
      <c r="QDM1" s="53"/>
      <c r="QDN1" s="53"/>
      <c r="QDO1" s="53"/>
      <c r="QDP1" s="53"/>
      <c r="QDQ1" s="53"/>
      <c r="QDR1" s="53"/>
      <c r="QDS1" s="53"/>
      <c r="QDT1" s="53"/>
      <c r="QDU1" s="53"/>
      <c r="QDV1" s="53"/>
      <c r="QDW1" s="53"/>
      <c r="QDX1" s="53"/>
      <c r="QDY1" s="53"/>
      <c r="QDZ1" s="53"/>
      <c r="QEA1" s="53"/>
      <c r="QEB1" s="53"/>
      <c r="QEC1" s="53"/>
      <c r="QED1" s="53"/>
      <c r="QEE1" s="53"/>
      <c r="QEF1" s="53"/>
      <c r="QEG1" s="53"/>
      <c r="QEH1" s="53"/>
      <c r="QEI1" s="53"/>
      <c r="QEJ1" s="53"/>
      <c r="QEK1" s="53"/>
      <c r="QEL1" s="53"/>
      <c r="QEM1" s="53"/>
      <c r="QEN1" s="53"/>
      <c r="QEO1" s="53"/>
      <c r="QEP1" s="53"/>
      <c r="QEQ1" s="53"/>
      <c r="QER1" s="53"/>
      <c r="QES1" s="53"/>
      <c r="QET1" s="53"/>
      <c r="QEU1" s="53"/>
      <c r="QEV1" s="53"/>
      <c r="QEW1" s="53"/>
      <c r="QEX1" s="53"/>
      <c r="QEY1" s="53"/>
      <c r="QEZ1" s="53"/>
      <c r="QFA1" s="53"/>
      <c r="QFB1" s="53"/>
      <c r="QFC1" s="53"/>
      <c r="QFD1" s="53"/>
      <c r="QFE1" s="53"/>
      <c r="QFF1" s="53"/>
      <c r="QFG1" s="53"/>
      <c r="QFH1" s="53"/>
      <c r="QFI1" s="53"/>
      <c r="QFJ1" s="53"/>
      <c r="QFK1" s="53"/>
      <c r="QFL1" s="53"/>
      <c r="QFM1" s="53"/>
      <c r="QFN1" s="53"/>
      <c r="QFO1" s="53"/>
      <c r="QFP1" s="53"/>
      <c r="QFQ1" s="53"/>
      <c r="QFR1" s="53"/>
      <c r="QFS1" s="53"/>
      <c r="QFT1" s="53"/>
      <c r="QFU1" s="53"/>
      <c r="QFV1" s="53"/>
      <c r="QFW1" s="53"/>
      <c r="QFX1" s="53"/>
      <c r="QFY1" s="53"/>
      <c r="QFZ1" s="53"/>
      <c r="QGA1" s="53"/>
      <c r="QGB1" s="53"/>
      <c r="QGC1" s="53"/>
      <c r="QGD1" s="53"/>
      <c r="QGE1" s="53"/>
      <c r="QGF1" s="53"/>
      <c r="QGG1" s="53"/>
      <c r="QGH1" s="53"/>
      <c r="QGI1" s="53"/>
      <c r="QGJ1" s="53"/>
      <c r="QGK1" s="53"/>
      <c r="QGL1" s="53"/>
      <c r="QGM1" s="53"/>
      <c r="QGN1" s="53"/>
      <c r="QGO1" s="53"/>
      <c r="QGP1" s="53"/>
      <c r="QGQ1" s="53"/>
      <c r="QGR1" s="53"/>
      <c r="QGS1" s="53"/>
      <c r="QGT1" s="53"/>
      <c r="QGU1" s="53"/>
      <c r="QGV1" s="53"/>
      <c r="QGW1" s="53"/>
      <c r="QGX1" s="53"/>
      <c r="QGY1" s="53"/>
      <c r="QGZ1" s="53"/>
      <c r="QHA1" s="53"/>
      <c r="QHB1" s="53"/>
      <c r="QHC1" s="53"/>
      <c r="QHD1" s="53"/>
      <c r="QHE1" s="53"/>
      <c r="QHF1" s="53"/>
      <c r="QHG1" s="53"/>
      <c r="QHH1" s="53"/>
      <c r="QHI1" s="53"/>
      <c r="QHJ1" s="53"/>
      <c r="QHK1" s="53"/>
      <c r="QHL1" s="53"/>
      <c r="QHM1" s="53"/>
      <c r="QHN1" s="53"/>
      <c r="QHO1" s="53"/>
      <c r="QHP1" s="53"/>
      <c r="QHQ1" s="53"/>
      <c r="QHR1" s="53"/>
      <c r="QHS1" s="53"/>
      <c r="QHT1" s="53"/>
      <c r="QHU1" s="53"/>
      <c r="QHV1" s="53"/>
      <c r="QHW1" s="53"/>
      <c r="QHX1" s="53"/>
      <c r="QHY1" s="53"/>
      <c r="QHZ1" s="53"/>
      <c r="QIA1" s="53"/>
      <c r="QIB1" s="53"/>
      <c r="QIC1" s="53"/>
      <c r="QID1" s="53"/>
      <c r="QIE1" s="53"/>
      <c r="QIF1" s="53"/>
      <c r="QIG1" s="53"/>
      <c r="QIH1" s="53"/>
      <c r="QII1" s="53"/>
      <c r="QIJ1" s="53"/>
      <c r="QIK1" s="53"/>
      <c r="QIL1" s="53"/>
      <c r="QIM1" s="53"/>
      <c r="QIN1" s="53"/>
      <c r="QIO1" s="53"/>
      <c r="QIP1" s="53"/>
      <c r="QIQ1" s="53"/>
      <c r="QIR1" s="53"/>
      <c r="QIS1" s="53"/>
      <c r="QIT1" s="53"/>
      <c r="QIU1" s="53"/>
      <c r="QIV1" s="53"/>
      <c r="QIW1" s="53"/>
      <c r="QIX1" s="53"/>
      <c r="QIY1" s="53"/>
      <c r="QIZ1" s="53"/>
      <c r="QJA1" s="53"/>
      <c r="QJB1" s="53"/>
      <c r="QJC1" s="53"/>
      <c r="QJD1" s="53"/>
      <c r="QJE1" s="53"/>
      <c r="QJF1" s="53"/>
      <c r="QJG1" s="53"/>
      <c r="QJH1" s="53"/>
      <c r="QJI1" s="53"/>
      <c r="QJJ1" s="53"/>
      <c r="QJK1" s="53"/>
      <c r="QJL1" s="53"/>
      <c r="QJM1" s="53"/>
      <c r="QJN1" s="53"/>
      <c r="QJO1" s="53"/>
      <c r="QJP1" s="53"/>
      <c r="QJQ1" s="53"/>
      <c r="QJR1" s="53"/>
      <c r="QJS1" s="53"/>
      <c r="QJT1" s="53"/>
      <c r="QJU1" s="53"/>
      <c r="QJV1" s="53"/>
      <c r="QJW1" s="53"/>
      <c r="QJX1" s="53"/>
      <c r="QJY1" s="53"/>
      <c r="QJZ1" s="53"/>
      <c r="QKA1" s="53"/>
      <c r="QKB1" s="53"/>
      <c r="QKC1" s="53"/>
      <c r="QKD1" s="53"/>
      <c r="QKE1" s="53"/>
      <c r="QKF1" s="53"/>
      <c r="QKG1" s="53"/>
      <c r="QKH1" s="53"/>
      <c r="QKI1" s="53"/>
      <c r="QKJ1" s="53"/>
      <c r="QKK1" s="53"/>
      <c r="QKL1" s="53"/>
      <c r="QKM1" s="53"/>
      <c r="QKN1" s="53"/>
      <c r="QKO1" s="53"/>
      <c r="QKP1" s="53"/>
      <c r="QKQ1" s="53"/>
      <c r="QKR1" s="53"/>
      <c r="QKS1" s="53"/>
      <c r="QKT1" s="53"/>
      <c r="QKU1" s="53"/>
      <c r="QKV1" s="53"/>
      <c r="QKW1" s="53"/>
      <c r="QKX1" s="53"/>
      <c r="QKY1" s="53"/>
      <c r="QKZ1" s="53"/>
      <c r="QLA1" s="53"/>
      <c r="QLB1" s="53"/>
      <c r="QLC1" s="53"/>
      <c r="QLD1" s="53"/>
      <c r="QLE1" s="53"/>
      <c r="QLF1" s="53"/>
      <c r="QLG1" s="53"/>
      <c r="QLH1" s="53"/>
      <c r="QLI1" s="53"/>
      <c r="QLJ1" s="53"/>
      <c r="QLK1" s="53"/>
      <c r="QLL1" s="53"/>
      <c r="QLM1" s="53"/>
      <c r="QLN1" s="53"/>
      <c r="QLO1" s="53"/>
      <c r="QLP1" s="53"/>
      <c r="QLQ1" s="53"/>
      <c r="QLR1" s="53"/>
      <c r="QLS1" s="53"/>
      <c r="QLT1" s="53"/>
      <c r="QLU1" s="53"/>
      <c r="QLV1" s="53"/>
      <c r="QLW1" s="53"/>
      <c r="QLX1" s="53"/>
      <c r="QLY1" s="53"/>
      <c r="QLZ1" s="53"/>
      <c r="QMA1" s="53"/>
      <c r="QMB1" s="53"/>
      <c r="QMC1" s="53"/>
      <c r="QMD1" s="53"/>
      <c r="QME1" s="53"/>
      <c r="QMF1" s="53"/>
      <c r="QMG1" s="53"/>
      <c r="QMH1" s="53"/>
      <c r="QMI1" s="53"/>
      <c r="QMJ1" s="53"/>
      <c r="QMK1" s="53"/>
      <c r="QML1" s="53"/>
      <c r="QMM1" s="53"/>
      <c r="QMN1" s="53"/>
      <c r="QMO1" s="53"/>
      <c r="QMP1" s="53"/>
      <c r="QMQ1" s="53"/>
      <c r="QMR1" s="53"/>
      <c r="QMS1" s="53"/>
      <c r="QMT1" s="53"/>
      <c r="QMU1" s="53"/>
      <c r="QMV1" s="53"/>
      <c r="QMW1" s="53"/>
      <c r="QMX1" s="53"/>
      <c r="QMY1" s="53"/>
      <c r="QMZ1" s="53"/>
      <c r="QNA1" s="53"/>
      <c r="QNB1" s="53"/>
      <c r="QNC1" s="53"/>
      <c r="QND1" s="53"/>
      <c r="QNE1" s="53"/>
      <c r="QNF1" s="53"/>
      <c r="QNG1" s="53"/>
      <c r="QNH1" s="53"/>
      <c r="QNI1" s="53"/>
      <c r="QNJ1" s="53"/>
      <c r="QNK1" s="53"/>
      <c r="QNL1" s="53"/>
      <c r="QNM1" s="53"/>
      <c r="QNN1" s="53"/>
      <c r="QNO1" s="53"/>
      <c r="QNP1" s="53"/>
      <c r="QNQ1" s="53"/>
      <c r="QNR1" s="53"/>
      <c r="QNS1" s="53"/>
      <c r="QNT1" s="53"/>
      <c r="QNU1" s="53"/>
      <c r="QNV1" s="53"/>
      <c r="QNW1" s="53"/>
      <c r="QNX1" s="53"/>
      <c r="QNY1" s="53"/>
      <c r="QNZ1" s="53"/>
      <c r="QOA1" s="53"/>
      <c r="QOB1" s="53"/>
      <c r="QOC1" s="53"/>
      <c r="QOD1" s="53"/>
      <c r="QOE1" s="53"/>
      <c r="QOF1" s="53"/>
      <c r="QOG1" s="53"/>
      <c r="QOH1" s="53"/>
      <c r="QOI1" s="53"/>
      <c r="QOJ1" s="53"/>
      <c r="QOK1" s="53"/>
      <c r="QOL1" s="53"/>
      <c r="QOM1" s="53"/>
      <c r="QON1" s="53"/>
      <c r="QOO1" s="53"/>
      <c r="QOP1" s="53"/>
      <c r="QOQ1" s="53"/>
      <c r="QOR1" s="53"/>
      <c r="QOS1" s="53"/>
      <c r="QOT1" s="53"/>
      <c r="QOU1" s="53"/>
      <c r="QOV1" s="53"/>
      <c r="QOW1" s="53"/>
      <c r="QOX1" s="53"/>
      <c r="QOY1" s="53"/>
      <c r="QOZ1" s="53"/>
      <c r="QPA1" s="53"/>
      <c r="QPB1" s="53"/>
      <c r="QPC1" s="53"/>
      <c r="QPD1" s="53"/>
      <c r="QPE1" s="53"/>
      <c r="QPF1" s="53"/>
      <c r="QPG1" s="53"/>
      <c r="QPH1" s="53"/>
      <c r="QPI1" s="53"/>
      <c r="QPJ1" s="53"/>
      <c r="QPK1" s="53"/>
      <c r="QPL1" s="53"/>
      <c r="QPM1" s="53"/>
      <c r="QPN1" s="53"/>
      <c r="QPO1" s="53"/>
      <c r="QPP1" s="53"/>
      <c r="QPQ1" s="53"/>
      <c r="QPR1" s="53"/>
      <c r="QPS1" s="53"/>
      <c r="QPT1" s="53"/>
      <c r="QPU1" s="53"/>
      <c r="QPV1" s="53"/>
      <c r="QPW1" s="53"/>
      <c r="QPX1" s="53"/>
      <c r="QPY1" s="53"/>
      <c r="QPZ1" s="53"/>
      <c r="QQA1" s="53"/>
      <c r="QQB1" s="53"/>
      <c r="QQC1" s="53"/>
      <c r="QQD1" s="53"/>
      <c r="QQE1" s="53"/>
      <c r="QQF1" s="53"/>
      <c r="QQG1" s="53"/>
      <c r="QQH1" s="53"/>
      <c r="QQI1" s="53"/>
      <c r="QQJ1" s="53"/>
      <c r="QQK1" s="53"/>
      <c r="QQL1" s="53"/>
      <c r="QQM1" s="53"/>
      <c r="QQN1" s="53"/>
      <c r="QQO1" s="53"/>
      <c r="QQP1" s="53"/>
      <c r="QQQ1" s="53"/>
      <c r="QQR1" s="53"/>
      <c r="QQS1" s="53"/>
      <c r="QQT1" s="53"/>
      <c r="QQU1" s="53"/>
      <c r="QQV1" s="53"/>
      <c r="QQW1" s="53"/>
      <c r="QQX1" s="53"/>
      <c r="QQY1" s="53"/>
      <c r="QQZ1" s="53"/>
      <c r="QRA1" s="53"/>
      <c r="QRB1" s="53"/>
      <c r="QRC1" s="53"/>
      <c r="QRD1" s="53"/>
      <c r="QRE1" s="53"/>
      <c r="QRF1" s="53"/>
      <c r="QRG1" s="53"/>
      <c r="QRH1" s="53"/>
      <c r="QRI1" s="53"/>
      <c r="QRJ1" s="53"/>
      <c r="QRK1" s="53"/>
      <c r="QRL1" s="53"/>
      <c r="QRM1" s="53"/>
      <c r="QRN1" s="53"/>
      <c r="QRO1" s="53"/>
      <c r="QRP1" s="53"/>
      <c r="QRQ1" s="53"/>
      <c r="QRR1" s="53"/>
      <c r="QRS1" s="53"/>
      <c r="QRT1" s="53"/>
      <c r="QRU1" s="53"/>
      <c r="QRV1" s="53"/>
      <c r="QRW1" s="53"/>
      <c r="QRX1" s="53"/>
      <c r="QRY1" s="53"/>
      <c r="QRZ1" s="53"/>
      <c r="QSA1" s="53"/>
      <c r="QSB1" s="53"/>
      <c r="QSC1" s="53"/>
      <c r="QSD1" s="53"/>
      <c r="QSE1" s="53"/>
      <c r="QSF1" s="53"/>
      <c r="QSG1" s="53"/>
      <c r="QSH1" s="53"/>
      <c r="QSI1" s="53"/>
      <c r="QSJ1" s="53"/>
      <c r="QSK1" s="53"/>
      <c r="QSL1" s="53"/>
      <c r="QSM1" s="53"/>
      <c r="QSN1" s="53"/>
      <c r="QSO1" s="53"/>
      <c r="QSP1" s="53"/>
      <c r="QSQ1" s="53"/>
      <c r="QSR1" s="53"/>
      <c r="QSS1" s="53"/>
      <c r="QST1" s="53"/>
      <c r="QSU1" s="53"/>
      <c r="QSV1" s="53"/>
      <c r="QSW1" s="53"/>
      <c r="QSX1" s="53"/>
      <c r="QSY1" s="53"/>
      <c r="QSZ1" s="53"/>
      <c r="QTA1" s="53"/>
      <c r="QTB1" s="53"/>
      <c r="QTC1" s="53"/>
      <c r="QTD1" s="53"/>
      <c r="QTE1" s="53"/>
      <c r="QTF1" s="53"/>
      <c r="QTG1" s="53"/>
      <c r="QTH1" s="53"/>
      <c r="QTI1" s="53"/>
      <c r="QTJ1" s="53"/>
      <c r="QTK1" s="53"/>
      <c r="QTL1" s="53"/>
      <c r="QTM1" s="53"/>
      <c r="QTN1" s="53"/>
      <c r="QTO1" s="53"/>
      <c r="QTP1" s="53"/>
      <c r="QTQ1" s="53"/>
      <c r="QTR1" s="53"/>
      <c r="QTS1" s="53"/>
      <c r="QTT1" s="53"/>
      <c r="QTU1" s="53"/>
      <c r="QTV1" s="53"/>
      <c r="QTW1" s="53"/>
      <c r="QTX1" s="53"/>
      <c r="QTY1" s="53"/>
      <c r="QTZ1" s="53"/>
      <c r="QUA1" s="53"/>
      <c r="QUB1" s="53"/>
      <c r="QUC1" s="53"/>
      <c r="QUD1" s="53"/>
      <c r="QUE1" s="53"/>
      <c r="QUF1" s="53"/>
      <c r="QUG1" s="53"/>
      <c r="QUH1" s="53"/>
      <c r="QUI1" s="53"/>
      <c r="QUJ1" s="53"/>
      <c r="QUK1" s="53"/>
      <c r="QUL1" s="53"/>
      <c r="QUM1" s="53"/>
      <c r="QUN1" s="53"/>
      <c r="QUO1" s="53"/>
      <c r="QUP1" s="53"/>
      <c r="QUQ1" s="53"/>
      <c r="QUR1" s="53"/>
      <c r="QUS1" s="53"/>
      <c r="QUT1" s="53"/>
      <c r="QUU1" s="53"/>
      <c r="QUV1" s="53"/>
      <c r="QUW1" s="53"/>
      <c r="QUX1" s="53"/>
      <c r="QUY1" s="53"/>
      <c r="QUZ1" s="53"/>
      <c r="QVA1" s="53"/>
      <c r="QVB1" s="53"/>
      <c r="QVC1" s="53"/>
      <c r="QVD1" s="53"/>
      <c r="QVE1" s="53"/>
      <c r="QVF1" s="53"/>
      <c r="QVG1" s="53"/>
      <c r="QVH1" s="53"/>
      <c r="QVI1" s="53"/>
      <c r="QVJ1" s="53"/>
      <c r="QVK1" s="53"/>
      <c r="QVL1" s="53"/>
      <c r="QVM1" s="53"/>
      <c r="QVN1" s="53"/>
      <c r="QVO1" s="53"/>
      <c r="QVP1" s="53"/>
      <c r="QVQ1" s="53"/>
      <c r="QVR1" s="53"/>
      <c r="QVS1" s="53"/>
      <c r="QVT1" s="53"/>
      <c r="QVU1" s="53"/>
      <c r="QVV1" s="53"/>
      <c r="QVW1" s="53"/>
      <c r="QVX1" s="53"/>
      <c r="QVY1" s="53"/>
      <c r="QVZ1" s="53"/>
      <c r="QWA1" s="53"/>
      <c r="QWB1" s="53"/>
      <c r="QWC1" s="53"/>
      <c r="QWD1" s="53"/>
      <c r="QWE1" s="53"/>
      <c r="QWF1" s="53"/>
      <c r="QWG1" s="53"/>
      <c r="QWH1" s="53"/>
      <c r="QWI1" s="53"/>
      <c r="QWJ1" s="53"/>
      <c r="QWK1" s="53"/>
      <c r="QWL1" s="53"/>
      <c r="QWM1" s="53"/>
      <c r="QWN1" s="53"/>
      <c r="QWO1" s="53"/>
      <c r="QWP1" s="53"/>
      <c r="QWQ1" s="53"/>
      <c r="QWR1" s="53"/>
      <c r="QWS1" s="53"/>
      <c r="QWT1" s="53"/>
      <c r="QWU1" s="53"/>
      <c r="QWV1" s="53"/>
      <c r="QWW1" s="53"/>
      <c r="QWX1" s="53"/>
      <c r="QWY1" s="53"/>
      <c r="QWZ1" s="53"/>
      <c r="QXA1" s="53"/>
      <c r="QXB1" s="53"/>
      <c r="QXC1" s="53"/>
      <c r="QXD1" s="53"/>
      <c r="QXE1" s="53"/>
      <c r="QXF1" s="53"/>
      <c r="QXG1" s="53"/>
      <c r="QXH1" s="53"/>
      <c r="QXI1" s="53"/>
      <c r="QXJ1" s="53"/>
      <c r="QXK1" s="53"/>
      <c r="QXL1" s="53"/>
      <c r="QXM1" s="53"/>
      <c r="QXN1" s="53"/>
      <c r="QXO1" s="53"/>
      <c r="QXP1" s="53"/>
      <c r="QXQ1" s="53"/>
      <c r="QXR1" s="53"/>
      <c r="QXS1" s="53"/>
      <c r="QXT1" s="53"/>
      <c r="QXU1" s="53"/>
      <c r="QXV1" s="53"/>
      <c r="QXW1" s="53"/>
      <c r="QXX1" s="53"/>
      <c r="QXY1" s="53"/>
      <c r="QXZ1" s="53"/>
      <c r="QYA1" s="53"/>
      <c r="QYB1" s="53"/>
      <c r="QYC1" s="53"/>
      <c r="QYD1" s="53"/>
      <c r="QYE1" s="53"/>
      <c r="QYF1" s="53"/>
      <c r="QYG1" s="53"/>
      <c r="QYH1" s="53"/>
      <c r="QYI1" s="53"/>
      <c r="QYJ1" s="53"/>
      <c r="QYK1" s="53"/>
      <c r="QYL1" s="53"/>
      <c r="QYM1" s="53"/>
      <c r="QYN1" s="53"/>
      <c r="QYO1" s="53"/>
      <c r="QYP1" s="53"/>
      <c r="QYQ1" s="53"/>
      <c r="QYR1" s="53"/>
      <c r="QYS1" s="53"/>
      <c r="QYT1" s="53"/>
      <c r="QYU1" s="53"/>
      <c r="QYV1" s="53"/>
      <c r="QYW1" s="53"/>
      <c r="QYX1" s="53"/>
      <c r="QYY1" s="53"/>
      <c r="QYZ1" s="53"/>
      <c r="QZA1" s="53"/>
      <c r="QZB1" s="53"/>
      <c r="QZC1" s="53"/>
      <c r="QZD1" s="53"/>
      <c r="QZE1" s="53"/>
      <c r="QZF1" s="53"/>
      <c r="QZG1" s="53"/>
      <c r="QZH1" s="53"/>
      <c r="QZI1" s="53"/>
      <c r="QZJ1" s="53"/>
      <c r="QZK1" s="53"/>
      <c r="QZL1" s="53"/>
      <c r="QZM1" s="53"/>
      <c r="QZN1" s="53"/>
      <c r="QZO1" s="53"/>
      <c r="QZP1" s="53"/>
      <c r="QZQ1" s="53"/>
      <c r="QZR1" s="53"/>
      <c r="QZS1" s="53"/>
      <c r="QZT1" s="53"/>
      <c r="QZU1" s="53"/>
      <c r="QZV1" s="53"/>
      <c r="QZW1" s="53"/>
      <c r="QZX1" s="53"/>
      <c r="QZY1" s="53"/>
      <c r="QZZ1" s="53"/>
      <c r="RAA1" s="53"/>
      <c r="RAB1" s="53"/>
      <c r="RAC1" s="53"/>
      <c r="RAD1" s="53"/>
      <c r="RAE1" s="53"/>
      <c r="RAF1" s="53"/>
      <c r="RAG1" s="53"/>
      <c r="RAH1" s="53"/>
      <c r="RAI1" s="53"/>
      <c r="RAJ1" s="53"/>
      <c r="RAK1" s="53"/>
      <c r="RAL1" s="53"/>
      <c r="RAM1" s="53"/>
      <c r="RAN1" s="53"/>
      <c r="RAO1" s="53"/>
      <c r="RAP1" s="53"/>
      <c r="RAQ1" s="53"/>
      <c r="RAR1" s="53"/>
      <c r="RAS1" s="53"/>
      <c r="RAT1" s="53"/>
      <c r="RAU1" s="53"/>
      <c r="RAV1" s="53"/>
      <c r="RAW1" s="53"/>
      <c r="RAX1" s="53"/>
      <c r="RAY1" s="53"/>
      <c r="RAZ1" s="53"/>
      <c r="RBA1" s="53"/>
      <c r="RBB1" s="53"/>
      <c r="RBC1" s="53"/>
      <c r="RBD1" s="53"/>
      <c r="RBE1" s="53"/>
      <c r="RBF1" s="53"/>
      <c r="RBG1" s="53"/>
      <c r="RBH1" s="53"/>
      <c r="RBI1" s="53"/>
      <c r="RBJ1" s="53"/>
      <c r="RBK1" s="53"/>
      <c r="RBL1" s="53"/>
      <c r="RBM1" s="53"/>
      <c r="RBN1" s="53"/>
      <c r="RBO1" s="53"/>
      <c r="RBP1" s="53"/>
      <c r="RBQ1" s="53"/>
      <c r="RBR1" s="53"/>
      <c r="RBS1" s="53"/>
      <c r="RBT1" s="53"/>
      <c r="RBU1" s="53"/>
      <c r="RBV1" s="53"/>
      <c r="RBW1" s="53"/>
      <c r="RBX1" s="53"/>
      <c r="RBY1" s="53"/>
      <c r="RBZ1" s="53"/>
      <c r="RCA1" s="53"/>
      <c r="RCB1" s="53"/>
      <c r="RCC1" s="53"/>
      <c r="RCD1" s="53"/>
      <c r="RCE1" s="53"/>
      <c r="RCF1" s="53"/>
      <c r="RCG1" s="53"/>
      <c r="RCH1" s="53"/>
      <c r="RCI1" s="53"/>
      <c r="RCJ1" s="53"/>
      <c r="RCK1" s="53"/>
      <c r="RCL1" s="53"/>
      <c r="RCM1" s="53"/>
      <c r="RCN1" s="53"/>
      <c r="RCO1" s="53"/>
      <c r="RCP1" s="53"/>
      <c r="RCQ1" s="53"/>
      <c r="RCR1" s="53"/>
      <c r="RCS1" s="53"/>
      <c r="RCT1" s="53"/>
      <c r="RCU1" s="53"/>
      <c r="RCV1" s="53"/>
      <c r="RCW1" s="53"/>
      <c r="RCX1" s="53"/>
      <c r="RCY1" s="53"/>
      <c r="RCZ1" s="53"/>
      <c r="RDA1" s="53"/>
      <c r="RDB1" s="53"/>
      <c r="RDC1" s="53"/>
      <c r="RDD1" s="53"/>
      <c r="RDE1" s="53"/>
      <c r="RDF1" s="53"/>
      <c r="RDG1" s="53"/>
      <c r="RDH1" s="53"/>
      <c r="RDI1" s="53"/>
      <c r="RDJ1" s="53"/>
      <c r="RDK1" s="53"/>
      <c r="RDL1" s="53"/>
      <c r="RDM1" s="53"/>
      <c r="RDN1" s="53"/>
      <c r="RDO1" s="53"/>
      <c r="RDP1" s="53"/>
      <c r="RDQ1" s="53"/>
      <c r="RDR1" s="53"/>
      <c r="RDS1" s="53"/>
      <c r="RDT1" s="53"/>
      <c r="RDU1" s="53"/>
      <c r="RDV1" s="53"/>
      <c r="RDW1" s="53"/>
      <c r="RDX1" s="53"/>
      <c r="RDY1" s="53"/>
      <c r="RDZ1" s="53"/>
      <c r="REA1" s="53"/>
      <c r="REB1" s="53"/>
      <c r="REC1" s="53"/>
      <c r="RED1" s="53"/>
      <c r="REE1" s="53"/>
      <c r="REF1" s="53"/>
      <c r="REG1" s="53"/>
      <c r="REH1" s="53"/>
      <c r="REI1" s="53"/>
      <c r="REJ1" s="53"/>
      <c r="REK1" s="53"/>
      <c r="REL1" s="53"/>
      <c r="REM1" s="53"/>
      <c r="REN1" s="53"/>
      <c r="REO1" s="53"/>
      <c r="REP1" s="53"/>
      <c r="REQ1" s="53"/>
      <c r="RER1" s="53"/>
      <c r="RES1" s="53"/>
      <c r="RET1" s="53"/>
      <c r="REU1" s="53"/>
      <c r="REV1" s="53"/>
      <c r="REW1" s="53"/>
      <c r="REX1" s="53"/>
      <c r="REY1" s="53"/>
      <c r="REZ1" s="53"/>
      <c r="RFA1" s="53"/>
      <c r="RFB1" s="53"/>
      <c r="RFC1" s="53"/>
      <c r="RFD1" s="53"/>
      <c r="RFE1" s="53"/>
      <c r="RFF1" s="53"/>
      <c r="RFG1" s="53"/>
      <c r="RFH1" s="53"/>
      <c r="RFI1" s="53"/>
      <c r="RFJ1" s="53"/>
      <c r="RFK1" s="53"/>
      <c r="RFL1" s="53"/>
      <c r="RFM1" s="53"/>
      <c r="RFN1" s="53"/>
      <c r="RFO1" s="53"/>
      <c r="RFP1" s="53"/>
      <c r="RFQ1" s="53"/>
      <c r="RFR1" s="53"/>
      <c r="RFS1" s="53"/>
      <c r="RFT1" s="53"/>
      <c r="RFU1" s="53"/>
      <c r="RFV1" s="53"/>
      <c r="RFW1" s="53"/>
      <c r="RFX1" s="53"/>
      <c r="RFY1" s="53"/>
      <c r="RFZ1" s="53"/>
      <c r="RGA1" s="53"/>
      <c r="RGB1" s="53"/>
      <c r="RGC1" s="53"/>
      <c r="RGD1" s="53"/>
      <c r="RGE1" s="53"/>
      <c r="RGF1" s="53"/>
      <c r="RGG1" s="53"/>
      <c r="RGH1" s="53"/>
      <c r="RGI1" s="53"/>
      <c r="RGJ1" s="53"/>
      <c r="RGK1" s="53"/>
      <c r="RGL1" s="53"/>
      <c r="RGM1" s="53"/>
      <c r="RGN1" s="53"/>
      <c r="RGO1" s="53"/>
      <c r="RGP1" s="53"/>
      <c r="RGQ1" s="53"/>
      <c r="RGR1" s="53"/>
      <c r="RGS1" s="53"/>
      <c r="RGT1" s="53"/>
      <c r="RGU1" s="53"/>
      <c r="RGV1" s="53"/>
      <c r="RGW1" s="53"/>
      <c r="RGX1" s="53"/>
      <c r="RGY1" s="53"/>
      <c r="RGZ1" s="53"/>
      <c r="RHA1" s="53"/>
      <c r="RHB1" s="53"/>
      <c r="RHC1" s="53"/>
      <c r="RHD1" s="53"/>
      <c r="RHE1" s="53"/>
      <c r="RHF1" s="53"/>
      <c r="RHG1" s="53"/>
      <c r="RHH1" s="53"/>
      <c r="RHI1" s="53"/>
      <c r="RHJ1" s="53"/>
      <c r="RHK1" s="53"/>
      <c r="RHL1" s="53"/>
      <c r="RHM1" s="53"/>
      <c r="RHN1" s="53"/>
      <c r="RHO1" s="53"/>
      <c r="RHP1" s="53"/>
      <c r="RHQ1" s="53"/>
      <c r="RHR1" s="53"/>
      <c r="RHS1" s="53"/>
      <c r="RHT1" s="53"/>
      <c r="RHU1" s="53"/>
      <c r="RHV1" s="53"/>
      <c r="RHW1" s="53"/>
      <c r="RHX1" s="53"/>
      <c r="RHY1" s="53"/>
      <c r="RHZ1" s="53"/>
      <c r="RIA1" s="53"/>
      <c r="RIB1" s="53"/>
      <c r="RIC1" s="53"/>
      <c r="RID1" s="53"/>
      <c r="RIE1" s="53"/>
      <c r="RIF1" s="53"/>
      <c r="RIG1" s="53"/>
      <c r="RIH1" s="53"/>
      <c r="RII1" s="53"/>
      <c r="RIJ1" s="53"/>
      <c r="RIK1" s="53"/>
      <c r="RIL1" s="53"/>
      <c r="RIM1" s="53"/>
      <c r="RIN1" s="53"/>
      <c r="RIO1" s="53"/>
      <c r="RIP1" s="53"/>
      <c r="RIQ1" s="53"/>
      <c r="RIR1" s="53"/>
      <c r="RIS1" s="53"/>
      <c r="RIT1" s="53"/>
      <c r="RIU1" s="53"/>
      <c r="RIV1" s="53"/>
      <c r="RIW1" s="53"/>
      <c r="RIX1" s="53"/>
      <c r="RIY1" s="53"/>
      <c r="RIZ1" s="53"/>
      <c r="RJA1" s="53"/>
      <c r="RJB1" s="53"/>
      <c r="RJC1" s="53"/>
      <c r="RJD1" s="53"/>
      <c r="RJE1" s="53"/>
      <c r="RJF1" s="53"/>
      <c r="RJG1" s="53"/>
      <c r="RJH1" s="53"/>
      <c r="RJI1" s="53"/>
      <c r="RJJ1" s="53"/>
      <c r="RJK1" s="53"/>
      <c r="RJL1" s="53"/>
      <c r="RJM1" s="53"/>
      <c r="RJN1" s="53"/>
      <c r="RJO1" s="53"/>
      <c r="RJP1" s="53"/>
      <c r="RJQ1" s="53"/>
      <c r="RJR1" s="53"/>
      <c r="RJS1" s="53"/>
      <c r="RJT1" s="53"/>
      <c r="RJU1" s="53"/>
      <c r="RJV1" s="53"/>
      <c r="RJW1" s="53"/>
      <c r="RJX1" s="53"/>
      <c r="RJY1" s="53"/>
      <c r="RJZ1" s="53"/>
      <c r="RKA1" s="53"/>
      <c r="RKB1" s="53"/>
      <c r="RKC1" s="53"/>
      <c r="RKD1" s="53"/>
      <c r="RKE1" s="53"/>
      <c r="RKF1" s="53"/>
      <c r="RKG1" s="53"/>
      <c r="RKH1" s="53"/>
      <c r="RKI1" s="53"/>
      <c r="RKJ1" s="53"/>
      <c r="RKK1" s="53"/>
      <c r="RKL1" s="53"/>
      <c r="RKM1" s="53"/>
      <c r="RKN1" s="53"/>
      <c r="RKO1" s="53"/>
      <c r="RKP1" s="53"/>
      <c r="RKQ1" s="53"/>
      <c r="RKR1" s="53"/>
      <c r="RKS1" s="53"/>
      <c r="RKT1" s="53"/>
      <c r="RKU1" s="53"/>
      <c r="RKV1" s="53"/>
      <c r="RKW1" s="53"/>
      <c r="RKX1" s="53"/>
      <c r="RKY1" s="53"/>
      <c r="RKZ1" s="53"/>
      <c r="RLA1" s="53"/>
      <c r="RLB1" s="53"/>
      <c r="RLC1" s="53"/>
      <c r="RLD1" s="53"/>
      <c r="RLE1" s="53"/>
      <c r="RLF1" s="53"/>
      <c r="RLG1" s="53"/>
      <c r="RLH1" s="53"/>
      <c r="RLI1" s="53"/>
      <c r="RLJ1" s="53"/>
      <c r="RLK1" s="53"/>
      <c r="RLL1" s="53"/>
      <c r="RLM1" s="53"/>
      <c r="RLN1" s="53"/>
      <c r="RLO1" s="53"/>
      <c r="RLP1" s="53"/>
      <c r="RLQ1" s="53"/>
      <c r="RLR1" s="53"/>
      <c r="RLS1" s="53"/>
      <c r="RLT1" s="53"/>
      <c r="RLU1" s="53"/>
      <c r="RLV1" s="53"/>
      <c r="RLW1" s="53"/>
      <c r="RLX1" s="53"/>
      <c r="RLY1" s="53"/>
      <c r="RLZ1" s="53"/>
      <c r="RMA1" s="53"/>
      <c r="RMB1" s="53"/>
      <c r="RMC1" s="53"/>
      <c r="RMD1" s="53"/>
      <c r="RME1" s="53"/>
      <c r="RMF1" s="53"/>
      <c r="RMG1" s="53"/>
      <c r="RMH1" s="53"/>
      <c r="RMI1" s="53"/>
      <c r="RMJ1" s="53"/>
      <c r="RMK1" s="53"/>
      <c r="RML1" s="53"/>
      <c r="RMM1" s="53"/>
      <c r="RMN1" s="53"/>
      <c r="RMO1" s="53"/>
      <c r="RMP1" s="53"/>
      <c r="RMQ1" s="53"/>
      <c r="RMR1" s="53"/>
      <c r="RMS1" s="53"/>
      <c r="RMT1" s="53"/>
      <c r="RMU1" s="53"/>
      <c r="RMV1" s="53"/>
      <c r="RMW1" s="53"/>
      <c r="RMX1" s="53"/>
      <c r="RMY1" s="53"/>
      <c r="RMZ1" s="53"/>
      <c r="RNA1" s="53"/>
      <c r="RNB1" s="53"/>
      <c r="RNC1" s="53"/>
      <c r="RND1" s="53"/>
      <c r="RNE1" s="53"/>
      <c r="RNF1" s="53"/>
      <c r="RNG1" s="53"/>
      <c r="RNH1" s="53"/>
      <c r="RNI1" s="53"/>
      <c r="RNJ1" s="53"/>
      <c r="RNK1" s="53"/>
      <c r="RNL1" s="53"/>
      <c r="RNM1" s="53"/>
      <c r="RNN1" s="53"/>
      <c r="RNO1" s="53"/>
      <c r="RNP1" s="53"/>
      <c r="RNQ1" s="53"/>
      <c r="RNR1" s="53"/>
      <c r="RNS1" s="53"/>
      <c r="RNT1" s="53"/>
      <c r="RNU1" s="53"/>
      <c r="RNV1" s="53"/>
      <c r="RNW1" s="53"/>
      <c r="RNX1" s="53"/>
      <c r="RNY1" s="53"/>
      <c r="RNZ1" s="53"/>
      <c r="ROA1" s="53"/>
      <c r="ROB1" s="53"/>
      <c r="ROC1" s="53"/>
      <c r="ROD1" s="53"/>
      <c r="ROE1" s="53"/>
      <c r="ROF1" s="53"/>
      <c r="ROG1" s="53"/>
      <c r="ROH1" s="53"/>
      <c r="ROI1" s="53"/>
      <c r="ROJ1" s="53"/>
      <c r="ROK1" s="53"/>
      <c r="ROL1" s="53"/>
      <c r="ROM1" s="53"/>
      <c r="RON1" s="53"/>
      <c r="ROO1" s="53"/>
      <c r="ROP1" s="53"/>
      <c r="ROQ1" s="53"/>
      <c r="ROR1" s="53"/>
      <c r="ROS1" s="53"/>
      <c r="ROT1" s="53"/>
      <c r="ROU1" s="53"/>
      <c r="ROV1" s="53"/>
      <c r="ROW1" s="53"/>
      <c r="ROX1" s="53"/>
      <c r="ROY1" s="53"/>
      <c r="ROZ1" s="53"/>
      <c r="RPA1" s="53"/>
      <c r="RPB1" s="53"/>
      <c r="RPC1" s="53"/>
      <c r="RPD1" s="53"/>
      <c r="RPE1" s="53"/>
      <c r="RPF1" s="53"/>
      <c r="RPG1" s="53"/>
      <c r="RPH1" s="53"/>
      <c r="RPI1" s="53"/>
      <c r="RPJ1" s="53"/>
      <c r="RPK1" s="53"/>
      <c r="RPL1" s="53"/>
      <c r="RPM1" s="53"/>
      <c r="RPN1" s="53"/>
      <c r="RPO1" s="53"/>
      <c r="RPP1" s="53"/>
      <c r="RPQ1" s="53"/>
      <c r="RPR1" s="53"/>
      <c r="RPS1" s="53"/>
      <c r="RPT1" s="53"/>
      <c r="RPU1" s="53"/>
      <c r="RPV1" s="53"/>
      <c r="RPW1" s="53"/>
      <c r="RPX1" s="53"/>
      <c r="RPY1" s="53"/>
      <c r="RPZ1" s="53"/>
      <c r="RQA1" s="53"/>
      <c r="RQB1" s="53"/>
      <c r="RQC1" s="53"/>
      <c r="RQD1" s="53"/>
      <c r="RQE1" s="53"/>
      <c r="RQF1" s="53"/>
      <c r="RQG1" s="53"/>
      <c r="RQH1" s="53"/>
      <c r="RQI1" s="53"/>
      <c r="RQJ1" s="53"/>
      <c r="RQK1" s="53"/>
      <c r="RQL1" s="53"/>
      <c r="RQM1" s="53"/>
      <c r="RQN1" s="53"/>
      <c r="RQO1" s="53"/>
      <c r="RQP1" s="53"/>
      <c r="RQQ1" s="53"/>
      <c r="RQR1" s="53"/>
      <c r="RQS1" s="53"/>
      <c r="RQT1" s="53"/>
      <c r="RQU1" s="53"/>
      <c r="RQV1" s="53"/>
      <c r="RQW1" s="53"/>
      <c r="RQX1" s="53"/>
      <c r="RQY1" s="53"/>
      <c r="RQZ1" s="53"/>
      <c r="RRA1" s="53"/>
      <c r="RRB1" s="53"/>
      <c r="RRC1" s="53"/>
      <c r="RRD1" s="53"/>
      <c r="RRE1" s="53"/>
      <c r="RRF1" s="53"/>
      <c r="RRG1" s="53"/>
      <c r="RRH1" s="53"/>
      <c r="RRI1" s="53"/>
      <c r="RRJ1" s="53"/>
      <c r="RRK1" s="53"/>
      <c r="RRL1" s="53"/>
      <c r="RRM1" s="53"/>
      <c r="RRN1" s="53"/>
      <c r="RRO1" s="53"/>
      <c r="RRP1" s="53"/>
      <c r="RRQ1" s="53"/>
      <c r="RRR1" s="53"/>
      <c r="RRS1" s="53"/>
      <c r="RRT1" s="53"/>
      <c r="RRU1" s="53"/>
      <c r="RRV1" s="53"/>
      <c r="RRW1" s="53"/>
      <c r="RRX1" s="53"/>
      <c r="RRY1" s="53"/>
      <c r="RRZ1" s="53"/>
      <c r="RSA1" s="53"/>
      <c r="RSB1" s="53"/>
      <c r="RSC1" s="53"/>
      <c r="RSD1" s="53"/>
      <c r="RSE1" s="53"/>
      <c r="RSF1" s="53"/>
      <c r="RSG1" s="53"/>
      <c r="RSH1" s="53"/>
      <c r="RSI1" s="53"/>
      <c r="RSJ1" s="53"/>
      <c r="RSK1" s="53"/>
      <c r="RSL1" s="53"/>
      <c r="RSM1" s="53"/>
      <c r="RSN1" s="53"/>
      <c r="RSO1" s="53"/>
      <c r="RSP1" s="53"/>
      <c r="RSQ1" s="53"/>
      <c r="RSR1" s="53"/>
      <c r="RSS1" s="53"/>
      <c r="RST1" s="53"/>
      <c r="RSU1" s="53"/>
      <c r="RSV1" s="53"/>
      <c r="RSW1" s="53"/>
      <c r="RSX1" s="53"/>
      <c r="RSY1" s="53"/>
      <c r="RSZ1" s="53"/>
      <c r="RTA1" s="53"/>
      <c r="RTB1" s="53"/>
      <c r="RTC1" s="53"/>
      <c r="RTD1" s="53"/>
      <c r="RTE1" s="53"/>
      <c r="RTF1" s="53"/>
      <c r="RTG1" s="53"/>
      <c r="RTH1" s="53"/>
      <c r="RTI1" s="53"/>
      <c r="RTJ1" s="53"/>
      <c r="RTK1" s="53"/>
      <c r="RTL1" s="53"/>
      <c r="RTM1" s="53"/>
      <c r="RTN1" s="53"/>
      <c r="RTO1" s="53"/>
      <c r="RTP1" s="53"/>
      <c r="RTQ1" s="53"/>
      <c r="RTR1" s="53"/>
      <c r="RTS1" s="53"/>
      <c r="RTT1" s="53"/>
      <c r="RTU1" s="53"/>
      <c r="RTV1" s="53"/>
      <c r="RTW1" s="53"/>
      <c r="RTX1" s="53"/>
      <c r="RTY1" s="53"/>
      <c r="RTZ1" s="53"/>
      <c r="RUA1" s="53"/>
      <c r="RUB1" s="53"/>
      <c r="RUC1" s="53"/>
      <c r="RUD1" s="53"/>
      <c r="RUE1" s="53"/>
      <c r="RUF1" s="53"/>
      <c r="RUG1" s="53"/>
      <c r="RUH1" s="53"/>
      <c r="RUI1" s="53"/>
      <c r="RUJ1" s="53"/>
      <c r="RUK1" s="53"/>
      <c r="RUL1" s="53"/>
      <c r="RUM1" s="53"/>
      <c r="RUN1" s="53"/>
      <c r="RUO1" s="53"/>
      <c r="RUP1" s="53"/>
      <c r="RUQ1" s="53"/>
      <c r="RUR1" s="53"/>
      <c r="RUS1" s="53"/>
      <c r="RUT1" s="53"/>
      <c r="RUU1" s="53"/>
      <c r="RUV1" s="53"/>
      <c r="RUW1" s="53"/>
      <c r="RUX1" s="53"/>
      <c r="RUY1" s="53"/>
      <c r="RUZ1" s="53"/>
      <c r="RVA1" s="53"/>
      <c r="RVB1" s="53"/>
      <c r="RVC1" s="53"/>
      <c r="RVD1" s="53"/>
      <c r="RVE1" s="53"/>
      <c r="RVF1" s="53"/>
      <c r="RVG1" s="53"/>
      <c r="RVH1" s="53"/>
      <c r="RVI1" s="53"/>
      <c r="RVJ1" s="53"/>
      <c r="RVK1" s="53"/>
      <c r="RVL1" s="53"/>
      <c r="RVM1" s="53"/>
      <c r="RVN1" s="53"/>
      <c r="RVO1" s="53"/>
      <c r="RVP1" s="53"/>
      <c r="RVQ1" s="53"/>
      <c r="RVR1" s="53"/>
      <c r="RVS1" s="53"/>
      <c r="RVT1" s="53"/>
      <c r="RVU1" s="53"/>
      <c r="RVV1" s="53"/>
      <c r="RVW1" s="53"/>
      <c r="RVX1" s="53"/>
      <c r="RVY1" s="53"/>
      <c r="RVZ1" s="53"/>
      <c r="RWA1" s="53"/>
      <c r="RWB1" s="53"/>
      <c r="RWC1" s="53"/>
      <c r="RWD1" s="53"/>
      <c r="RWE1" s="53"/>
      <c r="RWF1" s="53"/>
      <c r="RWG1" s="53"/>
      <c r="RWH1" s="53"/>
      <c r="RWI1" s="53"/>
      <c r="RWJ1" s="53"/>
      <c r="RWK1" s="53"/>
      <c r="RWL1" s="53"/>
      <c r="RWM1" s="53"/>
      <c r="RWN1" s="53"/>
      <c r="RWO1" s="53"/>
      <c r="RWP1" s="53"/>
      <c r="RWQ1" s="53"/>
      <c r="RWR1" s="53"/>
      <c r="RWS1" s="53"/>
      <c r="RWT1" s="53"/>
      <c r="RWU1" s="53"/>
      <c r="RWV1" s="53"/>
      <c r="RWW1" s="53"/>
      <c r="RWX1" s="53"/>
      <c r="RWY1" s="53"/>
      <c r="RWZ1" s="53"/>
      <c r="RXA1" s="53"/>
      <c r="RXB1" s="53"/>
      <c r="RXC1" s="53"/>
      <c r="RXD1" s="53"/>
      <c r="RXE1" s="53"/>
      <c r="RXF1" s="53"/>
      <c r="RXG1" s="53"/>
      <c r="RXH1" s="53"/>
      <c r="RXI1" s="53"/>
      <c r="RXJ1" s="53"/>
      <c r="RXK1" s="53"/>
      <c r="RXL1" s="53"/>
      <c r="RXM1" s="53"/>
      <c r="RXN1" s="53"/>
      <c r="RXO1" s="53"/>
      <c r="RXP1" s="53"/>
      <c r="RXQ1" s="53"/>
      <c r="RXR1" s="53"/>
      <c r="RXS1" s="53"/>
      <c r="RXT1" s="53"/>
      <c r="RXU1" s="53"/>
      <c r="RXV1" s="53"/>
      <c r="RXW1" s="53"/>
      <c r="RXX1" s="53"/>
      <c r="RXY1" s="53"/>
      <c r="RXZ1" s="53"/>
      <c r="RYA1" s="53"/>
      <c r="RYB1" s="53"/>
      <c r="RYC1" s="53"/>
      <c r="RYD1" s="53"/>
      <c r="RYE1" s="53"/>
      <c r="RYF1" s="53"/>
      <c r="RYG1" s="53"/>
      <c r="RYH1" s="53"/>
      <c r="RYI1" s="53"/>
      <c r="RYJ1" s="53"/>
      <c r="RYK1" s="53"/>
      <c r="RYL1" s="53"/>
      <c r="RYM1" s="53"/>
      <c r="RYN1" s="53"/>
      <c r="RYO1" s="53"/>
      <c r="RYP1" s="53"/>
      <c r="RYQ1" s="53"/>
      <c r="RYR1" s="53"/>
      <c r="RYS1" s="53"/>
      <c r="RYT1" s="53"/>
      <c r="RYU1" s="53"/>
      <c r="RYV1" s="53"/>
      <c r="RYW1" s="53"/>
      <c r="RYX1" s="53"/>
      <c r="RYY1" s="53"/>
      <c r="RYZ1" s="53"/>
      <c r="RZA1" s="53"/>
      <c r="RZB1" s="53"/>
      <c r="RZC1" s="53"/>
      <c r="RZD1" s="53"/>
      <c r="RZE1" s="53"/>
      <c r="RZF1" s="53"/>
      <c r="RZG1" s="53"/>
      <c r="RZH1" s="53"/>
      <c r="RZI1" s="53"/>
      <c r="RZJ1" s="53"/>
      <c r="RZK1" s="53"/>
      <c r="RZL1" s="53"/>
      <c r="RZM1" s="53"/>
      <c r="RZN1" s="53"/>
      <c r="RZO1" s="53"/>
      <c r="RZP1" s="53"/>
      <c r="RZQ1" s="53"/>
      <c r="RZR1" s="53"/>
      <c r="RZS1" s="53"/>
      <c r="RZT1" s="53"/>
      <c r="RZU1" s="53"/>
      <c r="RZV1" s="53"/>
      <c r="RZW1" s="53"/>
      <c r="RZX1" s="53"/>
      <c r="RZY1" s="53"/>
      <c r="RZZ1" s="53"/>
      <c r="SAA1" s="53"/>
      <c r="SAB1" s="53"/>
      <c r="SAC1" s="53"/>
      <c r="SAD1" s="53"/>
      <c r="SAE1" s="53"/>
      <c r="SAF1" s="53"/>
      <c r="SAG1" s="53"/>
      <c r="SAH1" s="53"/>
      <c r="SAI1" s="53"/>
      <c r="SAJ1" s="53"/>
      <c r="SAK1" s="53"/>
      <c r="SAL1" s="53"/>
      <c r="SAM1" s="53"/>
      <c r="SAN1" s="53"/>
      <c r="SAO1" s="53"/>
      <c r="SAP1" s="53"/>
      <c r="SAQ1" s="53"/>
      <c r="SAR1" s="53"/>
      <c r="SAS1" s="53"/>
      <c r="SAT1" s="53"/>
      <c r="SAU1" s="53"/>
      <c r="SAV1" s="53"/>
      <c r="SAW1" s="53"/>
      <c r="SAX1" s="53"/>
      <c r="SAY1" s="53"/>
      <c r="SAZ1" s="53"/>
      <c r="SBA1" s="53"/>
      <c r="SBB1" s="53"/>
      <c r="SBC1" s="53"/>
      <c r="SBD1" s="53"/>
      <c r="SBE1" s="53"/>
      <c r="SBF1" s="53"/>
      <c r="SBG1" s="53"/>
      <c r="SBH1" s="53"/>
      <c r="SBI1" s="53"/>
      <c r="SBJ1" s="53"/>
      <c r="SBK1" s="53"/>
      <c r="SBL1" s="53"/>
      <c r="SBM1" s="53"/>
      <c r="SBN1" s="53"/>
      <c r="SBO1" s="53"/>
      <c r="SBP1" s="53"/>
      <c r="SBQ1" s="53"/>
      <c r="SBR1" s="53"/>
      <c r="SBS1" s="53"/>
      <c r="SBT1" s="53"/>
      <c r="SBU1" s="53"/>
      <c r="SBV1" s="53"/>
      <c r="SBW1" s="53"/>
      <c r="SBX1" s="53"/>
      <c r="SBY1" s="53"/>
      <c r="SBZ1" s="53"/>
      <c r="SCA1" s="53"/>
      <c r="SCB1" s="53"/>
      <c r="SCC1" s="53"/>
      <c r="SCD1" s="53"/>
      <c r="SCE1" s="53"/>
      <c r="SCF1" s="53"/>
      <c r="SCG1" s="53"/>
      <c r="SCH1" s="53"/>
      <c r="SCI1" s="53"/>
      <c r="SCJ1" s="53"/>
      <c r="SCK1" s="53"/>
      <c r="SCL1" s="53"/>
      <c r="SCM1" s="53"/>
      <c r="SCN1" s="53"/>
      <c r="SCO1" s="53"/>
      <c r="SCP1" s="53"/>
      <c r="SCQ1" s="53"/>
      <c r="SCR1" s="53"/>
      <c r="SCS1" s="53"/>
      <c r="SCT1" s="53"/>
      <c r="SCU1" s="53"/>
      <c r="SCV1" s="53"/>
      <c r="SCW1" s="53"/>
      <c r="SCX1" s="53"/>
      <c r="SCY1" s="53"/>
      <c r="SCZ1" s="53"/>
      <c r="SDA1" s="53"/>
      <c r="SDB1" s="53"/>
      <c r="SDC1" s="53"/>
      <c r="SDD1" s="53"/>
      <c r="SDE1" s="53"/>
      <c r="SDF1" s="53"/>
      <c r="SDG1" s="53"/>
      <c r="SDH1" s="53"/>
      <c r="SDI1" s="53"/>
      <c r="SDJ1" s="53"/>
      <c r="SDK1" s="53"/>
      <c r="SDL1" s="53"/>
      <c r="SDM1" s="53"/>
      <c r="SDN1" s="53"/>
      <c r="SDO1" s="53"/>
      <c r="SDP1" s="53"/>
      <c r="SDQ1" s="53"/>
      <c r="SDR1" s="53"/>
      <c r="SDS1" s="53"/>
      <c r="SDT1" s="53"/>
      <c r="SDU1" s="53"/>
      <c r="SDV1" s="53"/>
      <c r="SDW1" s="53"/>
      <c r="SDX1" s="53"/>
      <c r="SDY1" s="53"/>
      <c r="SDZ1" s="53"/>
      <c r="SEA1" s="53"/>
      <c r="SEB1" s="53"/>
      <c r="SEC1" s="53"/>
      <c r="SED1" s="53"/>
      <c r="SEE1" s="53"/>
      <c r="SEF1" s="53"/>
      <c r="SEG1" s="53"/>
      <c r="SEH1" s="53"/>
      <c r="SEI1" s="53"/>
      <c r="SEJ1" s="53"/>
      <c r="SEK1" s="53"/>
      <c r="SEL1" s="53"/>
      <c r="SEM1" s="53"/>
      <c r="SEN1" s="53"/>
      <c r="SEO1" s="53"/>
      <c r="SEP1" s="53"/>
      <c r="SEQ1" s="53"/>
      <c r="SER1" s="53"/>
      <c r="SES1" s="53"/>
      <c r="SET1" s="53"/>
      <c r="SEU1" s="53"/>
      <c r="SEV1" s="53"/>
      <c r="SEW1" s="53"/>
      <c r="SEX1" s="53"/>
      <c r="SEY1" s="53"/>
      <c r="SEZ1" s="53"/>
      <c r="SFA1" s="53"/>
      <c r="SFB1" s="53"/>
      <c r="SFC1" s="53"/>
      <c r="SFD1" s="53"/>
      <c r="SFE1" s="53"/>
      <c r="SFF1" s="53"/>
      <c r="SFG1" s="53"/>
      <c r="SFH1" s="53"/>
      <c r="SFI1" s="53"/>
      <c r="SFJ1" s="53"/>
      <c r="SFK1" s="53"/>
      <c r="SFL1" s="53"/>
      <c r="SFM1" s="53"/>
      <c r="SFN1" s="53"/>
      <c r="SFO1" s="53"/>
      <c r="SFP1" s="53"/>
      <c r="SFQ1" s="53"/>
      <c r="SFR1" s="53"/>
      <c r="SFS1" s="53"/>
      <c r="SFT1" s="53"/>
      <c r="SFU1" s="53"/>
      <c r="SFV1" s="53"/>
      <c r="SFW1" s="53"/>
      <c r="SFX1" s="53"/>
      <c r="SFY1" s="53"/>
      <c r="SFZ1" s="53"/>
      <c r="SGA1" s="53"/>
      <c r="SGB1" s="53"/>
      <c r="SGC1" s="53"/>
      <c r="SGD1" s="53"/>
      <c r="SGE1" s="53"/>
      <c r="SGF1" s="53"/>
      <c r="SGG1" s="53"/>
      <c r="SGH1" s="53"/>
      <c r="SGI1" s="53"/>
      <c r="SGJ1" s="53"/>
      <c r="SGK1" s="53"/>
      <c r="SGL1" s="53"/>
      <c r="SGM1" s="53"/>
      <c r="SGN1" s="53"/>
      <c r="SGO1" s="53"/>
      <c r="SGP1" s="53"/>
      <c r="SGQ1" s="53"/>
      <c r="SGR1" s="53"/>
      <c r="SGS1" s="53"/>
      <c r="SGT1" s="53"/>
      <c r="SGU1" s="53"/>
      <c r="SGV1" s="53"/>
      <c r="SGW1" s="53"/>
      <c r="SGX1" s="53"/>
      <c r="SGY1" s="53"/>
      <c r="SGZ1" s="53"/>
      <c r="SHA1" s="53"/>
      <c r="SHB1" s="53"/>
      <c r="SHC1" s="53"/>
      <c r="SHD1" s="53"/>
      <c r="SHE1" s="53"/>
      <c r="SHF1" s="53"/>
      <c r="SHG1" s="53"/>
      <c r="SHH1" s="53"/>
      <c r="SHI1" s="53"/>
      <c r="SHJ1" s="53"/>
      <c r="SHK1" s="53"/>
      <c r="SHL1" s="53"/>
      <c r="SHM1" s="53"/>
      <c r="SHN1" s="53"/>
      <c r="SHO1" s="53"/>
      <c r="SHP1" s="53"/>
      <c r="SHQ1" s="53"/>
      <c r="SHR1" s="53"/>
      <c r="SHS1" s="53"/>
      <c r="SHT1" s="53"/>
      <c r="SHU1" s="53"/>
      <c r="SHV1" s="53"/>
      <c r="SHW1" s="53"/>
      <c r="SHX1" s="53"/>
      <c r="SHY1" s="53"/>
      <c r="SHZ1" s="53"/>
      <c r="SIA1" s="53"/>
      <c r="SIB1" s="53"/>
      <c r="SIC1" s="53"/>
      <c r="SID1" s="53"/>
      <c r="SIE1" s="53"/>
      <c r="SIF1" s="53"/>
      <c r="SIG1" s="53"/>
      <c r="SIH1" s="53"/>
      <c r="SII1" s="53"/>
      <c r="SIJ1" s="53"/>
      <c r="SIK1" s="53"/>
      <c r="SIL1" s="53"/>
      <c r="SIM1" s="53"/>
      <c r="SIN1" s="53"/>
      <c r="SIO1" s="53"/>
      <c r="SIP1" s="53"/>
      <c r="SIQ1" s="53"/>
      <c r="SIR1" s="53"/>
      <c r="SIS1" s="53"/>
      <c r="SIT1" s="53"/>
      <c r="SIU1" s="53"/>
      <c r="SIV1" s="53"/>
      <c r="SIW1" s="53"/>
      <c r="SIX1" s="53"/>
      <c r="SIY1" s="53"/>
      <c r="SIZ1" s="53"/>
      <c r="SJA1" s="53"/>
      <c r="SJB1" s="53"/>
      <c r="SJC1" s="53"/>
      <c r="SJD1" s="53"/>
      <c r="SJE1" s="53"/>
      <c r="SJF1" s="53"/>
      <c r="SJG1" s="53"/>
      <c r="SJH1" s="53"/>
      <c r="SJI1" s="53"/>
      <c r="SJJ1" s="53"/>
      <c r="SJK1" s="53"/>
      <c r="SJL1" s="53"/>
      <c r="SJM1" s="53"/>
      <c r="SJN1" s="53"/>
      <c r="SJO1" s="53"/>
      <c r="SJP1" s="53"/>
      <c r="SJQ1" s="53"/>
      <c r="SJR1" s="53"/>
      <c r="SJS1" s="53"/>
      <c r="SJT1" s="53"/>
      <c r="SJU1" s="53"/>
      <c r="SJV1" s="53"/>
      <c r="SJW1" s="53"/>
      <c r="SJX1" s="53"/>
      <c r="SJY1" s="53"/>
      <c r="SJZ1" s="53"/>
      <c r="SKA1" s="53"/>
      <c r="SKB1" s="53"/>
      <c r="SKC1" s="53"/>
      <c r="SKD1" s="53"/>
      <c r="SKE1" s="53"/>
      <c r="SKF1" s="53"/>
      <c r="SKG1" s="53"/>
      <c r="SKH1" s="53"/>
      <c r="SKI1" s="53"/>
      <c r="SKJ1" s="53"/>
      <c r="SKK1" s="53"/>
      <c r="SKL1" s="53"/>
      <c r="SKM1" s="53"/>
      <c r="SKN1" s="53"/>
      <c r="SKO1" s="53"/>
      <c r="SKP1" s="53"/>
      <c r="SKQ1" s="53"/>
      <c r="SKR1" s="53"/>
      <c r="SKS1" s="53"/>
      <c r="SKT1" s="53"/>
      <c r="SKU1" s="53"/>
      <c r="SKV1" s="53"/>
      <c r="SKW1" s="53"/>
      <c r="SKX1" s="53"/>
      <c r="SKY1" s="53"/>
      <c r="SKZ1" s="53"/>
      <c r="SLA1" s="53"/>
      <c r="SLB1" s="53"/>
      <c r="SLC1" s="53"/>
      <c r="SLD1" s="53"/>
      <c r="SLE1" s="53"/>
      <c r="SLF1" s="53"/>
      <c r="SLG1" s="53"/>
      <c r="SLH1" s="53"/>
      <c r="SLI1" s="53"/>
      <c r="SLJ1" s="53"/>
      <c r="SLK1" s="53"/>
      <c r="SLL1" s="53"/>
      <c r="SLM1" s="53"/>
      <c r="SLN1" s="53"/>
      <c r="SLO1" s="53"/>
      <c r="SLP1" s="53"/>
      <c r="SLQ1" s="53"/>
      <c r="SLR1" s="53"/>
      <c r="SLS1" s="53"/>
      <c r="SLT1" s="53"/>
      <c r="SLU1" s="53"/>
      <c r="SLV1" s="53"/>
      <c r="SLW1" s="53"/>
      <c r="SLX1" s="53"/>
      <c r="SLY1" s="53"/>
      <c r="SLZ1" s="53"/>
      <c r="SMA1" s="53"/>
      <c r="SMB1" s="53"/>
      <c r="SMC1" s="53"/>
      <c r="SMD1" s="53"/>
      <c r="SME1" s="53"/>
      <c r="SMF1" s="53"/>
      <c r="SMG1" s="53"/>
      <c r="SMH1" s="53"/>
      <c r="SMI1" s="53"/>
      <c r="SMJ1" s="53"/>
      <c r="SMK1" s="53"/>
      <c r="SML1" s="53"/>
      <c r="SMM1" s="53"/>
      <c r="SMN1" s="53"/>
      <c r="SMO1" s="53"/>
      <c r="SMP1" s="53"/>
      <c r="SMQ1" s="53"/>
      <c r="SMR1" s="53"/>
      <c r="SMS1" s="53"/>
      <c r="SMT1" s="53"/>
      <c r="SMU1" s="53"/>
      <c r="SMV1" s="53"/>
      <c r="SMW1" s="53"/>
      <c r="SMX1" s="53"/>
      <c r="SMY1" s="53"/>
      <c r="SMZ1" s="53"/>
      <c r="SNA1" s="53"/>
      <c r="SNB1" s="53"/>
      <c r="SNC1" s="53"/>
      <c r="SND1" s="53"/>
      <c r="SNE1" s="53"/>
      <c r="SNF1" s="53"/>
      <c r="SNG1" s="53"/>
      <c r="SNH1" s="53"/>
      <c r="SNI1" s="53"/>
      <c r="SNJ1" s="53"/>
      <c r="SNK1" s="53"/>
      <c r="SNL1" s="53"/>
      <c r="SNM1" s="53"/>
      <c r="SNN1" s="53"/>
      <c r="SNO1" s="53"/>
      <c r="SNP1" s="53"/>
      <c r="SNQ1" s="53"/>
      <c r="SNR1" s="53"/>
      <c r="SNS1" s="53"/>
      <c r="SNT1" s="53"/>
      <c r="SNU1" s="53"/>
      <c r="SNV1" s="53"/>
      <c r="SNW1" s="53"/>
      <c r="SNX1" s="53"/>
      <c r="SNY1" s="53"/>
      <c r="SNZ1" s="53"/>
      <c r="SOA1" s="53"/>
      <c r="SOB1" s="53"/>
      <c r="SOC1" s="53"/>
      <c r="SOD1" s="53"/>
      <c r="SOE1" s="53"/>
      <c r="SOF1" s="53"/>
      <c r="SOG1" s="53"/>
      <c r="SOH1" s="53"/>
      <c r="SOI1" s="53"/>
      <c r="SOJ1" s="53"/>
      <c r="SOK1" s="53"/>
      <c r="SOL1" s="53"/>
      <c r="SOM1" s="53"/>
      <c r="SON1" s="53"/>
      <c r="SOO1" s="53"/>
      <c r="SOP1" s="53"/>
      <c r="SOQ1" s="53"/>
      <c r="SOR1" s="53"/>
      <c r="SOS1" s="53"/>
      <c r="SOT1" s="53"/>
      <c r="SOU1" s="53"/>
      <c r="SOV1" s="53"/>
      <c r="SOW1" s="53"/>
      <c r="SOX1" s="53"/>
      <c r="SOY1" s="53"/>
      <c r="SOZ1" s="53"/>
      <c r="SPA1" s="53"/>
      <c r="SPB1" s="53"/>
      <c r="SPC1" s="53"/>
      <c r="SPD1" s="53"/>
      <c r="SPE1" s="53"/>
      <c r="SPF1" s="53"/>
      <c r="SPG1" s="53"/>
      <c r="SPH1" s="53"/>
      <c r="SPI1" s="53"/>
      <c r="SPJ1" s="53"/>
      <c r="SPK1" s="53"/>
      <c r="SPL1" s="53"/>
      <c r="SPM1" s="53"/>
      <c r="SPN1" s="53"/>
      <c r="SPO1" s="53"/>
      <c r="SPP1" s="53"/>
      <c r="SPQ1" s="53"/>
      <c r="SPR1" s="53"/>
      <c r="SPS1" s="53"/>
      <c r="SPT1" s="53"/>
      <c r="SPU1" s="53"/>
      <c r="SPV1" s="53"/>
      <c r="SPW1" s="53"/>
      <c r="SPX1" s="53"/>
      <c r="SPY1" s="53"/>
      <c r="SPZ1" s="53"/>
      <c r="SQA1" s="53"/>
      <c r="SQB1" s="53"/>
      <c r="SQC1" s="53"/>
      <c r="SQD1" s="53"/>
      <c r="SQE1" s="53"/>
      <c r="SQF1" s="53"/>
      <c r="SQG1" s="53"/>
      <c r="SQH1" s="53"/>
      <c r="SQI1" s="53"/>
      <c r="SQJ1" s="53"/>
      <c r="SQK1" s="53"/>
      <c r="SQL1" s="53"/>
      <c r="SQM1" s="53"/>
      <c r="SQN1" s="53"/>
      <c r="SQO1" s="53"/>
      <c r="SQP1" s="53"/>
      <c r="SQQ1" s="53"/>
      <c r="SQR1" s="53"/>
      <c r="SQS1" s="53"/>
      <c r="SQT1" s="53"/>
      <c r="SQU1" s="53"/>
      <c r="SQV1" s="53"/>
      <c r="SQW1" s="53"/>
      <c r="SQX1" s="53"/>
      <c r="SQY1" s="53"/>
      <c r="SQZ1" s="53"/>
      <c r="SRA1" s="53"/>
      <c r="SRB1" s="53"/>
      <c r="SRC1" s="53"/>
      <c r="SRD1" s="53"/>
      <c r="SRE1" s="53"/>
      <c r="SRF1" s="53"/>
      <c r="SRG1" s="53"/>
      <c r="SRH1" s="53"/>
      <c r="SRI1" s="53"/>
      <c r="SRJ1" s="53"/>
      <c r="SRK1" s="53"/>
      <c r="SRL1" s="53"/>
      <c r="SRM1" s="53"/>
      <c r="SRN1" s="53"/>
      <c r="SRO1" s="53"/>
      <c r="SRP1" s="53"/>
      <c r="SRQ1" s="53"/>
      <c r="SRR1" s="53"/>
      <c r="SRS1" s="53"/>
      <c r="SRT1" s="53"/>
      <c r="SRU1" s="53"/>
      <c r="SRV1" s="53"/>
      <c r="SRW1" s="53"/>
      <c r="SRX1" s="53"/>
      <c r="SRY1" s="53"/>
      <c r="SRZ1" s="53"/>
      <c r="SSA1" s="53"/>
      <c r="SSB1" s="53"/>
      <c r="SSC1" s="53"/>
      <c r="SSD1" s="53"/>
      <c r="SSE1" s="53"/>
      <c r="SSF1" s="53"/>
      <c r="SSG1" s="53"/>
      <c r="SSH1" s="53"/>
      <c r="SSI1" s="53"/>
      <c r="SSJ1" s="53"/>
      <c r="SSK1" s="53"/>
      <c r="SSL1" s="53"/>
      <c r="SSM1" s="53"/>
      <c r="SSN1" s="53"/>
      <c r="SSO1" s="53"/>
      <c r="SSP1" s="53"/>
      <c r="SSQ1" s="53"/>
      <c r="SSR1" s="53"/>
      <c r="SSS1" s="53"/>
      <c r="SST1" s="53"/>
      <c r="SSU1" s="53"/>
      <c r="SSV1" s="53"/>
      <c r="SSW1" s="53"/>
      <c r="SSX1" s="53"/>
      <c r="SSY1" s="53"/>
      <c r="SSZ1" s="53"/>
      <c r="STA1" s="53"/>
      <c r="STB1" s="53"/>
      <c r="STC1" s="53"/>
      <c r="STD1" s="53"/>
      <c r="STE1" s="53"/>
      <c r="STF1" s="53"/>
      <c r="STG1" s="53"/>
      <c r="STH1" s="53"/>
      <c r="STI1" s="53"/>
      <c r="STJ1" s="53"/>
      <c r="STK1" s="53"/>
      <c r="STL1" s="53"/>
      <c r="STM1" s="53"/>
      <c r="STN1" s="53"/>
      <c r="STO1" s="53"/>
      <c r="STP1" s="53"/>
      <c r="STQ1" s="53"/>
      <c r="STR1" s="53"/>
      <c r="STS1" s="53"/>
      <c r="STT1" s="53"/>
      <c r="STU1" s="53"/>
      <c r="STV1" s="53"/>
      <c r="STW1" s="53"/>
      <c r="STX1" s="53"/>
      <c r="STY1" s="53"/>
      <c r="STZ1" s="53"/>
      <c r="SUA1" s="53"/>
      <c r="SUB1" s="53"/>
      <c r="SUC1" s="53"/>
      <c r="SUD1" s="53"/>
      <c r="SUE1" s="53"/>
      <c r="SUF1" s="53"/>
      <c r="SUG1" s="53"/>
      <c r="SUH1" s="53"/>
      <c r="SUI1" s="53"/>
      <c r="SUJ1" s="53"/>
      <c r="SUK1" s="53"/>
      <c r="SUL1" s="53"/>
      <c r="SUM1" s="53"/>
      <c r="SUN1" s="53"/>
      <c r="SUO1" s="53"/>
      <c r="SUP1" s="53"/>
      <c r="SUQ1" s="53"/>
      <c r="SUR1" s="53"/>
      <c r="SUS1" s="53"/>
      <c r="SUT1" s="53"/>
      <c r="SUU1" s="53"/>
      <c r="SUV1" s="53"/>
      <c r="SUW1" s="53"/>
      <c r="SUX1" s="53"/>
      <c r="SUY1" s="53"/>
      <c r="SUZ1" s="53"/>
      <c r="SVA1" s="53"/>
      <c r="SVB1" s="53"/>
      <c r="SVC1" s="53"/>
      <c r="SVD1" s="53"/>
      <c r="SVE1" s="53"/>
      <c r="SVF1" s="53"/>
      <c r="SVG1" s="53"/>
      <c r="SVH1" s="53"/>
      <c r="SVI1" s="53"/>
      <c r="SVJ1" s="53"/>
      <c r="SVK1" s="53"/>
      <c r="SVL1" s="53"/>
      <c r="SVM1" s="53"/>
      <c r="SVN1" s="53"/>
      <c r="SVO1" s="53"/>
      <c r="SVP1" s="53"/>
      <c r="SVQ1" s="53"/>
      <c r="SVR1" s="53"/>
      <c r="SVS1" s="53"/>
      <c r="SVT1" s="53"/>
      <c r="SVU1" s="53"/>
      <c r="SVV1" s="53"/>
      <c r="SVW1" s="53"/>
      <c r="SVX1" s="53"/>
      <c r="SVY1" s="53"/>
      <c r="SVZ1" s="53"/>
      <c r="SWA1" s="53"/>
      <c r="SWB1" s="53"/>
      <c r="SWC1" s="53"/>
      <c r="SWD1" s="53"/>
      <c r="SWE1" s="53"/>
      <c r="SWF1" s="53"/>
      <c r="SWG1" s="53"/>
      <c r="SWH1" s="53"/>
      <c r="SWI1" s="53"/>
      <c r="SWJ1" s="53"/>
      <c r="SWK1" s="53"/>
      <c r="SWL1" s="53"/>
      <c r="SWM1" s="53"/>
      <c r="SWN1" s="53"/>
      <c r="SWO1" s="53"/>
      <c r="SWP1" s="53"/>
      <c r="SWQ1" s="53"/>
      <c r="SWR1" s="53"/>
      <c r="SWS1" s="53"/>
      <c r="SWT1" s="53"/>
      <c r="SWU1" s="53"/>
      <c r="SWV1" s="53"/>
      <c r="SWW1" s="53"/>
      <c r="SWX1" s="53"/>
      <c r="SWY1" s="53"/>
      <c r="SWZ1" s="53"/>
      <c r="SXA1" s="53"/>
      <c r="SXB1" s="53"/>
      <c r="SXC1" s="53"/>
      <c r="SXD1" s="53"/>
      <c r="SXE1" s="53"/>
      <c r="SXF1" s="53"/>
      <c r="SXG1" s="53"/>
      <c r="SXH1" s="53"/>
      <c r="SXI1" s="53"/>
      <c r="SXJ1" s="53"/>
      <c r="SXK1" s="53"/>
      <c r="SXL1" s="53"/>
      <c r="SXM1" s="53"/>
      <c r="SXN1" s="53"/>
      <c r="SXO1" s="53"/>
      <c r="SXP1" s="53"/>
      <c r="SXQ1" s="53"/>
      <c r="SXR1" s="53"/>
      <c r="SXS1" s="53"/>
      <c r="SXT1" s="53"/>
      <c r="SXU1" s="53"/>
      <c r="SXV1" s="53"/>
      <c r="SXW1" s="53"/>
      <c r="SXX1" s="53"/>
      <c r="SXY1" s="53"/>
      <c r="SXZ1" s="53"/>
      <c r="SYA1" s="53"/>
      <c r="SYB1" s="53"/>
      <c r="SYC1" s="53"/>
      <c r="SYD1" s="53"/>
      <c r="SYE1" s="53"/>
      <c r="SYF1" s="53"/>
      <c r="SYG1" s="53"/>
      <c r="SYH1" s="53"/>
      <c r="SYI1" s="53"/>
      <c r="SYJ1" s="53"/>
      <c r="SYK1" s="53"/>
      <c r="SYL1" s="53"/>
      <c r="SYM1" s="53"/>
      <c r="SYN1" s="53"/>
      <c r="SYO1" s="53"/>
      <c r="SYP1" s="53"/>
      <c r="SYQ1" s="53"/>
      <c r="SYR1" s="53"/>
      <c r="SYS1" s="53"/>
      <c r="SYT1" s="53"/>
      <c r="SYU1" s="53"/>
      <c r="SYV1" s="53"/>
      <c r="SYW1" s="53"/>
      <c r="SYX1" s="53"/>
      <c r="SYY1" s="53"/>
      <c r="SYZ1" s="53"/>
      <c r="SZA1" s="53"/>
      <c r="SZB1" s="53"/>
      <c r="SZC1" s="53"/>
      <c r="SZD1" s="53"/>
      <c r="SZE1" s="53"/>
      <c r="SZF1" s="53"/>
      <c r="SZG1" s="53"/>
      <c r="SZH1" s="53"/>
      <c r="SZI1" s="53"/>
      <c r="SZJ1" s="53"/>
      <c r="SZK1" s="53"/>
      <c r="SZL1" s="53"/>
      <c r="SZM1" s="53"/>
      <c r="SZN1" s="53"/>
      <c r="SZO1" s="53"/>
      <c r="SZP1" s="53"/>
      <c r="SZQ1" s="53"/>
      <c r="SZR1" s="53"/>
      <c r="SZS1" s="53"/>
      <c r="SZT1" s="53"/>
      <c r="SZU1" s="53"/>
      <c r="SZV1" s="53"/>
      <c r="SZW1" s="53"/>
      <c r="SZX1" s="53"/>
      <c r="SZY1" s="53"/>
      <c r="SZZ1" s="53"/>
      <c r="TAA1" s="53"/>
      <c r="TAB1" s="53"/>
      <c r="TAC1" s="53"/>
      <c r="TAD1" s="53"/>
      <c r="TAE1" s="53"/>
      <c r="TAF1" s="53"/>
      <c r="TAG1" s="53"/>
      <c r="TAH1" s="53"/>
      <c r="TAI1" s="53"/>
      <c r="TAJ1" s="53"/>
      <c r="TAK1" s="53"/>
      <c r="TAL1" s="53"/>
      <c r="TAM1" s="53"/>
      <c r="TAN1" s="53"/>
      <c r="TAO1" s="53"/>
      <c r="TAP1" s="53"/>
      <c r="TAQ1" s="53"/>
      <c r="TAR1" s="53"/>
      <c r="TAS1" s="53"/>
      <c r="TAT1" s="53"/>
      <c r="TAU1" s="53"/>
      <c r="TAV1" s="53"/>
      <c r="TAW1" s="53"/>
      <c r="TAX1" s="53"/>
      <c r="TAY1" s="53"/>
      <c r="TAZ1" s="53"/>
      <c r="TBA1" s="53"/>
      <c r="TBB1" s="53"/>
      <c r="TBC1" s="53"/>
      <c r="TBD1" s="53"/>
      <c r="TBE1" s="53"/>
      <c r="TBF1" s="53"/>
      <c r="TBG1" s="53"/>
      <c r="TBH1" s="53"/>
      <c r="TBI1" s="53"/>
      <c r="TBJ1" s="53"/>
      <c r="TBK1" s="53"/>
      <c r="TBL1" s="53"/>
      <c r="TBM1" s="53"/>
      <c r="TBN1" s="53"/>
      <c r="TBO1" s="53"/>
      <c r="TBP1" s="53"/>
      <c r="TBQ1" s="53"/>
      <c r="TBR1" s="53"/>
      <c r="TBS1" s="53"/>
      <c r="TBT1" s="53"/>
      <c r="TBU1" s="53"/>
      <c r="TBV1" s="53"/>
      <c r="TBW1" s="53"/>
      <c r="TBX1" s="53"/>
      <c r="TBY1" s="53"/>
      <c r="TBZ1" s="53"/>
      <c r="TCA1" s="53"/>
      <c r="TCB1" s="53"/>
      <c r="TCC1" s="53"/>
      <c r="TCD1" s="53"/>
      <c r="TCE1" s="53"/>
      <c r="TCF1" s="53"/>
      <c r="TCG1" s="53"/>
      <c r="TCH1" s="53"/>
      <c r="TCI1" s="53"/>
      <c r="TCJ1" s="53"/>
      <c r="TCK1" s="53"/>
      <c r="TCL1" s="53"/>
      <c r="TCM1" s="53"/>
      <c r="TCN1" s="53"/>
      <c r="TCO1" s="53"/>
      <c r="TCP1" s="53"/>
      <c r="TCQ1" s="53"/>
      <c r="TCR1" s="53"/>
      <c r="TCS1" s="53"/>
      <c r="TCT1" s="53"/>
      <c r="TCU1" s="53"/>
      <c r="TCV1" s="53"/>
      <c r="TCW1" s="53"/>
      <c r="TCX1" s="53"/>
      <c r="TCY1" s="53"/>
      <c r="TCZ1" s="53"/>
      <c r="TDA1" s="53"/>
      <c r="TDB1" s="53"/>
      <c r="TDC1" s="53"/>
      <c r="TDD1" s="53"/>
      <c r="TDE1" s="53"/>
      <c r="TDF1" s="53"/>
      <c r="TDG1" s="53"/>
      <c r="TDH1" s="53"/>
      <c r="TDI1" s="53"/>
      <c r="TDJ1" s="53"/>
      <c r="TDK1" s="53"/>
      <c r="TDL1" s="53"/>
      <c r="TDM1" s="53"/>
      <c r="TDN1" s="53"/>
      <c r="TDO1" s="53"/>
      <c r="TDP1" s="53"/>
      <c r="TDQ1" s="53"/>
      <c r="TDR1" s="53"/>
      <c r="TDS1" s="53"/>
      <c r="TDT1" s="53"/>
      <c r="TDU1" s="53"/>
      <c r="TDV1" s="53"/>
      <c r="TDW1" s="53"/>
      <c r="TDX1" s="53"/>
      <c r="TDY1" s="53"/>
      <c r="TDZ1" s="53"/>
      <c r="TEA1" s="53"/>
      <c r="TEB1" s="53"/>
      <c r="TEC1" s="53"/>
      <c r="TED1" s="53"/>
      <c r="TEE1" s="53"/>
      <c r="TEF1" s="53"/>
      <c r="TEG1" s="53"/>
      <c r="TEH1" s="53"/>
      <c r="TEI1" s="53"/>
      <c r="TEJ1" s="53"/>
      <c r="TEK1" s="53"/>
      <c r="TEL1" s="53"/>
      <c r="TEM1" s="53"/>
      <c r="TEN1" s="53"/>
      <c r="TEO1" s="53"/>
      <c r="TEP1" s="53"/>
      <c r="TEQ1" s="53"/>
      <c r="TER1" s="53"/>
      <c r="TES1" s="53"/>
      <c r="TET1" s="53"/>
      <c r="TEU1" s="53"/>
      <c r="TEV1" s="53"/>
      <c r="TEW1" s="53"/>
      <c r="TEX1" s="53"/>
      <c r="TEY1" s="53"/>
      <c r="TEZ1" s="53"/>
      <c r="TFA1" s="53"/>
      <c r="TFB1" s="53"/>
      <c r="TFC1" s="53"/>
      <c r="TFD1" s="53"/>
      <c r="TFE1" s="53"/>
      <c r="TFF1" s="53"/>
      <c r="TFG1" s="53"/>
      <c r="TFH1" s="53"/>
      <c r="TFI1" s="53"/>
      <c r="TFJ1" s="53"/>
      <c r="TFK1" s="53"/>
      <c r="TFL1" s="53"/>
      <c r="TFM1" s="53"/>
      <c r="TFN1" s="53"/>
      <c r="TFO1" s="53"/>
      <c r="TFP1" s="53"/>
      <c r="TFQ1" s="53"/>
      <c r="TFR1" s="53"/>
      <c r="TFS1" s="53"/>
      <c r="TFT1" s="53"/>
      <c r="TFU1" s="53"/>
      <c r="TFV1" s="53"/>
      <c r="TFW1" s="53"/>
      <c r="TFX1" s="53"/>
      <c r="TFY1" s="53"/>
      <c r="TFZ1" s="53"/>
      <c r="TGA1" s="53"/>
      <c r="TGB1" s="53"/>
      <c r="TGC1" s="53"/>
      <c r="TGD1" s="53"/>
      <c r="TGE1" s="53"/>
      <c r="TGF1" s="53"/>
      <c r="TGG1" s="53"/>
      <c r="TGH1" s="53"/>
      <c r="TGI1" s="53"/>
      <c r="TGJ1" s="53"/>
      <c r="TGK1" s="53"/>
      <c r="TGL1" s="53"/>
      <c r="TGM1" s="53"/>
      <c r="TGN1" s="53"/>
      <c r="TGO1" s="53"/>
      <c r="TGP1" s="53"/>
      <c r="TGQ1" s="53"/>
      <c r="TGR1" s="53"/>
      <c r="TGS1" s="53"/>
      <c r="TGT1" s="53"/>
      <c r="TGU1" s="53"/>
      <c r="TGV1" s="53"/>
      <c r="TGW1" s="53"/>
      <c r="TGX1" s="53"/>
      <c r="TGY1" s="53"/>
      <c r="TGZ1" s="53"/>
      <c r="THA1" s="53"/>
      <c r="THB1" s="53"/>
      <c r="THC1" s="53"/>
      <c r="THD1" s="53"/>
      <c r="THE1" s="53"/>
      <c r="THF1" s="53"/>
      <c r="THG1" s="53"/>
      <c r="THH1" s="53"/>
      <c r="THI1" s="53"/>
      <c r="THJ1" s="53"/>
      <c r="THK1" s="53"/>
      <c r="THL1" s="53"/>
      <c r="THM1" s="53"/>
      <c r="THN1" s="53"/>
      <c r="THO1" s="53"/>
      <c r="THP1" s="53"/>
      <c r="THQ1" s="53"/>
      <c r="THR1" s="53"/>
      <c r="THS1" s="53"/>
      <c r="THT1" s="53"/>
      <c r="THU1" s="53"/>
      <c r="THV1" s="53"/>
      <c r="THW1" s="53"/>
      <c r="THX1" s="53"/>
      <c r="THY1" s="53"/>
      <c r="THZ1" s="53"/>
      <c r="TIA1" s="53"/>
      <c r="TIB1" s="53"/>
      <c r="TIC1" s="53"/>
      <c r="TID1" s="53"/>
      <c r="TIE1" s="53"/>
      <c r="TIF1" s="53"/>
      <c r="TIG1" s="53"/>
      <c r="TIH1" s="53"/>
      <c r="TII1" s="53"/>
      <c r="TIJ1" s="53"/>
      <c r="TIK1" s="53"/>
      <c r="TIL1" s="53"/>
      <c r="TIM1" s="53"/>
      <c r="TIN1" s="53"/>
      <c r="TIO1" s="53"/>
      <c r="TIP1" s="53"/>
      <c r="TIQ1" s="53"/>
      <c r="TIR1" s="53"/>
      <c r="TIS1" s="53"/>
      <c r="TIT1" s="53"/>
      <c r="TIU1" s="53"/>
      <c r="TIV1" s="53"/>
      <c r="TIW1" s="53"/>
      <c r="TIX1" s="53"/>
      <c r="TIY1" s="53"/>
      <c r="TIZ1" s="53"/>
      <c r="TJA1" s="53"/>
      <c r="TJB1" s="53"/>
      <c r="TJC1" s="53"/>
      <c r="TJD1" s="53"/>
      <c r="TJE1" s="53"/>
      <c r="TJF1" s="53"/>
      <c r="TJG1" s="53"/>
      <c r="TJH1" s="53"/>
      <c r="TJI1" s="53"/>
      <c r="TJJ1" s="53"/>
      <c r="TJK1" s="53"/>
      <c r="TJL1" s="53"/>
      <c r="TJM1" s="53"/>
      <c r="TJN1" s="53"/>
      <c r="TJO1" s="53"/>
      <c r="TJP1" s="53"/>
      <c r="TJQ1" s="53"/>
      <c r="TJR1" s="53"/>
      <c r="TJS1" s="53"/>
      <c r="TJT1" s="53"/>
      <c r="TJU1" s="53"/>
      <c r="TJV1" s="53"/>
      <c r="TJW1" s="53"/>
      <c r="TJX1" s="53"/>
      <c r="TJY1" s="53"/>
      <c r="TJZ1" s="53"/>
      <c r="TKA1" s="53"/>
      <c r="TKB1" s="53"/>
      <c r="TKC1" s="53"/>
      <c r="TKD1" s="53"/>
      <c r="TKE1" s="53"/>
      <c r="TKF1" s="53"/>
      <c r="TKG1" s="53"/>
      <c r="TKH1" s="53"/>
      <c r="TKI1" s="53"/>
      <c r="TKJ1" s="53"/>
      <c r="TKK1" s="53"/>
      <c r="TKL1" s="53"/>
      <c r="TKM1" s="53"/>
      <c r="TKN1" s="53"/>
      <c r="TKO1" s="53"/>
      <c r="TKP1" s="53"/>
      <c r="TKQ1" s="53"/>
      <c r="TKR1" s="53"/>
      <c r="TKS1" s="53"/>
      <c r="TKT1" s="53"/>
      <c r="TKU1" s="53"/>
      <c r="TKV1" s="53"/>
      <c r="TKW1" s="53"/>
      <c r="TKX1" s="53"/>
      <c r="TKY1" s="53"/>
      <c r="TKZ1" s="53"/>
      <c r="TLA1" s="53"/>
      <c r="TLB1" s="53"/>
      <c r="TLC1" s="53"/>
      <c r="TLD1" s="53"/>
      <c r="TLE1" s="53"/>
      <c r="TLF1" s="53"/>
      <c r="TLG1" s="53"/>
      <c r="TLH1" s="53"/>
      <c r="TLI1" s="53"/>
      <c r="TLJ1" s="53"/>
      <c r="TLK1" s="53"/>
      <c r="TLL1" s="53"/>
      <c r="TLM1" s="53"/>
      <c r="TLN1" s="53"/>
      <c r="TLO1" s="53"/>
      <c r="TLP1" s="53"/>
      <c r="TLQ1" s="53"/>
      <c r="TLR1" s="53"/>
      <c r="TLS1" s="53"/>
      <c r="TLT1" s="53"/>
      <c r="TLU1" s="53"/>
      <c r="TLV1" s="53"/>
      <c r="TLW1" s="53"/>
      <c r="TLX1" s="53"/>
      <c r="TLY1" s="53"/>
      <c r="TLZ1" s="53"/>
      <c r="TMA1" s="53"/>
      <c r="TMB1" s="53"/>
      <c r="TMC1" s="53"/>
      <c r="TMD1" s="53"/>
      <c r="TME1" s="53"/>
      <c r="TMF1" s="53"/>
      <c r="TMG1" s="53"/>
      <c r="TMH1" s="53"/>
      <c r="TMI1" s="53"/>
      <c r="TMJ1" s="53"/>
      <c r="TMK1" s="53"/>
      <c r="TML1" s="53"/>
      <c r="TMM1" s="53"/>
      <c r="TMN1" s="53"/>
      <c r="TMO1" s="53"/>
      <c r="TMP1" s="53"/>
      <c r="TMQ1" s="53"/>
      <c r="TMR1" s="53"/>
      <c r="TMS1" s="53"/>
      <c r="TMT1" s="53"/>
      <c r="TMU1" s="53"/>
      <c r="TMV1" s="53"/>
      <c r="TMW1" s="53"/>
      <c r="TMX1" s="53"/>
      <c r="TMY1" s="53"/>
      <c r="TMZ1" s="53"/>
      <c r="TNA1" s="53"/>
      <c r="TNB1" s="53"/>
      <c r="TNC1" s="53"/>
      <c r="TND1" s="53"/>
      <c r="TNE1" s="53"/>
      <c r="TNF1" s="53"/>
      <c r="TNG1" s="53"/>
      <c r="TNH1" s="53"/>
      <c r="TNI1" s="53"/>
      <c r="TNJ1" s="53"/>
      <c r="TNK1" s="53"/>
      <c r="TNL1" s="53"/>
      <c r="TNM1" s="53"/>
      <c r="TNN1" s="53"/>
      <c r="TNO1" s="53"/>
      <c r="TNP1" s="53"/>
      <c r="TNQ1" s="53"/>
      <c r="TNR1" s="53"/>
      <c r="TNS1" s="53"/>
      <c r="TNT1" s="53"/>
      <c r="TNU1" s="53"/>
      <c r="TNV1" s="53"/>
      <c r="TNW1" s="53"/>
      <c r="TNX1" s="53"/>
      <c r="TNY1" s="53"/>
      <c r="TNZ1" s="53"/>
      <c r="TOA1" s="53"/>
      <c r="TOB1" s="53"/>
      <c r="TOC1" s="53"/>
      <c r="TOD1" s="53"/>
      <c r="TOE1" s="53"/>
      <c r="TOF1" s="53"/>
      <c r="TOG1" s="53"/>
      <c r="TOH1" s="53"/>
      <c r="TOI1" s="53"/>
      <c r="TOJ1" s="53"/>
      <c r="TOK1" s="53"/>
      <c r="TOL1" s="53"/>
      <c r="TOM1" s="53"/>
      <c r="TON1" s="53"/>
      <c r="TOO1" s="53"/>
      <c r="TOP1" s="53"/>
      <c r="TOQ1" s="53"/>
      <c r="TOR1" s="53"/>
      <c r="TOS1" s="53"/>
      <c r="TOT1" s="53"/>
      <c r="TOU1" s="53"/>
      <c r="TOV1" s="53"/>
      <c r="TOW1" s="53"/>
      <c r="TOX1" s="53"/>
      <c r="TOY1" s="53"/>
      <c r="TOZ1" s="53"/>
      <c r="TPA1" s="53"/>
      <c r="TPB1" s="53"/>
      <c r="TPC1" s="53"/>
      <c r="TPD1" s="53"/>
      <c r="TPE1" s="53"/>
      <c r="TPF1" s="53"/>
      <c r="TPG1" s="53"/>
      <c r="TPH1" s="53"/>
      <c r="TPI1" s="53"/>
      <c r="TPJ1" s="53"/>
      <c r="TPK1" s="53"/>
      <c r="TPL1" s="53"/>
      <c r="TPM1" s="53"/>
      <c r="TPN1" s="53"/>
      <c r="TPO1" s="53"/>
      <c r="TPP1" s="53"/>
      <c r="TPQ1" s="53"/>
      <c r="TPR1" s="53"/>
      <c r="TPS1" s="53"/>
      <c r="TPT1" s="53"/>
      <c r="TPU1" s="53"/>
      <c r="TPV1" s="53"/>
      <c r="TPW1" s="53"/>
      <c r="TPX1" s="53"/>
      <c r="TPY1" s="53"/>
      <c r="TPZ1" s="53"/>
      <c r="TQA1" s="53"/>
      <c r="TQB1" s="53"/>
      <c r="TQC1" s="53"/>
      <c r="TQD1" s="53"/>
      <c r="TQE1" s="53"/>
      <c r="TQF1" s="53"/>
      <c r="TQG1" s="53"/>
      <c r="TQH1" s="53"/>
      <c r="TQI1" s="53"/>
      <c r="TQJ1" s="53"/>
      <c r="TQK1" s="53"/>
      <c r="TQL1" s="53"/>
      <c r="TQM1" s="53"/>
      <c r="TQN1" s="53"/>
      <c r="TQO1" s="53"/>
      <c r="TQP1" s="53"/>
      <c r="TQQ1" s="53"/>
      <c r="TQR1" s="53"/>
      <c r="TQS1" s="53"/>
      <c r="TQT1" s="53"/>
      <c r="TQU1" s="53"/>
      <c r="TQV1" s="53"/>
      <c r="TQW1" s="53"/>
      <c r="TQX1" s="53"/>
      <c r="TQY1" s="53"/>
      <c r="TQZ1" s="53"/>
      <c r="TRA1" s="53"/>
      <c r="TRB1" s="53"/>
      <c r="TRC1" s="53"/>
      <c r="TRD1" s="53"/>
      <c r="TRE1" s="53"/>
      <c r="TRF1" s="53"/>
      <c r="TRG1" s="53"/>
      <c r="TRH1" s="53"/>
      <c r="TRI1" s="53"/>
      <c r="TRJ1" s="53"/>
      <c r="TRK1" s="53"/>
      <c r="TRL1" s="53"/>
      <c r="TRM1" s="53"/>
      <c r="TRN1" s="53"/>
      <c r="TRO1" s="53"/>
      <c r="TRP1" s="53"/>
      <c r="TRQ1" s="53"/>
      <c r="TRR1" s="53"/>
      <c r="TRS1" s="53"/>
      <c r="TRT1" s="53"/>
      <c r="TRU1" s="53"/>
      <c r="TRV1" s="53"/>
      <c r="TRW1" s="53"/>
      <c r="TRX1" s="53"/>
      <c r="TRY1" s="53"/>
      <c r="TRZ1" s="53"/>
      <c r="TSA1" s="53"/>
      <c r="TSB1" s="53"/>
      <c r="TSC1" s="53"/>
      <c r="TSD1" s="53"/>
      <c r="TSE1" s="53"/>
      <c r="TSF1" s="53"/>
      <c r="TSG1" s="53"/>
      <c r="TSH1" s="53"/>
      <c r="TSI1" s="53"/>
      <c r="TSJ1" s="53"/>
      <c r="TSK1" s="53"/>
      <c r="TSL1" s="53"/>
      <c r="TSM1" s="53"/>
      <c r="TSN1" s="53"/>
      <c r="TSO1" s="53"/>
      <c r="TSP1" s="53"/>
      <c r="TSQ1" s="53"/>
      <c r="TSR1" s="53"/>
      <c r="TSS1" s="53"/>
      <c r="TST1" s="53"/>
      <c r="TSU1" s="53"/>
      <c r="TSV1" s="53"/>
      <c r="TSW1" s="53"/>
      <c r="TSX1" s="53"/>
      <c r="TSY1" s="53"/>
      <c r="TSZ1" s="53"/>
      <c r="TTA1" s="53"/>
      <c r="TTB1" s="53"/>
      <c r="TTC1" s="53"/>
      <c r="TTD1" s="53"/>
      <c r="TTE1" s="53"/>
      <c r="TTF1" s="53"/>
      <c r="TTG1" s="53"/>
      <c r="TTH1" s="53"/>
      <c r="TTI1" s="53"/>
      <c r="TTJ1" s="53"/>
      <c r="TTK1" s="53"/>
      <c r="TTL1" s="53"/>
      <c r="TTM1" s="53"/>
      <c r="TTN1" s="53"/>
      <c r="TTO1" s="53"/>
      <c r="TTP1" s="53"/>
      <c r="TTQ1" s="53"/>
      <c r="TTR1" s="53"/>
      <c r="TTS1" s="53"/>
      <c r="TTT1" s="53"/>
      <c r="TTU1" s="53"/>
      <c r="TTV1" s="53"/>
      <c r="TTW1" s="53"/>
      <c r="TTX1" s="53"/>
      <c r="TTY1" s="53"/>
      <c r="TTZ1" s="53"/>
      <c r="TUA1" s="53"/>
      <c r="TUB1" s="53"/>
      <c r="TUC1" s="53"/>
      <c r="TUD1" s="53"/>
      <c r="TUE1" s="53"/>
      <c r="TUF1" s="53"/>
      <c r="TUG1" s="53"/>
      <c r="TUH1" s="53"/>
      <c r="TUI1" s="53"/>
      <c r="TUJ1" s="53"/>
      <c r="TUK1" s="53"/>
      <c r="TUL1" s="53"/>
      <c r="TUM1" s="53"/>
      <c r="TUN1" s="53"/>
      <c r="TUO1" s="53"/>
      <c r="TUP1" s="53"/>
      <c r="TUQ1" s="53"/>
      <c r="TUR1" s="53"/>
      <c r="TUS1" s="53"/>
      <c r="TUT1" s="53"/>
      <c r="TUU1" s="53"/>
      <c r="TUV1" s="53"/>
      <c r="TUW1" s="53"/>
      <c r="TUX1" s="53"/>
      <c r="TUY1" s="53"/>
      <c r="TUZ1" s="53"/>
      <c r="TVA1" s="53"/>
      <c r="TVB1" s="53"/>
      <c r="TVC1" s="53"/>
      <c r="TVD1" s="53"/>
      <c r="TVE1" s="53"/>
      <c r="TVF1" s="53"/>
      <c r="TVG1" s="53"/>
      <c r="TVH1" s="53"/>
      <c r="TVI1" s="53"/>
      <c r="TVJ1" s="53"/>
      <c r="TVK1" s="53"/>
      <c r="TVL1" s="53"/>
      <c r="TVM1" s="53"/>
      <c r="TVN1" s="53"/>
      <c r="TVO1" s="53"/>
      <c r="TVP1" s="53"/>
      <c r="TVQ1" s="53"/>
      <c r="TVR1" s="53"/>
      <c r="TVS1" s="53"/>
      <c r="TVT1" s="53"/>
      <c r="TVU1" s="53"/>
      <c r="TVV1" s="53"/>
      <c r="TVW1" s="53"/>
      <c r="TVX1" s="53"/>
      <c r="TVY1" s="53"/>
      <c r="TVZ1" s="53"/>
      <c r="TWA1" s="53"/>
      <c r="TWB1" s="53"/>
      <c r="TWC1" s="53"/>
      <c r="TWD1" s="53"/>
      <c r="TWE1" s="53"/>
      <c r="TWF1" s="53"/>
      <c r="TWG1" s="53"/>
      <c r="TWH1" s="53"/>
      <c r="TWI1" s="53"/>
      <c r="TWJ1" s="53"/>
      <c r="TWK1" s="53"/>
      <c r="TWL1" s="53"/>
      <c r="TWM1" s="53"/>
      <c r="TWN1" s="53"/>
      <c r="TWO1" s="53"/>
      <c r="TWP1" s="53"/>
      <c r="TWQ1" s="53"/>
      <c r="TWR1" s="53"/>
      <c r="TWS1" s="53"/>
      <c r="TWT1" s="53"/>
      <c r="TWU1" s="53"/>
      <c r="TWV1" s="53"/>
      <c r="TWW1" s="53"/>
      <c r="TWX1" s="53"/>
      <c r="TWY1" s="53"/>
      <c r="TWZ1" s="53"/>
      <c r="TXA1" s="53"/>
      <c r="TXB1" s="53"/>
      <c r="TXC1" s="53"/>
      <c r="TXD1" s="53"/>
      <c r="TXE1" s="53"/>
      <c r="TXF1" s="53"/>
      <c r="TXG1" s="53"/>
      <c r="TXH1" s="53"/>
      <c r="TXI1" s="53"/>
      <c r="TXJ1" s="53"/>
      <c r="TXK1" s="53"/>
      <c r="TXL1" s="53"/>
      <c r="TXM1" s="53"/>
      <c r="TXN1" s="53"/>
      <c r="TXO1" s="53"/>
      <c r="TXP1" s="53"/>
      <c r="TXQ1" s="53"/>
      <c r="TXR1" s="53"/>
      <c r="TXS1" s="53"/>
      <c r="TXT1" s="53"/>
      <c r="TXU1" s="53"/>
      <c r="TXV1" s="53"/>
      <c r="TXW1" s="53"/>
      <c r="TXX1" s="53"/>
      <c r="TXY1" s="53"/>
      <c r="TXZ1" s="53"/>
      <c r="TYA1" s="53"/>
      <c r="TYB1" s="53"/>
      <c r="TYC1" s="53"/>
      <c r="TYD1" s="53"/>
      <c r="TYE1" s="53"/>
      <c r="TYF1" s="53"/>
      <c r="TYG1" s="53"/>
      <c r="TYH1" s="53"/>
      <c r="TYI1" s="53"/>
      <c r="TYJ1" s="53"/>
      <c r="TYK1" s="53"/>
      <c r="TYL1" s="53"/>
      <c r="TYM1" s="53"/>
      <c r="TYN1" s="53"/>
      <c r="TYO1" s="53"/>
      <c r="TYP1" s="53"/>
      <c r="TYQ1" s="53"/>
      <c r="TYR1" s="53"/>
      <c r="TYS1" s="53"/>
      <c r="TYT1" s="53"/>
      <c r="TYU1" s="53"/>
      <c r="TYV1" s="53"/>
      <c r="TYW1" s="53"/>
      <c r="TYX1" s="53"/>
      <c r="TYY1" s="53"/>
      <c r="TYZ1" s="53"/>
      <c r="TZA1" s="53"/>
      <c r="TZB1" s="53"/>
      <c r="TZC1" s="53"/>
      <c r="TZD1" s="53"/>
      <c r="TZE1" s="53"/>
      <c r="TZF1" s="53"/>
      <c r="TZG1" s="53"/>
      <c r="TZH1" s="53"/>
      <c r="TZI1" s="53"/>
      <c r="TZJ1" s="53"/>
      <c r="TZK1" s="53"/>
      <c r="TZL1" s="53"/>
      <c r="TZM1" s="53"/>
      <c r="TZN1" s="53"/>
      <c r="TZO1" s="53"/>
      <c r="TZP1" s="53"/>
      <c r="TZQ1" s="53"/>
      <c r="TZR1" s="53"/>
      <c r="TZS1" s="53"/>
      <c r="TZT1" s="53"/>
      <c r="TZU1" s="53"/>
      <c r="TZV1" s="53"/>
      <c r="TZW1" s="53"/>
      <c r="TZX1" s="53"/>
      <c r="TZY1" s="53"/>
      <c r="TZZ1" s="53"/>
      <c r="UAA1" s="53"/>
      <c r="UAB1" s="53"/>
      <c r="UAC1" s="53"/>
      <c r="UAD1" s="53"/>
      <c r="UAE1" s="53"/>
      <c r="UAF1" s="53"/>
      <c r="UAG1" s="53"/>
      <c r="UAH1" s="53"/>
      <c r="UAI1" s="53"/>
      <c r="UAJ1" s="53"/>
      <c r="UAK1" s="53"/>
      <c r="UAL1" s="53"/>
      <c r="UAM1" s="53"/>
      <c r="UAN1" s="53"/>
      <c r="UAO1" s="53"/>
      <c r="UAP1" s="53"/>
      <c r="UAQ1" s="53"/>
      <c r="UAR1" s="53"/>
      <c r="UAS1" s="53"/>
      <c r="UAT1" s="53"/>
      <c r="UAU1" s="53"/>
      <c r="UAV1" s="53"/>
      <c r="UAW1" s="53"/>
      <c r="UAX1" s="53"/>
      <c r="UAY1" s="53"/>
      <c r="UAZ1" s="53"/>
      <c r="UBA1" s="53"/>
      <c r="UBB1" s="53"/>
      <c r="UBC1" s="53"/>
      <c r="UBD1" s="53"/>
      <c r="UBE1" s="53"/>
      <c r="UBF1" s="53"/>
      <c r="UBG1" s="53"/>
      <c r="UBH1" s="53"/>
      <c r="UBI1" s="53"/>
      <c r="UBJ1" s="53"/>
      <c r="UBK1" s="53"/>
      <c r="UBL1" s="53"/>
      <c r="UBM1" s="53"/>
      <c r="UBN1" s="53"/>
      <c r="UBO1" s="53"/>
      <c r="UBP1" s="53"/>
      <c r="UBQ1" s="53"/>
      <c r="UBR1" s="53"/>
      <c r="UBS1" s="53"/>
      <c r="UBT1" s="53"/>
      <c r="UBU1" s="53"/>
      <c r="UBV1" s="53"/>
      <c r="UBW1" s="53"/>
      <c r="UBX1" s="53"/>
      <c r="UBY1" s="53"/>
      <c r="UBZ1" s="53"/>
      <c r="UCA1" s="53"/>
      <c r="UCB1" s="53"/>
      <c r="UCC1" s="53"/>
      <c r="UCD1" s="53"/>
      <c r="UCE1" s="53"/>
      <c r="UCF1" s="53"/>
      <c r="UCG1" s="53"/>
      <c r="UCH1" s="53"/>
      <c r="UCI1" s="53"/>
      <c r="UCJ1" s="53"/>
      <c r="UCK1" s="53"/>
      <c r="UCL1" s="53"/>
      <c r="UCM1" s="53"/>
      <c r="UCN1" s="53"/>
      <c r="UCO1" s="53"/>
      <c r="UCP1" s="53"/>
      <c r="UCQ1" s="53"/>
      <c r="UCR1" s="53"/>
      <c r="UCS1" s="53"/>
      <c r="UCT1" s="53"/>
      <c r="UCU1" s="53"/>
      <c r="UCV1" s="53"/>
      <c r="UCW1" s="53"/>
      <c r="UCX1" s="53"/>
      <c r="UCY1" s="53"/>
      <c r="UCZ1" s="53"/>
      <c r="UDA1" s="53"/>
      <c r="UDB1" s="53"/>
      <c r="UDC1" s="53"/>
      <c r="UDD1" s="53"/>
      <c r="UDE1" s="53"/>
      <c r="UDF1" s="53"/>
      <c r="UDG1" s="53"/>
      <c r="UDH1" s="53"/>
      <c r="UDI1" s="53"/>
      <c r="UDJ1" s="53"/>
      <c r="UDK1" s="53"/>
      <c r="UDL1" s="53"/>
      <c r="UDM1" s="53"/>
      <c r="UDN1" s="53"/>
      <c r="UDO1" s="53"/>
      <c r="UDP1" s="53"/>
      <c r="UDQ1" s="53"/>
      <c r="UDR1" s="53"/>
      <c r="UDS1" s="53"/>
      <c r="UDT1" s="53"/>
      <c r="UDU1" s="53"/>
      <c r="UDV1" s="53"/>
      <c r="UDW1" s="53"/>
      <c r="UDX1" s="53"/>
      <c r="UDY1" s="53"/>
      <c r="UDZ1" s="53"/>
      <c r="UEA1" s="53"/>
      <c r="UEB1" s="53"/>
      <c r="UEC1" s="53"/>
      <c r="UED1" s="53"/>
      <c r="UEE1" s="53"/>
      <c r="UEF1" s="53"/>
      <c r="UEG1" s="53"/>
      <c r="UEH1" s="53"/>
      <c r="UEI1" s="53"/>
      <c r="UEJ1" s="53"/>
      <c r="UEK1" s="53"/>
      <c r="UEL1" s="53"/>
      <c r="UEM1" s="53"/>
      <c r="UEN1" s="53"/>
      <c r="UEO1" s="53"/>
      <c r="UEP1" s="53"/>
      <c r="UEQ1" s="53"/>
      <c r="UER1" s="53"/>
      <c r="UES1" s="53"/>
      <c r="UET1" s="53"/>
      <c r="UEU1" s="53"/>
      <c r="UEV1" s="53"/>
      <c r="UEW1" s="53"/>
      <c r="UEX1" s="53"/>
      <c r="UEY1" s="53"/>
      <c r="UEZ1" s="53"/>
      <c r="UFA1" s="53"/>
      <c r="UFB1" s="53"/>
      <c r="UFC1" s="53"/>
      <c r="UFD1" s="53"/>
      <c r="UFE1" s="53"/>
      <c r="UFF1" s="53"/>
      <c r="UFG1" s="53"/>
      <c r="UFH1" s="53"/>
      <c r="UFI1" s="53"/>
      <c r="UFJ1" s="53"/>
      <c r="UFK1" s="53"/>
      <c r="UFL1" s="53"/>
      <c r="UFM1" s="53"/>
      <c r="UFN1" s="53"/>
      <c r="UFO1" s="53"/>
      <c r="UFP1" s="53"/>
      <c r="UFQ1" s="53"/>
      <c r="UFR1" s="53"/>
      <c r="UFS1" s="53"/>
      <c r="UFT1" s="53"/>
      <c r="UFU1" s="53"/>
      <c r="UFV1" s="53"/>
      <c r="UFW1" s="53"/>
      <c r="UFX1" s="53"/>
      <c r="UFY1" s="53"/>
      <c r="UFZ1" s="53"/>
      <c r="UGA1" s="53"/>
      <c r="UGB1" s="53"/>
      <c r="UGC1" s="53"/>
      <c r="UGD1" s="53"/>
      <c r="UGE1" s="53"/>
      <c r="UGF1" s="53"/>
      <c r="UGG1" s="53"/>
      <c r="UGH1" s="53"/>
      <c r="UGI1" s="53"/>
      <c r="UGJ1" s="53"/>
      <c r="UGK1" s="53"/>
      <c r="UGL1" s="53"/>
      <c r="UGM1" s="53"/>
      <c r="UGN1" s="53"/>
      <c r="UGO1" s="53"/>
      <c r="UGP1" s="53"/>
      <c r="UGQ1" s="53"/>
      <c r="UGR1" s="53"/>
      <c r="UGS1" s="53"/>
      <c r="UGT1" s="53"/>
      <c r="UGU1" s="53"/>
      <c r="UGV1" s="53"/>
      <c r="UGW1" s="53"/>
      <c r="UGX1" s="53"/>
      <c r="UGY1" s="53"/>
      <c r="UGZ1" s="53"/>
      <c r="UHA1" s="53"/>
      <c r="UHB1" s="53"/>
      <c r="UHC1" s="53"/>
      <c r="UHD1" s="53"/>
      <c r="UHE1" s="53"/>
      <c r="UHF1" s="53"/>
      <c r="UHG1" s="53"/>
      <c r="UHH1" s="53"/>
      <c r="UHI1" s="53"/>
      <c r="UHJ1" s="53"/>
      <c r="UHK1" s="53"/>
      <c r="UHL1" s="53"/>
      <c r="UHM1" s="53"/>
      <c r="UHN1" s="53"/>
      <c r="UHO1" s="53"/>
      <c r="UHP1" s="53"/>
      <c r="UHQ1" s="53"/>
      <c r="UHR1" s="53"/>
      <c r="UHS1" s="53"/>
      <c r="UHT1" s="53"/>
      <c r="UHU1" s="53"/>
      <c r="UHV1" s="53"/>
      <c r="UHW1" s="53"/>
      <c r="UHX1" s="53"/>
      <c r="UHY1" s="53"/>
      <c r="UHZ1" s="53"/>
      <c r="UIA1" s="53"/>
      <c r="UIB1" s="53"/>
      <c r="UIC1" s="53"/>
      <c r="UID1" s="53"/>
      <c r="UIE1" s="53"/>
      <c r="UIF1" s="53"/>
      <c r="UIG1" s="53"/>
      <c r="UIH1" s="53"/>
      <c r="UII1" s="53"/>
      <c r="UIJ1" s="53"/>
      <c r="UIK1" s="53"/>
      <c r="UIL1" s="53"/>
      <c r="UIM1" s="53"/>
      <c r="UIN1" s="53"/>
      <c r="UIO1" s="53"/>
      <c r="UIP1" s="53"/>
      <c r="UIQ1" s="53"/>
      <c r="UIR1" s="53"/>
      <c r="UIS1" s="53"/>
      <c r="UIT1" s="53"/>
      <c r="UIU1" s="53"/>
      <c r="UIV1" s="53"/>
      <c r="UIW1" s="53"/>
      <c r="UIX1" s="53"/>
      <c r="UIY1" s="53"/>
      <c r="UIZ1" s="53"/>
      <c r="UJA1" s="53"/>
      <c r="UJB1" s="53"/>
      <c r="UJC1" s="53"/>
      <c r="UJD1" s="53"/>
      <c r="UJE1" s="53"/>
      <c r="UJF1" s="53"/>
      <c r="UJG1" s="53"/>
      <c r="UJH1" s="53"/>
      <c r="UJI1" s="53"/>
      <c r="UJJ1" s="53"/>
      <c r="UJK1" s="53"/>
      <c r="UJL1" s="53"/>
      <c r="UJM1" s="53"/>
      <c r="UJN1" s="53"/>
      <c r="UJO1" s="53"/>
      <c r="UJP1" s="53"/>
      <c r="UJQ1" s="53"/>
      <c r="UJR1" s="53"/>
      <c r="UJS1" s="53"/>
      <c r="UJT1" s="53"/>
      <c r="UJU1" s="53"/>
      <c r="UJV1" s="53"/>
      <c r="UJW1" s="53"/>
      <c r="UJX1" s="53"/>
      <c r="UJY1" s="53"/>
      <c r="UJZ1" s="53"/>
      <c r="UKA1" s="53"/>
      <c r="UKB1" s="53"/>
      <c r="UKC1" s="53"/>
      <c r="UKD1" s="53"/>
      <c r="UKE1" s="53"/>
      <c r="UKF1" s="53"/>
      <c r="UKG1" s="53"/>
      <c r="UKH1" s="53"/>
      <c r="UKI1" s="53"/>
      <c r="UKJ1" s="53"/>
      <c r="UKK1" s="53"/>
      <c r="UKL1" s="53"/>
      <c r="UKM1" s="53"/>
      <c r="UKN1" s="53"/>
      <c r="UKO1" s="53"/>
      <c r="UKP1" s="53"/>
      <c r="UKQ1" s="53"/>
      <c r="UKR1" s="53"/>
      <c r="UKS1" s="53"/>
      <c r="UKT1" s="53"/>
      <c r="UKU1" s="53"/>
      <c r="UKV1" s="53"/>
      <c r="UKW1" s="53"/>
      <c r="UKX1" s="53"/>
      <c r="UKY1" s="53"/>
      <c r="UKZ1" s="53"/>
      <c r="ULA1" s="53"/>
      <c r="ULB1" s="53"/>
      <c r="ULC1" s="53"/>
      <c r="ULD1" s="53"/>
      <c r="ULE1" s="53"/>
      <c r="ULF1" s="53"/>
      <c r="ULG1" s="53"/>
      <c r="ULH1" s="53"/>
      <c r="ULI1" s="53"/>
      <c r="ULJ1" s="53"/>
      <c r="ULK1" s="53"/>
      <c r="ULL1" s="53"/>
      <c r="ULM1" s="53"/>
      <c r="ULN1" s="53"/>
      <c r="ULO1" s="53"/>
      <c r="ULP1" s="53"/>
      <c r="ULQ1" s="53"/>
      <c r="ULR1" s="53"/>
      <c r="ULS1" s="53"/>
      <c r="ULT1" s="53"/>
      <c r="ULU1" s="53"/>
      <c r="ULV1" s="53"/>
      <c r="ULW1" s="53"/>
      <c r="ULX1" s="53"/>
      <c r="ULY1" s="53"/>
      <c r="ULZ1" s="53"/>
      <c r="UMA1" s="53"/>
      <c r="UMB1" s="53"/>
      <c r="UMC1" s="53"/>
      <c r="UMD1" s="53"/>
      <c r="UME1" s="53"/>
      <c r="UMF1" s="53"/>
      <c r="UMG1" s="53"/>
      <c r="UMH1" s="53"/>
      <c r="UMI1" s="53"/>
      <c r="UMJ1" s="53"/>
      <c r="UMK1" s="53"/>
      <c r="UML1" s="53"/>
      <c r="UMM1" s="53"/>
      <c r="UMN1" s="53"/>
      <c r="UMO1" s="53"/>
      <c r="UMP1" s="53"/>
      <c r="UMQ1" s="53"/>
      <c r="UMR1" s="53"/>
      <c r="UMS1" s="53"/>
      <c r="UMT1" s="53"/>
      <c r="UMU1" s="53"/>
      <c r="UMV1" s="53"/>
      <c r="UMW1" s="53"/>
      <c r="UMX1" s="53"/>
      <c r="UMY1" s="53"/>
      <c r="UMZ1" s="53"/>
      <c r="UNA1" s="53"/>
      <c r="UNB1" s="53"/>
      <c r="UNC1" s="53"/>
      <c r="UND1" s="53"/>
      <c r="UNE1" s="53"/>
      <c r="UNF1" s="53"/>
      <c r="UNG1" s="53"/>
      <c r="UNH1" s="53"/>
      <c r="UNI1" s="53"/>
      <c r="UNJ1" s="53"/>
      <c r="UNK1" s="53"/>
      <c r="UNL1" s="53"/>
      <c r="UNM1" s="53"/>
      <c r="UNN1" s="53"/>
      <c r="UNO1" s="53"/>
      <c r="UNP1" s="53"/>
      <c r="UNQ1" s="53"/>
      <c r="UNR1" s="53"/>
      <c r="UNS1" s="53"/>
      <c r="UNT1" s="53"/>
      <c r="UNU1" s="53"/>
      <c r="UNV1" s="53"/>
      <c r="UNW1" s="53"/>
      <c r="UNX1" s="53"/>
      <c r="UNY1" s="53"/>
      <c r="UNZ1" s="53"/>
      <c r="UOA1" s="53"/>
      <c r="UOB1" s="53"/>
      <c r="UOC1" s="53"/>
      <c r="UOD1" s="53"/>
      <c r="UOE1" s="53"/>
      <c r="UOF1" s="53"/>
      <c r="UOG1" s="53"/>
      <c r="UOH1" s="53"/>
      <c r="UOI1" s="53"/>
      <c r="UOJ1" s="53"/>
      <c r="UOK1" s="53"/>
      <c r="UOL1" s="53"/>
      <c r="UOM1" s="53"/>
      <c r="UON1" s="53"/>
      <c r="UOO1" s="53"/>
      <c r="UOP1" s="53"/>
      <c r="UOQ1" s="53"/>
      <c r="UOR1" s="53"/>
      <c r="UOS1" s="53"/>
      <c r="UOT1" s="53"/>
      <c r="UOU1" s="53"/>
      <c r="UOV1" s="53"/>
      <c r="UOW1" s="53"/>
      <c r="UOX1" s="53"/>
      <c r="UOY1" s="53"/>
      <c r="UOZ1" s="53"/>
      <c r="UPA1" s="53"/>
      <c r="UPB1" s="53"/>
      <c r="UPC1" s="53"/>
      <c r="UPD1" s="53"/>
      <c r="UPE1" s="53"/>
      <c r="UPF1" s="53"/>
      <c r="UPG1" s="53"/>
      <c r="UPH1" s="53"/>
      <c r="UPI1" s="53"/>
      <c r="UPJ1" s="53"/>
      <c r="UPK1" s="53"/>
      <c r="UPL1" s="53"/>
      <c r="UPM1" s="53"/>
      <c r="UPN1" s="53"/>
      <c r="UPO1" s="53"/>
      <c r="UPP1" s="53"/>
      <c r="UPQ1" s="53"/>
      <c r="UPR1" s="53"/>
      <c r="UPS1" s="53"/>
      <c r="UPT1" s="53"/>
      <c r="UPU1" s="53"/>
      <c r="UPV1" s="53"/>
      <c r="UPW1" s="53"/>
      <c r="UPX1" s="53"/>
      <c r="UPY1" s="53"/>
      <c r="UPZ1" s="53"/>
      <c r="UQA1" s="53"/>
      <c r="UQB1" s="53"/>
      <c r="UQC1" s="53"/>
      <c r="UQD1" s="53"/>
      <c r="UQE1" s="53"/>
      <c r="UQF1" s="53"/>
      <c r="UQG1" s="53"/>
      <c r="UQH1" s="53"/>
      <c r="UQI1" s="53"/>
      <c r="UQJ1" s="53"/>
      <c r="UQK1" s="53"/>
      <c r="UQL1" s="53"/>
      <c r="UQM1" s="53"/>
      <c r="UQN1" s="53"/>
      <c r="UQO1" s="53"/>
      <c r="UQP1" s="53"/>
      <c r="UQQ1" s="53"/>
      <c r="UQR1" s="53"/>
      <c r="UQS1" s="53"/>
      <c r="UQT1" s="53"/>
      <c r="UQU1" s="53"/>
      <c r="UQV1" s="53"/>
      <c r="UQW1" s="53"/>
      <c r="UQX1" s="53"/>
      <c r="UQY1" s="53"/>
      <c r="UQZ1" s="53"/>
      <c r="URA1" s="53"/>
      <c r="URB1" s="53"/>
      <c r="URC1" s="53"/>
      <c r="URD1" s="53"/>
      <c r="URE1" s="53"/>
      <c r="URF1" s="53"/>
      <c r="URG1" s="53"/>
      <c r="URH1" s="53"/>
      <c r="URI1" s="53"/>
      <c r="URJ1" s="53"/>
      <c r="URK1" s="53"/>
      <c r="URL1" s="53"/>
      <c r="URM1" s="53"/>
      <c r="URN1" s="53"/>
      <c r="URO1" s="53"/>
      <c r="URP1" s="53"/>
      <c r="URQ1" s="53"/>
      <c r="URR1" s="53"/>
      <c r="URS1" s="53"/>
      <c r="URT1" s="53"/>
      <c r="URU1" s="53"/>
      <c r="URV1" s="53"/>
      <c r="URW1" s="53"/>
      <c r="URX1" s="53"/>
      <c r="URY1" s="53"/>
      <c r="URZ1" s="53"/>
      <c r="USA1" s="53"/>
      <c r="USB1" s="53"/>
      <c r="USC1" s="53"/>
      <c r="USD1" s="53"/>
      <c r="USE1" s="53"/>
      <c r="USF1" s="53"/>
      <c r="USG1" s="53"/>
      <c r="USH1" s="53"/>
      <c r="USI1" s="53"/>
      <c r="USJ1" s="53"/>
      <c r="USK1" s="53"/>
      <c r="USL1" s="53"/>
      <c r="USM1" s="53"/>
      <c r="USN1" s="53"/>
      <c r="USO1" s="53"/>
      <c r="USP1" s="53"/>
      <c r="USQ1" s="53"/>
      <c r="USR1" s="53"/>
      <c r="USS1" s="53"/>
      <c r="UST1" s="53"/>
      <c r="USU1" s="53"/>
      <c r="USV1" s="53"/>
      <c r="USW1" s="53"/>
      <c r="USX1" s="53"/>
      <c r="USY1" s="53"/>
      <c r="USZ1" s="53"/>
      <c r="UTA1" s="53"/>
      <c r="UTB1" s="53"/>
      <c r="UTC1" s="53"/>
      <c r="UTD1" s="53"/>
      <c r="UTE1" s="53"/>
      <c r="UTF1" s="53"/>
      <c r="UTG1" s="53"/>
      <c r="UTH1" s="53"/>
      <c r="UTI1" s="53"/>
      <c r="UTJ1" s="53"/>
      <c r="UTK1" s="53"/>
      <c r="UTL1" s="53"/>
      <c r="UTM1" s="53"/>
      <c r="UTN1" s="53"/>
      <c r="UTO1" s="53"/>
      <c r="UTP1" s="53"/>
      <c r="UTQ1" s="53"/>
      <c r="UTR1" s="53"/>
      <c r="UTS1" s="53"/>
      <c r="UTT1" s="53"/>
      <c r="UTU1" s="53"/>
      <c r="UTV1" s="53"/>
      <c r="UTW1" s="53"/>
      <c r="UTX1" s="53"/>
      <c r="UTY1" s="53"/>
      <c r="UTZ1" s="53"/>
      <c r="UUA1" s="53"/>
      <c r="UUB1" s="53"/>
      <c r="UUC1" s="53"/>
      <c r="UUD1" s="53"/>
      <c r="UUE1" s="53"/>
      <c r="UUF1" s="53"/>
      <c r="UUG1" s="53"/>
      <c r="UUH1" s="53"/>
      <c r="UUI1" s="53"/>
      <c r="UUJ1" s="53"/>
      <c r="UUK1" s="53"/>
      <c r="UUL1" s="53"/>
      <c r="UUM1" s="53"/>
      <c r="UUN1" s="53"/>
      <c r="UUO1" s="53"/>
      <c r="UUP1" s="53"/>
      <c r="UUQ1" s="53"/>
      <c r="UUR1" s="53"/>
      <c r="UUS1" s="53"/>
      <c r="UUT1" s="53"/>
      <c r="UUU1" s="53"/>
      <c r="UUV1" s="53"/>
      <c r="UUW1" s="53"/>
      <c r="UUX1" s="53"/>
      <c r="UUY1" s="53"/>
      <c r="UUZ1" s="53"/>
      <c r="UVA1" s="53"/>
      <c r="UVB1" s="53"/>
      <c r="UVC1" s="53"/>
      <c r="UVD1" s="53"/>
      <c r="UVE1" s="53"/>
      <c r="UVF1" s="53"/>
      <c r="UVG1" s="53"/>
      <c r="UVH1" s="53"/>
      <c r="UVI1" s="53"/>
      <c r="UVJ1" s="53"/>
      <c r="UVK1" s="53"/>
      <c r="UVL1" s="53"/>
      <c r="UVM1" s="53"/>
      <c r="UVN1" s="53"/>
      <c r="UVO1" s="53"/>
      <c r="UVP1" s="53"/>
      <c r="UVQ1" s="53"/>
      <c r="UVR1" s="53"/>
      <c r="UVS1" s="53"/>
      <c r="UVT1" s="53"/>
      <c r="UVU1" s="53"/>
      <c r="UVV1" s="53"/>
      <c r="UVW1" s="53"/>
      <c r="UVX1" s="53"/>
      <c r="UVY1" s="53"/>
      <c r="UVZ1" s="53"/>
      <c r="UWA1" s="53"/>
      <c r="UWB1" s="53"/>
      <c r="UWC1" s="53"/>
      <c r="UWD1" s="53"/>
      <c r="UWE1" s="53"/>
      <c r="UWF1" s="53"/>
      <c r="UWG1" s="53"/>
      <c r="UWH1" s="53"/>
      <c r="UWI1" s="53"/>
      <c r="UWJ1" s="53"/>
      <c r="UWK1" s="53"/>
      <c r="UWL1" s="53"/>
      <c r="UWM1" s="53"/>
      <c r="UWN1" s="53"/>
      <c r="UWO1" s="53"/>
      <c r="UWP1" s="53"/>
      <c r="UWQ1" s="53"/>
      <c r="UWR1" s="53"/>
      <c r="UWS1" s="53"/>
      <c r="UWT1" s="53"/>
      <c r="UWU1" s="53"/>
      <c r="UWV1" s="53"/>
      <c r="UWW1" s="53"/>
      <c r="UWX1" s="53"/>
      <c r="UWY1" s="53"/>
      <c r="UWZ1" s="53"/>
      <c r="UXA1" s="53"/>
      <c r="UXB1" s="53"/>
      <c r="UXC1" s="53"/>
      <c r="UXD1" s="53"/>
      <c r="UXE1" s="53"/>
      <c r="UXF1" s="53"/>
      <c r="UXG1" s="53"/>
      <c r="UXH1" s="53"/>
      <c r="UXI1" s="53"/>
      <c r="UXJ1" s="53"/>
      <c r="UXK1" s="53"/>
      <c r="UXL1" s="53"/>
      <c r="UXM1" s="53"/>
      <c r="UXN1" s="53"/>
      <c r="UXO1" s="53"/>
      <c r="UXP1" s="53"/>
      <c r="UXQ1" s="53"/>
      <c r="UXR1" s="53"/>
      <c r="UXS1" s="53"/>
      <c r="UXT1" s="53"/>
      <c r="UXU1" s="53"/>
      <c r="UXV1" s="53"/>
      <c r="UXW1" s="53"/>
      <c r="UXX1" s="53"/>
      <c r="UXY1" s="53"/>
      <c r="UXZ1" s="53"/>
      <c r="UYA1" s="53"/>
      <c r="UYB1" s="53"/>
      <c r="UYC1" s="53"/>
      <c r="UYD1" s="53"/>
      <c r="UYE1" s="53"/>
      <c r="UYF1" s="53"/>
      <c r="UYG1" s="53"/>
      <c r="UYH1" s="53"/>
      <c r="UYI1" s="53"/>
      <c r="UYJ1" s="53"/>
      <c r="UYK1" s="53"/>
      <c r="UYL1" s="53"/>
      <c r="UYM1" s="53"/>
      <c r="UYN1" s="53"/>
      <c r="UYO1" s="53"/>
      <c r="UYP1" s="53"/>
      <c r="UYQ1" s="53"/>
      <c r="UYR1" s="53"/>
      <c r="UYS1" s="53"/>
      <c r="UYT1" s="53"/>
      <c r="UYU1" s="53"/>
      <c r="UYV1" s="53"/>
      <c r="UYW1" s="53"/>
      <c r="UYX1" s="53"/>
      <c r="UYY1" s="53"/>
      <c r="UYZ1" s="53"/>
      <c r="UZA1" s="53"/>
      <c r="UZB1" s="53"/>
      <c r="UZC1" s="53"/>
      <c r="UZD1" s="53"/>
      <c r="UZE1" s="53"/>
      <c r="UZF1" s="53"/>
      <c r="UZG1" s="53"/>
      <c r="UZH1" s="53"/>
      <c r="UZI1" s="53"/>
      <c r="UZJ1" s="53"/>
      <c r="UZK1" s="53"/>
      <c r="UZL1" s="53"/>
      <c r="UZM1" s="53"/>
      <c r="UZN1" s="53"/>
      <c r="UZO1" s="53"/>
      <c r="UZP1" s="53"/>
      <c r="UZQ1" s="53"/>
      <c r="UZR1" s="53"/>
      <c r="UZS1" s="53"/>
      <c r="UZT1" s="53"/>
      <c r="UZU1" s="53"/>
      <c r="UZV1" s="53"/>
      <c r="UZW1" s="53"/>
      <c r="UZX1" s="53"/>
      <c r="UZY1" s="53"/>
      <c r="UZZ1" s="53"/>
      <c r="VAA1" s="53"/>
      <c r="VAB1" s="53"/>
      <c r="VAC1" s="53"/>
      <c r="VAD1" s="53"/>
      <c r="VAE1" s="53"/>
      <c r="VAF1" s="53"/>
      <c r="VAG1" s="53"/>
      <c r="VAH1" s="53"/>
      <c r="VAI1" s="53"/>
      <c r="VAJ1" s="53"/>
      <c r="VAK1" s="53"/>
      <c r="VAL1" s="53"/>
      <c r="VAM1" s="53"/>
      <c r="VAN1" s="53"/>
      <c r="VAO1" s="53"/>
      <c r="VAP1" s="53"/>
      <c r="VAQ1" s="53"/>
      <c r="VAR1" s="53"/>
      <c r="VAS1" s="53"/>
      <c r="VAT1" s="53"/>
      <c r="VAU1" s="53"/>
      <c r="VAV1" s="53"/>
      <c r="VAW1" s="53"/>
      <c r="VAX1" s="53"/>
      <c r="VAY1" s="53"/>
      <c r="VAZ1" s="53"/>
      <c r="VBA1" s="53"/>
      <c r="VBB1" s="53"/>
      <c r="VBC1" s="53"/>
      <c r="VBD1" s="53"/>
      <c r="VBE1" s="53"/>
      <c r="VBF1" s="53"/>
      <c r="VBG1" s="53"/>
      <c r="VBH1" s="53"/>
      <c r="VBI1" s="53"/>
      <c r="VBJ1" s="53"/>
      <c r="VBK1" s="53"/>
      <c r="VBL1" s="53"/>
      <c r="VBM1" s="53"/>
      <c r="VBN1" s="53"/>
      <c r="VBO1" s="53"/>
      <c r="VBP1" s="53"/>
      <c r="VBQ1" s="53"/>
      <c r="VBR1" s="53"/>
      <c r="VBS1" s="53"/>
      <c r="VBT1" s="53"/>
      <c r="VBU1" s="53"/>
      <c r="VBV1" s="53"/>
      <c r="VBW1" s="53"/>
      <c r="VBX1" s="53"/>
      <c r="VBY1" s="53"/>
      <c r="VBZ1" s="53"/>
      <c r="VCA1" s="53"/>
      <c r="VCB1" s="53"/>
      <c r="VCC1" s="53"/>
      <c r="VCD1" s="53"/>
      <c r="VCE1" s="53"/>
      <c r="VCF1" s="53"/>
      <c r="VCG1" s="53"/>
      <c r="VCH1" s="53"/>
      <c r="VCI1" s="53"/>
      <c r="VCJ1" s="53"/>
      <c r="VCK1" s="53"/>
      <c r="VCL1" s="53"/>
      <c r="VCM1" s="53"/>
      <c r="VCN1" s="53"/>
      <c r="VCO1" s="53"/>
      <c r="VCP1" s="53"/>
      <c r="VCQ1" s="53"/>
      <c r="VCR1" s="53"/>
      <c r="VCS1" s="53"/>
      <c r="VCT1" s="53"/>
      <c r="VCU1" s="53"/>
      <c r="VCV1" s="53"/>
      <c r="VCW1" s="53"/>
      <c r="VCX1" s="53"/>
      <c r="VCY1" s="53"/>
      <c r="VCZ1" s="53"/>
      <c r="VDA1" s="53"/>
      <c r="VDB1" s="53"/>
      <c r="VDC1" s="53"/>
      <c r="VDD1" s="53"/>
      <c r="VDE1" s="53"/>
      <c r="VDF1" s="53"/>
      <c r="VDG1" s="53"/>
      <c r="VDH1" s="53"/>
      <c r="VDI1" s="53"/>
      <c r="VDJ1" s="53"/>
      <c r="VDK1" s="53"/>
      <c r="VDL1" s="53"/>
      <c r="VDM1" s="53"/>
      <c r="VDN1" s="53"/>
      <c r="VDO1" s="53"/>
      <c r="VDP1" s="53"/>
      <c r="VDQ1" s="53"/>
      <c r="VDR1" s="53"/>
      <c r="VDS1" s="53"/>
      <c r="VDT1" s="53"/>
      <c r="VDU1" s="53"/>
      <c r="VDV1" s="53"/>
      <c r="VDW1" s="53"/>
      <c r="VDX1" s="53"/>
      <c r="VDY1" s="53"/>
      <c r="VDZ1" s="53"/>
      <c r="VEA1" s="53"/>
      <c r="VEB1" s="53"/>
      <c r="VEC1" s="53"/>
      <c r="VED1" s="53"/>
      <c r="VEE1" s="53"/>
      <c r="VEF1" s="53"/>
      <c r="VEG1" s="53"/>
      <c r="VEH1" s="53"/>
      <c r="VEI1" s="53"/>
      <c r="VEJ1" s="53"/>
      <c r="VEK1" s="53"/>
      <c r="VEL1" s="53"/>
      <c r="VEM1" s="53"/>
      <c r="VEN1" s="53"/>
      <c r="VEO1" s="53"/>
      <c r="VEP1" s="53"/>
      <c r="VEQ1" s="53"/>
      <c r="VER1" s="53"/>
      <c r="VES1" s="53"/>
      <c r="VET1" s="53"/>
      <c r="VEU1" s="53"/>
      <c r="VEV1" s="53"/>
      <c r="VEW1" s="53"/>
      <c r="VEX1" s="53"/>
      <c r="VEY1" s="53"/>
      <c r="VEZ1" s="53"/>
      <c r="VFA1" s="53"/>
      <c r="VFB1" s="53"/>
      <c r="VFC1" s="53"/>
      <c r="VFD1" s="53"/>
      <c r="VFE1" s="53"/>
      <c r="VFF1" s="53"/>
      <c r="VFG1" s="53"/>
      <c r="VFH1" s="53"/>
      <c r="VFI1" s="53"/>
      <c r="VFJ1" s="53"/>
      <c r="VFK1" s="53"/>
      <c r="VFL1" s="53"/>
      <c r="VFM1" s="53"/>
      <c r="VFN1" s="53"/>
      <c r="VFO1" s="53"/>
      <c r="VFP1" s="53"/>
      <c r="VFQ1" s="53"/>
      <c r="VFR1" s="53"/>
      <c r="VFS1" s="53"/>
      <c r="VFT1" s="53"/>
      <c r="VFU1" s="53"/>
      <c r="VFV1" s="53"/>
      <c r="VFW1" s="53"/>
      <c r="VFX1" s="53"/>
      <c r="VFY1" s="53"/>
      <c r="VFZ1" s="53"/>
      <c r="VGA1" s="53"/>
      <c r="VGB1" s="53"/>
      <c r="VGC1" s="53"/>
      <c r="VGD1" s="53"/>
      <c r="VGE1" s="53"/>
      <c r="VGF1" s="53"/>
      <c r="VGG1" s="53"/>
      <c r="VGH1" s="53"/>
      <c r="VGI1" s="53"/>
      <c r="VGJ1" s="53"/>
      <c r="VGK1" s="53"/>
      <c r="VGL1" s="53"/>
      <c r="VGM1" s="53"/>
      <c r="VGN1" s="53"/>
      <c r="VGO1" s="53"/>
      <c r="VGP1" s="53"/>
      <c r="VGQ1" s="53"/>
      <c r="VGR1" s="53"/>
      <c r="VGS1" s="53"/>
      <c r="VGT1" s="53"/>
      <c r="VGU1" s="53"/>
      <c r="VGV1" s="53"/>
      <c r="VGW1" s="53"/>
      <c r="VGX1" s="53"/>
      <c r="VGY1" s="53"/>
      <c r="VGZ1" s="53"/>
      <c r="VHA1" s="53"/>
      <c r="VHB1" s="53"/>
      <c r="VHC1" s="53"/>
      <c r="VHD1" s="53"/>
      <c r="VHE1" s="53"/>
      <c r="VHF1" s="53"/>
      <c r="VHG1" s="53"/>
      <c r="VHH1" s="53"/>
      <c r="VHI1" s="53"/>
      <c r="VHJ1" s="53"/>
      <c r="VHK1" s="53"/>
      <c r="VHL1" s="53"/>
      <c r="VHM1" s="53"/>
      <c r="VHN1" s="53"/>
      <c r="VHO1" s="53"/>
      <c r="VHP1" s="53"/>
      <c r="VHQ1" s="53"/>
      <c r="VHR1" s="53"/>
      <c r="VHS1" s="53"/>
      <c r="VHT1" s="53"/>
      <c r="VHU1" s="53"/>
      <c r="VHV1" s="53"/>
      <c r="VHW1" s="53"/>
      <c r="VHX1" s="53"/>
      <c r="VHY1" s="53"/>
      <c r="VHZ1" s="53"/>
      <c r="VIA1" s="53"/>
      <c r="VIB1" s="53"/>
      <c r="VIC1" s="53"/>
      <c r="VID1" s="53"/>
      <c r="VIE1" s="53"/>
      <c r="VIF1" s="53"/>
      <c r="VIG1" s="53"/>
      <c r="VIH1" s="53"/>
      <c r="VII1" s="53"/>
      <c r="VIJ1" s="53"/>
      <c r="VIK1" s="53"/>
      <c r="VIL1" s="53"/>
      <c r="VIM1" s="53"/>
      <c r="VIN1" s="53"/>
      <c r="VIO1" s="53"/>
      <c r="VIP1" s="53"/>
      <c r="VIQ1" s="53"/>
      <c r="VIR1" s="53"/>
      <c r="VIS1" s="53"/>
      <c r="VIT1" s="53"/>
      <c r="VIU1" s="53"/>
      <c r="VIV1" s="53"/>
      <c r="VIW1" s="53"/>
      <c r="VIX1" s="53"/>
      <c r="VIY1" s="53"/>
      <c r="VIZ1" s="53"/>
      <c r="VJA1" s="53"/>
      <c r="VJB1" s="53"/>
      <c r="VJC1" s="53"/>
      <c r="VJD1" s="53"/>
      <c r="VJE1" s="53"/>
      <c r="VJF1" s="53"/>
      <c r="VJG1" s="53"/>
      <c r="VJH1" s="53"/>
      <c r="VJI1" s="53"/>
      <c r="VJJ1" s="53"/>
      <c r="VJK1" s="53"/>
      <c r="VJL1" s="53"/>
      <c r="VJM1" s="53"/>
      <c r="VJN1" s="53"/>
      <c r="VJO1" s="53"/>
      <c r="VJP1" s="53"/>
      <c r="VJQ1" s="53"/>
      <c r="VJR1" s="53"/>
      <c r="VJS1" s="53"/>
      <c r="VJT1" s="53"/>
      <c r="VJU1" s="53"/>
      <c r="VJV1" s="53"/>
      <c r="VJW1" s="53"/>
      <c r="VJX1" s="53"/>
      <c r="VJY1" s="53"/>
      <c r="VJZ1" s="53"/>
      <c r="VKA1" s="53"/>
      <c r="VKB1" s="53"/>
      <c r="VKC1" s="53"/>
      <c r="VKD1" s="53"/>
      <c r="VKE1" s="53"/>
      <c r="VKF1" s="53"/>
      <c r="VKG1" s="53"/>
      <c r="VKH1" s="53"/>
      <c r="VKI1" s="53"/>
      <c r="VKJ1" s="53"/>
      <c r="VKK1" s="53"/>
      <c r="VKL1" s="53"/>
      <c r="VKM1" s="53"/>
      <c r="VKN1" s="53"/>
      <c r="VKO1" s="53"/>
      <c r="VKP1" s="53"/>
      <c r="VKQ1" s="53"/>
      <c r="VKR1" s="53"/>
      <c r="VKS1" s="53"/>
      <c r="VKT1" s="53"/>
      <c r="VKU1" s="53"/>
      <c r="VKV1" s="53"/>
      <c r="VKW1" s="53"/>
      <c r="VKX1" s="53"/>
      <c r="VKY1" s="53"/>
      <c r="VKZ1" s="53"/>
      <c r="VLA1" s="53"/>
      <c r="VLB1" s="53"/>
      <c r="VLC1" s="53"/>
      <c r="VLD1" s="53"/>
      <c r="VLE1" s="53"/>
      <c r="VLF1" s="53"/>
      <c r="VLG1" s="53"/>
      <c r="VLH1" s="53"/>
      <c r="VLI1" s="53"/>
      <c r="VLJ1" s="53"/>
      <c r="VLK1" s="53"/>
      <c r="VLL1" s="53"/>
      <c r="VLM1" s="53"/>
      <c r="VLN1" s="53"/>
      <c r="VLO1" s="53"/>
      <c r="VLP1" s="53"/>
      <c r="VLQ1" s="53"/>
      <c r="VLR1" s="53"/>
      <c r="VLS1" s="53"/>
      <c r="VLT1" s="53"/>
      <c r="VLU1" s="53"/>
      <c r="VLV1" s="53"/>
      <c r="VLW1" s="53"/>
      <c r="VLX1" s="53"/>
      <c r="VLY1" s="53"/>
      <c r="VLZ1" s="53"/>
      <c r="VMA1" s="53"/>
      <c r="VMB1" s="53"/>
      <c r="VMC1" s="53"/>
      <c r="VMD1" s="53"/>
      <c r="VME1" s="53"/>
      <c r="VMF1" s="53"/>
      <c r="VMG1" s="53"/>
      <c r="VMH1" s="53"/>
      <c r="VMI1" s="53"/>
      <c r="VMJ1" s="53"/>
      <c r="VMK1" s="53"/>
      <c r="VML1" s="53"/>
      <c r="VMM1" s="53"/>
      <c r="VMN1" s="53"/>
      <c r="VMO1" s="53"/>
      <c r="VMP1" s="53"/>
      <c r="VMQ1" s="53"/>
      <c r="VMR1" s="53"/>
      <c r="VMS1" s="53"/>
      <c r="VMT1" s="53"/>
      <c r="VMU1" s="53"/>
      <c r="VMV1" s="53"/>
      <c r="VMW1" s="53"/>
      <c r="VMX1" s="53"/>
      <c r="VMY1" s="53"/>
      <c r="VMZ1" s="53"/>
      <c r="VNA1" s="53"/>
      <c r="VNB1" s="53"/>
      <c r="VNC1" s="53"/>
      <c r="VND1" s="53"/>
      <c r="VNE1" s="53"/>
      <c r="VNF1" s="53"/>
      <c r="VNG1" s="53"/>
      <c r="VNH1" s="53"/>
      <c r="VNI1" s="53"/>
      <c r="VNJ1" s="53"/>
      <c r="VNK1" s="53"/>
      <c r="VNL1" s="53"/>
      <c r="VNM1" s="53"/>
      <c r="VNN1" s="53"/>
      <c r="VNO1" s="53"/>
      <c r="VNP1" s="53"/>
      <c r="VNQ1" s="53"/>
      <c r="VNR1" s="53"/>
      <c r="VNS1" s="53"/>
      <c r="VNT1" s="53"/>
      <c r="VNU1" s="53"/>
      <c r="VNV1" s="53"/>
      <c r="VNW1" s="53"/>
      <c r="VNX1" s="53"/>
      <c r="VNY1" s="53"/>
      <c r="VNZ1" s="53"/>
      <c r="VOA1" s="53"/>
      <c r="VOB1" s="53"/>
      <c r="VOC1" s="53"/>
      <c r="VOD1" s="53"/>
      <c r="VOE1" s="53"/>
      <c r="VOF1" s="53"/>
      <c r="VOG1" s="53"/>
      <c r="VOH1" s="53"/>
      <c r="VOI1" s="53"/>
      <c r="VOJ1" s="53"/>
      <c r="VOK1" s="53"/>
      <c r="VOL1" s="53"/>
      <c r="VOM1" s="53"/>
      <c r="VON1" s="53"/>
      <c r="VOO1" s="53"/>
      <c r="VOP1" s="53"/>
      <c r="VOQ1" s="53"/>
      <c r="VOR1" s="53"/>
      <c r="VOS1" s="53"/>
      <c r="VOT1" s="53"/>
      <c r="VOU1" s="53"/>
      <c r="VOV1" s="53"/>
      <c r="VOW1" s="53"/>
      <c r="VOX1" s="53"/>
      <c r="VOY1" s="53"/>
      <c r="VOZ1" s="53"/>
      <c r="VPA1" s="53"/>
      <c r="VPB1" s="53"/>
      <c r="VPC1" s="53"/>
      <c r="VPD1" s="53"/>
      <c r="VPE1" s="53"/>
      <c r="VPF1" s="53"/>
      <c r="VPG1" s="53"/>
      <c r="VPH1" s="53"/>
      <c r="VPI1" s="53"/>
      <c r="VPJ1" s="53"/>
      <c r="VPK1" s="53"/>
      <c r="VPL1" s="53"/>
      <c r="VPM1" s="53"/>
      <c r="VPN1" s="53"/>
      <c r="VPO1" s="53"/>
      <c r="VPP1" s="53"/>
      <c r="VPQ1" s="53"/>
      <c r="VPR1" s="53"/>
      <c r="VPS1" s="53"/>
      <c r="VPT1" s="53"/>
      <c r="VPU1" s="53"/>
      <c r="VPV1" s="53"/>
      <c r="VPW1" s="53"/>
      <c r="VPX1" s="53"/>
      <c r="VPY1" s="53"/>
      <c r="VPZ1" s="53"/>
      <c r="VQA1" s="53"/>
      <c r="VQB1" s="53"/>
      <c r="VQC1" s="53"/>
      <c r="VQD1" s="53"/>
      <c r="VQE1" s="53"/>
      <c r="VQF1" s="53"/>
      <c r="VQG1" s="53"/>
      <c r="VQH1" s="53"/>
      <c r="VQI1" s="53"/>
      <c r="VQJ1" s="53"/>
      <c r="VQK1" s="53"/>
      <c r="VQL1" s="53"/>
      <c r="VQM1" s="53"/>
      <c r="VQN1" s="53"/>
      <c r="VQO1" s="53"/>
      <c r="VQP1" s="53"/>
      <c r="VQQ1" s="53"/>
      <c r="VQR1" s="53"/>
      <c r="VQS1" s="53"/>
      <c r="VQT1" s="53"/>
      <c r="VQU1" s="53"/>
      <c r="VQV1" s="53"/>
      <c r="VQW1" s="53"/>
      <c r="VQX1" s="53"/>
      <c r="VQY1" s="53"/>
      <c r="VQZ1" s="53"/>
      <c r="VRA1" s="53"/>
      <c r="VRB1" s="53"/>
      <c r="VRC1" s="53"/>
      <c r="VRD1" s="53"/>
      <c r="VRE1" s="53"/>
      <c r="VRF1" s="53"/>
      <c r="VRG1" s="53"/>
      <c r="VRH1" s="53"/>
      <c r="VRI1" s="53"/>
      <c r="VRJ1" s="53"/>
      <c r="VRK1" s="53"/>
      <c r="VRL1" s="53"/>
      <c r="VRM1" s="53"/>
      <c r="VRN1" s="53"/>
      <c r="VRO1" s="53"/>
      <c r="VRP1" s="53"/>
      <c r="VRQ1" s="53"/>
      <c r="VRR1" s="53"/>
      <c r="VRS1" s="53"/>
      <c r="VRT1" s="53"/>
      <c r="VRU1" s="53"/>
      <c r="VRV1" s="53"/>
      <c r="VRW1" s="53"/>
      <c r="VRX1" s="53"/>
      <c r="VRY1" s="53"/>
      <c r="VRZ1" s="53"/>
      <c r="VSA1" s="53"/>
      <c r="VSB1" s="53"/>
      <c r="VSC1" s="53"/>
      <c r="VSD1" s="53"/>
      <c r="VSE1" s="53"/>
      <c r="VSF1" s="53"/>
      <c r="VSG1" s="53"/>
      <c r="VSH1" s="53"/>
      <c r="VSI1" s="53"/>
      <c r="VSJ1" s="53"/>
      <c r="VSK1" s="53"/>
      <c r="VSL1" s="53"/>
      <c r="VSM1" s="53"/>
      <c r="VSN1" s="53"/>
      <c r="VSO1" s="53"/>
      <c r="VSP1" s="53"/>
      <c r="VSQ1" s="53"/>
      <c r="VSR1" s="53"/>
      <c r="VSS1" s="53"/>
      <c r="VST1" s="53"/>
      <c r="VSU1" s="53"/>
      <c r="VSV1" s="53"/>
      <c r="VSW1" s="53"/>
      <c r="VSX1" s="53"/>
      <c r="VSY1" s="53"/>
      <c r="VSZ1" s="53"/>
      <c r="VTA1" s="53"/>
      <c r="VTB1" s="53"/>
      <c r="VTC1" s="53"/>
      <c r="VTD1" s="53"/>
      <c r="VTE1" s="53"/>
      <c r="VTF1" s="53"/>
      <c r="VTG1" s="53"/>
      <c r="VTH1" s="53"/>
      <c r="VTI1" s="53"/>
      <c r="VTJ1" s="53"/>
      <c r="VTK1" s="53"/>
      <c r="VTL1" s="53"/>
      <c r="VTM1" s="53"/>
      <c r="VTN1" s="53"/>
      <c r="VTO1" s="53"/>
      <c r="VTP1" s="53"/>
      <c r="VTQ1" s="53"/>
      <c r="VTR1" s="53"/>
      <c r="VTS1" s="53"/>
      <c r="VTT1" s="53"/>
      <c r="VTU1" s="53"/>
      <c r="VTV1" s="53"/>
      <c r="VTW1" s="53"/>
      <c r="VTX1" s="53"/>
      <c r="VTY1" s="53"/>
      <c r="VTZ1" s="53"/>
      <c r="VUA1" s="53"/>
      <c r="VUB1" s="53"/>
      <c r="VUC1" s="53"/>
      <c r="VUD1" s="53"/>
      <c r="VUE1" s="53"/>
      <c r="VUF1" s="53"/>
      <c r="VUG1" s="53"/>
      <c r="VUH1" s="53"/>
      <c r="VUI1" s="53"/>
      <c r="VUJ1" s="53"/>
      <c r="VUK1" s="53"/>
      <c r="VUL1" s="53"/>
      <c r="VUM1" s="53"/>
      <c r="VUN1" s="53"/>
      <c r="VUO1" s="53"/>
      <c r="VUP1" s="53"/>
      <c r="VUQ1" s="53"/>
      <c r="VUR1" s="53"/>
      <c r="VUS1" s="53"/>
      <c r="VUT1" s="53"/>
      <c r="VUU1" s="53"/>
      <c r="VUV1" s="53"/>
      <c r="VUW1" s="53"/>
      <c r="VUX1" s="53"/>
      <c r="VUY1" s="53"/>
      <c r="VUZ1" s="53"/>
      <c r="VVA1" s="53"/>
      <c r="VVB1" s="53"/>
      <c r="VVC1" s="53"/>
      <c r="VVD1" s="53"/>
      <c r="VVE1" s="53"/>
      <c r="VVF1" s="53"/>
      <c r="VVG1" s="53"/>
      <c r="VVH1" s="53"/>
      <c r="VVI1" s="53"/>
      <c r="VVJ1" s="53"/>
      <c r="VVK1" s="53"/>
      <c r="VVL1" s="53"/>
      <c r="VVM1" s="53"/>
      <c r="VVN1" s="53"/>
      <c r="VVO1" s="53"/>
      <c r="VVP1" s="53"/>
      <c r="VVQ1" s="53"/>
      <c r="VVR1" s="53"/>
      <c r="VVS1" s="53"/>
      <c r="VVT1" s="53"/>
      <c r="VVU1" s="53"/>
      <c r="VVV1" s="53"/>
      <c r="VVW1" s="53"/>
      <c r="VVX1" s="53"/>
      <c r="VVY1" s="53"/>
      <c r="VVZ1" s="53"/>
      <c r="VWA1" s="53"/>
      <c r="VWB1" s="53"/>
      <c r="VWC1" s="53"/>
      <c r="VWD1" s="53"/>
      <c r="VWE1" s="53"/>
      <c r="VWF1" s="53"/>
      <c r="VWG1" s="53"/>
      <c r="VWH1" s="53"/>
      <c r="VWI1" s="53"/>
      <c r="VWJ1" s="53"/>
      <c r="VWK1" s="53"/>
      <c r="VWL1" s="53"/>
      <c r="VWM1" s="53"/>
      <c r="VWN1" s="53"/>
      <c r="VWO1" s="53"/>
      <c r="VWP1" s="53"/>
      <c r="VWQ1" s="53"/>
      <c r="VWR1" s="53"/>
      <c r="VWS1" s="53"/>
      <c r="VWT1" s="53"/>
      <c r="VWU1" s="53"/>
      <c r="VWV1" s="53"/>
      <c r="VWW1" s="53"/>
      <c r="VWX1" s="53"/>
      <c r="VWY1" s="53"/>
      <c r="VWZ1" s="53"/>
      <c r="VXA1" s="53"/>
      <c r="VXB1" s="53"/>
      <c r="VXC1" s="53"/>
      <c r="VXD1" s="53"/>
      <c r="VXE1" s="53"/>
      <c r="VXF1" s="53"/>
      <c r="VXG1" s="53"/>
      <c r="VXH1" s="53"/>
      <c r="VXI1" s="53"/>
      <c r="VXJ1" s="53"/>
      <c r="VXK1" s="53"/>
      <c r="VXL1" s="53"/>
      <c r="VXM1" s="53"/>
      <c r="VXN1" s="53"/>
      <c r="VXO1" s="53"/>
      <c r="VXP1" s="53"/>
      <c r="VXQ1" s="53"/>
      <c r="VXR1" s="53"/>
      <c r="VXS1" s="53"/>
      <c r="VXT1" s="53"/>
      <c r="VXU1" s="53"/>
      <c r="VXV1" s="53"/>
      <c r="VXW1" s="53"/>
      <c r="VXX1" s="53"/>
      <c r="VXY1" s="53"/>
      <c r="VXZ1" s="53"/>
      <c r="VYA1" s="53"/>
      <c r="VYB1" s="53"/>
      <c r="VYC1" s="53"/>
      <c r="VYD1" s="53"/>
      <c r="VYE1" s="53"/>
      <c r="VYF1" s="53"/>
      <c r="VYG1" s="53"/>
      <c r="VYH1" s="53"/>
      <c r="VYI1" s="53"/>
      <c r="VYJ1" s="53"/>
      <c r="VYK1" s="53"/>
      <c r="VYL1" s="53"/>
      <c r="VYM1" s="53"/>
      <c r="VYN1" s="53"/>
      <c r="VYO1" s="53"/>
      <c r="VYP1" s="53"/>
      <c r="VYQ1" s="53"/>
      <c r="VYR1" s="53"/>
      <c r="VYS1" s="53"/>
      <c r="VYT1" s="53"/>
      <c r="VYU1" s="53"/>
      <c r="VYV1" s="53"/>
      <c r="VYW1" s="53"/>
      <c r="VYX1" s="53"/>
      <c r="VYY1" s="53"/>
      <c r="VYZ1" s="53"/>
      <c r="VZA1" s="53"/>
      <c r="VZB1" s="53"/>
      <c r="VZC1" s="53"/>
      <c r="VZD1" s="53"/>
      <c r="VZE1" s="53"/>
      <c r="VZF1" s="53"/>
      <c r="VZG1" s="53"/>
      <c r="VZH1" s="53"/>
      <c r="VZI1" s="53"/>
      <c r="VZJ1" s="53"/>
      <c r="VZK1" s="53"/>
      <c r="VZL1" s="53"/>
      <c r="VZM1" s="53"/>
      <c r="VZN1" s="53"/>
      <c r="VZO1" s="53"/>
      <c r="VZP1" s="53"/>
      <c r="VZQ1" s="53"/>
      <c r="VZR1" s="53"/>
      <c r="VZS1" s="53"/>
      <c r="VZT1" s="53"/>
      <c r="VZU1" s="53"/>
      <c r="VZV1" s="53"/>
      <c r="VZW1" s="53"/>
      <c r="VZX1" s="53"/>
      <c r="VZY1" s="53"/>
      <c r="VZZ1" s="53"/>
      <c r="WAA1" s="53"/>
      <c r="WAB1" s="53"/>
      <c r="WAC1" s="53"/>
      <c r="WAD1" s="53"/>
      <c r="WAE1" s="53"/>
      <c r="WAF1" s="53"/>
      <c r="WAG1" s="53"/>
      <c r="WAH1" s="53"/>
      <c r="WAI1" s="53"/>
      <c r="WAJ1" s="53"/>
      <c r="WAK1" s="53"/>
      <c r="WAL1" s="53"/>
      <c r="WAM1" s="53"/>
      <c r="WAN1" s="53"/>
      <c r="WAO1" s="53"/>
      <c r="WAP1" s="53"/>
      <c r="WAQ1" s="53"/>
      <c r="WAR1" s="53"/>
      <c r="WAS1" s="53"/>
      <c r="WAT1" s="53"/>
      <c r="WAU1" s="53"/>
      <c r="WAV1" s="53"/>
      <c r="WAW1" s="53"/>
      <c r="WAX1" s="53"/>
      <c r="WAY1" s="53"/>
      <c r="WAZ1" s="53"/>
      <c r="WBA1" s="53"/>
      <c r="WBB1" s="53"/>
      <c r="WBC1" s="53"/>
      <c r="WBD1" s="53"/>
      <c r="WBE1" s="53"/>
      <c r="WBF1" s="53"/>
      <c r="WBG1" s="53"/>
      <c r="WBH1" s="53"/>
      <c r="WBI1" s="53"/>
      <c r="WBJ1" s="53"/>
      <c r="WBK1" s="53"/>
      <c r="WBL1" s="53"/>
      <c r="WBM1" s="53"/>
      <c r="WBN1" s="53"/>
      <c r="WBO1" s="53"/>
      <c r="WBP1" s="53"/>
      <c r="WBQ1" s="53"/>
      <c r="WBR1" s="53"/>
      <c r="WBS1" s="53"/>
      <c r="WBT1" s="53"/>
      <c r="WBU1" s="53"/>
      <c r="WBV1" s="53"/>
      <c r="WBW1" s="53"/>
      <c r="WBX1" s="53"/>
      <c r="WBY1" s="53"/>
      <c r="WBZ1" s="53"/>
      <c r="WCA1" s="53"/>
      <c r="WCB1" s="53"/>
      <c r="WCC1" s="53"/>
      <c r="WCD1" s="53"/>
      <c r="WCE1" s="53"/>
      <c r="WCF1" s="53"/>
      <c r="WCG1" s="53"/>
      <c r="WCH1" s="53"/>
      <c r="WCI1" s="53"/>
      <c r="WCJ1" s="53"/>
      <c r="WCK1" s="53"/>
      <c r="WCL1" s="53"/>
      <c r="WCM1" s="53"/>
      <c r="WCN1" s="53"/>
      <c r="WCO1" s="53"/>
      <c r="WCP1" s="53"/>
      <c r="WCQ1" s="53"/>
      <c r="WCR1" s="53"/>
      <c r="WCS1" s="53"/>
      <c r="WCT1" s="53"/>
      <c r="WCU1" s="53"/>
      <c r="WCV1" s="53"/>
      <c r="WCW1" s="53"/>
      <c r="WCX1" s="53"/>
      <c r="WCY1" s="53"/>
      <c r="WCZ1" s="53"/>
      <c r="WDA1" s="53"/>
      <c r="WDB1" s="53"/>
      <c r="WDC1" s="53"/>
      <c r="WDD1" s="53"/>
      <c r="WDE1" s="53"/>
      <c r="WDF1" s="53"/>
      <c r="WDG1" s="53"/>
      <c r="WDH1" s="53"/>
      <c r="WDI1" s="53"/>
      <c r="WDJ1" s="53"/>
      <c r="WDK1" s="53"/>
      <c r="WDL1" s="53"/>
      <c r="WDM1" s="53"/>
      <c r="WDN1" s="53"/>
      <c r="WDO1" s="53"/>
      <c r="WDP1" s="53"/>
      <c r="WDQ1" s="53"/>
      <c r="WDR1" s="53"/>
      <c r="WDS1" s="53"/>
      <c r="WDT1" s="53"/>
      <c r="WDU1" s="53"/>
      <c r="WDV1" s="53"/>
      <c r="WDW1" s="53"/>
      <c r="WDX1" s="53"/>
      <c r="WDY1" s="53"/>
      <c r="WDZ1" s="53"/>
      <c r="WEA1" s="53"/>
      <c r="WEB1" s="53"/>
      <c r="WEC1" s="53"/>
      <c r="WED1" s="53"/>
      <c r="WEE1" s="53"/>
      <c r="WEF1" s="53"/>
      <c r="WEG1" s="53"/>
      <c r="WEH1" s="53"/>
      <c r="WEI1" s="53"/>
      <c r="WEJ1" s="53"/>
      <c r="WEK1" s="53"/>
      <c r="WEL1" s="53"/>
      <c r="WEM1" s="53"/>
      <c r="WEN1" s="53"/>
      <c r="WEO1" s="53"/>
      <c r="WEP1" s="53"/>
      <c r="WEQ1" s="53"/>
      <c r="WER1" s="53"/>
      <c r="WES1" s="53"/>
      <c r="WET1" s="53"/>
      <c r="WEU1" s="53"/>
      <c r="WEV1" s="53"/>
      <c r="WEW1" s="53"/>
      <c r="WEX1" s="53"/>
      <c r="WEY1" s="53"/>
      <c r="WEZ1" s="53"/>
      <c r="WFA1" s="53"/>
      <c r="WFB1" s="53"/>
      <c r="WFC1" s="53"/>
      <c r="WFD1" s="53"/>
      <c r="WFE1" s="53"/>
      <c r="WFF1" s="53"/>
      <c r="WFG1" s="53"/>
      <c r="WFH1" s="53"/>
      <c r="WFI1" s="53"/>
      <c r="WFJ1" s="53"/>
      <c r="WFK1" s="53"/>
      <c r="WFL1" s="53"/>
      <c r="WFM1" s="53"/>
      <c r="WFN1" s="53"/>
      <c r="WFO1" s="53"/>
      <c r="WFP1" s="53"/>
      <c r="WFQ1" s="53"/>
      <c r="WFR1" s="53"/>
      <c r="WFS1" s="53"/>
      <c r="WFT1" s="53"/>
      <c r="WFU1" s="53"/>
      <c r="WFV1" s="53"/>
      <c r="WFW1" s="53"/>
      <c r="WFX1" s="53"/>
      <c r="WFY1" s="53"/>
      <c r="WFZ1" s="53"/>
      <c r="WGA1" s="53"/>
      <c r="WGB1" s="53"/>
      <c r="WGC1" s="53"/>
      <c r="WGD1" s="53"/>
      <c r="WGE1" s="53"/>
      <c r="WGF1" s="53"/>
      <c r="WGG1" s="53"/>
      <c r="WGH1" s="53"/>
      <c r="WGI1" s="53"/>
      <c r="WGJ1" s="53"/>
      <c r="WGK1" s="53"/>
      <c r="WGL1" s="53"/>
      <c r="WGM1" s="53"/>
      <c r="WGN1" s="53"/>
      <c r="WGO1" s="53"/>
      <c r="WGP1" s="53"/>
      <c r="WGQ1" s="53"/>
      <c r="WGR1" s="53"/>
      <c r="WGS1" s="53"/>
      <c r="WGT1" s="53"/>
      <c r="WGU1" s="53"/>
      <c r="WGV1" s="53"/>
      <c r="WGW1" s="53"/>
      <c r="WGX1" s="53"/>
      <c r="WGY1" s="53"/>
      <c r="WGZ1" s="53"/>
      <c r="WHA1" s="53"/>
      <c r="WHB1" s="53"/>
      <c r="WHC1" s="53"/>
      <c r="WHD1" s="53"/>
      <c r="WHE1" s="53"/>
      <c r="WHF1" s="53"/>
      <c r="WHG1" s="53"/>
      <c r="WHH1" s="53"/>
      <c r="WHI1" s="53"/>
      <c r="WHJ1" s="53"/>
      <c r="WHK1" s="53"/>
      <c r="WHL1" s="53"/>
      <c r="WHM1" s="53"/>
      <c r="WHN1" s="53"/>
      <c r="WHO1" s="53"/>
      <c r="WHP1" s="53"/>
      <c r="WHQ1" s="53"/>
      <c r="WHR1" s="53"/>
      <c r="WHS1" s="53"/>
      <c r="WHT1" s="53"/>
      <c r="WHU1" s="53"/>
      <c r="WHV1" s="53"/>
      <c r="WHW1" s="53"/>
      <c r="WHX1" s="53"/>
      <c r="WHY1" s="53"/>
      <c r="WHZ1" s="53"/>
      <c r="WIA1" s="53"/>
      <c r="WIB1" s="53"/>
      <c r="WIC1" s="53"/>
      <c r="WID1" s="53"/>
      <c r="WIE1" s="53"/>
      <c r="WIF1" s="53"/>
      <c r="WIG1" s="53"/>
      <c r="WIH1" s="53"/>
      <c r="WII1" s="53"/>
      <c r="WIJ1" s="53"/>
      <c r="WIK1" s="53"/>
      <c r="WIL1" s="53"/>
      <c r="WIM1" s="53"/>
      <c r="WIN1" s="53"/>
      <c r="WIO1" s="53"/>
      <c r="WIP1" s="53"/>
      <c r="WIQ1" s="53"/>
      <c r="WIR1" s="53"/>
      <c r="WIS1" s="53"/>
      <c r="WIT1" s="53"/>
      <c r="WIU1" s="53"/>
      <c r="WIV1" s="53"/>
      <c r="WIW1" s="53"/>
      <c r="WIX1" s="53"/>
      <c r="WIY1" s="53"/>
      <c r="WIZ1" s="53"/>
      <c r="WJA1" s="53"/>
      <c r="WJB1" s="53"/>
      <c r="WJC1" s="53"/>
      <c r="WJD1" s="53"/>
      <c r="WJE1" s="53"/>
      <c r="WJF1" s="53"/>
      <c r="WJG1" s="53"/>
      <c r="WJH1" s="53"/>
      <c r="WJI1" s="53"/>
      <c r="WJJ1" s="53"/>
      <c r="WJK1" s="53"/>
      <c r="WJL1" s="53"/>
      <c r="WJM1" s="53"/>
      <c r="WJN1" s="53"/>
      <c r="WJO1" s="53"/>
      <c r="WJP1" s="53"/>
      <c r="WJQ1" s="53"/>
      <c r="WJR1" s="53"/>
      <c r="WJS1" s="53"/>
      <c r="WJT1" s="53"/>
      <c r="WJU1" s="53"/>
      <c r="WJV1" s="53"/>
      <c r="WJW1" s="53"/>
      <c r="WJX1" s="53"/>
      <c r="WJY1" s="53"/>
      <c r="WJZ1" s="53"/>
      <c r="WKA1" s="53"/>
      <c r="WKB1" s="53"/>
      <c r="WKC1" s="53"/>
      <c r="WKD1" s="53"/>
      <c r="WKE1" s="53"/>
      <c r="WKF1" s="53"/>
      <c r="WKG1" s="53"/>
      <c r="WKH1" s="53"/>
      <c r="WKI1" s="53"/>
      <c r="WKJ1" s="53"/>
      <c r="WKK1" s="53"/>
      <c r="WKL1" s="53"/>
      <c r="WKM1" s="53"/>
      <c r="WKN1" s="53"/>
      <c r="WKO1" s="53"/>
      <c r="WKP1" s="53"/>
      <c r="WKQ1" s="53"/>
      <c r="WKR1" s="53"/>
      <c r="WKS1" s="53"/>
      <c r="WKT1" s="53"/>
      <c r="WKU1" s="53"/>
      <c r="WKV1" s="53"/>
      <c r="WKW1" s="53"/>
      <c r="WKX1" s="53"/>
      <c r="WKY1" s="53"/>
      <c r="WKZ1" s="53"/>
      <c r="WLA1" s="53"/>
      <c r="WLB1" s="53"/>
      <c r="WLC1" s="53"/>
      <c r="WLD1" s="53"/>
      <c r="WLE1" s="53"/>
      <c r="WLF1" s="53"/>
      <c r="WLG1" s="53"/>
      <c r="WLH1" s="53"/>
      <c r="WLI1" s="53"/>
      <c r="WLJ1" s="53"/>
      <c r="WLK1" s="53"/>
      <c r="WLL1" s="53"/>
      <c r="WLM1" s="53"/>
      <c r="WLN1" s="53"/>
      <c r="WLO1" s="53"/>
      <c r="WLP1" s="53"/>
      <c r="WLQ1" s="53"/>
      <c r="WLR1" s="53"/>
      <c r="WLS1" s="53"/>
      <c r="WLT1" s="53"/>
      <c r="WLU1" s="53"/>
      <c r="WLV1" s="53"/>
      <c r="WLW1" s="53"/>
      <c r="WLX1" s="53"/>
      <c r="WLY1" s="53"/>
      <c r="WLZ1" s="53"/>
      <c r="WMA1" s="53"/>
      <c r="WMB1" s="53"/>
      <c r="WMC1" s="53"/>
      <c r="WMD1" s="53"/>
      <c r="WME1" s="53"/>
      <c r="WMF1" s="53"/>
      <c r="WMG1" s="53"/>
      <c r="WMH1" s="53"/>
      <c r="WMI1" s="53"/>
      <c r="WMJ1" s="53"/>
      <c r="WMK1" s="53"/>
      <c r="WML1" s="53"/>
      <c r="WMM1" s="53"/>
      <c r="WMN1" s="53"/>
      <c r="WMO1" s="53"/>
      <c r="WMP1" s="53"/>
      <c r="WMQ1" s="53"/>
      <c r="WMR1" s="53"/>
      <c r="WMS1" s="53"/>
      <c r="WMT1" s="53"/>
      <c r="WMU1" s="53"/>
      <c r="WMV1" s="53"/>
      <c r="WMW1" s="53"/>
      <c r="WMX1" s="53"/>
      <c r="WMY1" s="53"/>
      <c r="WMZ1" s="53"/>
      <c r="WNA1" s="53"/>
      <c r="WNB1" s="53"/>
      <c r="WNC1" s="53"/>
      <c r="WND1" s="53"/>
      <c r="WNE1" s="53"/>
      <c r="WNF1" s="53"/>
      <c r="WNG1" s="53"/>
      <c r="WNH1" s="53"/>
      <c r="WNI1" s="53"/>
      <c r="WNJ1" s="53"/>
      <c r="WNK1" s="53"/>
      <c r="WNL1" s="53"/>
      <c r="WNM1" s="53"/>
      <c r="WNN1" s="53"/>
      <c r="WNO1" s="53"/>
      <c r="WNP1" s="53"/>
      <c r="WNQ1" s="53"/>
      <c r="WNR1" s="53"/>
      <c r="WNS1" s="53"/>
      <c r="WNT1" s="53"/>
      <c r="WNU1" s="53"/>
      <c r="WNV1" s="53"/>
      <c r="WNW1" s="53"/>
      <c r="WNX1" s="53"/>
      <c r="WNY1" s="53"/>
      <c r="WNZ1" s="53"/>
      <c r="WOA1" s="53"/>
      <c r="WOB1" s="53"/>
      <c r="WOC1" s="53"/>
      <c r="WOD1" s="53"/>
      <c r="WOE1" s="53"/>
      <c r="WOF1" s="53"/>
      <c r="WOG1" s="53"/>
      <c r="WOH1" s="53"/>
      <c r="WOI1" s="53"/>
      <c r="WOJ1" s="53"/>
      <c r="WOK1" s="53"/>
      <c r="WOL1" s="53"/>
      <c r="WOM1" s="53"/>
      <c r="WON1" s="53"/>
      <c r="WOO1" s="53"/>
      <c r="WOP1" s="53"/>
      <c r="WOQ1" s="53"/>
      <c r="WOR1" s="53"/>
      <c r="WOS1" s="53"/>
      <c r="WOT1" s="53"/>
      <c r="WOU1" s="53"/>
      <c r="WOV1" s="53"/>
      <c r="WOW1" s="53"/>
      <c r="WOX1" s="53"/>
      <c r="WOY1" s="53"/>
      <c r="WOZ1" s="53"/>
      <c r="WPA1" s="53"/>
      <c r="WPB1" s="53"/>
      <c r="WPC1" s="53"/>
      <c r="WPD1" s="53"/>
      <c r="WPE1" s="53"/>
      <c r="WPF1" s="53"/>
      <c r="WPG1" s="53"/>
      <c r="WPH1" s="53"/>
      <c r="WPI1" s="53"/>
      <c r="WPJ1" s="53"/>
      <c r="WPK1" s="53"/>
      <c r="WPL1" s="53"/>
      <c r="WPM1" s="53"/>
      <c r="WPN1" s="53"/>
      <c r="WPO1" s="53"/>
      <c r="WPP1" s="53"/>
      <c r="WPQ1" s="53"/>
      <c r="WPR1" s="53"/>
      <c r="WPS1" s="53"/>
      <c r="WPT1" s="53"/>
      <c r="WPU1" s="53"/>
      <c r="WPV1" s="53"/>
      <c r="WPW1" s="53"/>
      <c r="WPX1" s="53"/>
      <c r="WPY1" s="53"/>
      <c r="WPZ1" s="53"/>
      <c r="WQA1" s="53"/>
      <c r="WQB1" s="53"/>
      <c r="WQC1" s="53"/>
      <c r="WQD1" s="53"/>
      <c r="WQE1" s="53"/>
      <c r="WQF1" s="53"/>
      <c r="WQG1" s="53"/>
      <c r="WQH1" s="53"/>
      <c r="WQI1" s="53"/>
      <c r="WQJ1" s="53"/>
      <c r="WQK1" s="53"/>
      <c r="WQL1" s="53"/>
      <c r="WQM1" s="53"/>
      <c r="WQN1" s="53"/>
      <c r="WQO1" s="53"/>
      <c r="WQP1" s="53"/>
      <c r="WQQ1" s="53"/>
      <c r="WQR1" s="53"/>
      <c r="WQS1" s="53"/>
      <c r="WQT1" s="53"/>
      <c r="WQU1" s="53"/>
      <c r="WQV1" s="53"/>
      <c r="WQW1" s="53"/>
      <c r="WQX1" s="53"/>
      <c r="WQY1" s="53"/>
      <c r="WQZ1" s="53"/>
      <c r="WRA1" s="53"/>
      <c r="WRB1" s="53"/>
      <c r="WRC1" s="53"/>
      <c r="WRD1" s="53"/>
      <c r="WRE1" s="53"/>
      <c r="WRF1" s="53"/>
      <c r="WRG1" s="53"/>
      <c r="WRH1" s="53"/>
      <c r="WRI1" s="53"/>
      <c r="WRJ1" s="53"/>
      <c r="WRK1" s="53"/>
      <c r="WRL1" s="53"/>
      <c r="WRM1" s="53"/>
      <c r="WRN1" s="53"/>
      <c r="WRO1" s="53"/>
      <c r="WRP1" s="53"/>
      <c r="WRQ1" s="53"/>
      <c r="WRR1" s="53"/>
      <c r="WRS1" s="53"/>
      <c r="WRT1" s="53"/>
      <c r="WRU1" s="53"/>
      <c r="WRV1" s="53"/>
      <c r="WRW1" s="53"/>
      <c r="WRX1" s="53"/>
      <c r="WRY1" s="53"/>
      <c r="WRZ1" s="53"/>
      <c r="WSA1" s="53"/>
      <c r="WSB1" s="53"/>
      <c r="WSC1" s="53"/>
      <c r="WSD1" s="53"/>
      <c r="WSE1" s="53"/>
      <c r="WSF1" s="53"/>
      <c r="WSG1" s="53"/>
      <c r="WSH1" s="53"/>
      <c r="WSI1" s="53"/>
      <c r="WSJ1" s="53"/>
      <c r="WSK1" s="53"/>
      <c r="WSL1" s="53"/>
      <c r="WSM1" s="53"/>
      <c r="WSN1" s="53"/>
      <c r="WSO1" s="53"/>
      <c r="WSP1" s="53"/>
      <c r="WSQ1" s="53"/>
      <c r="WSR1" s="53"/>
      <c r="WSS1" s="53"/>
      <c r="WST1" s="53"/>
      <c r="WSU1" s="53"/>
      <c r="WSV1" s="53"/>
      <c r="WSW1" s="53"/>
      <c r="WSX1" s="53"/>
      <c r="WSY1" s="53"/>
      <c r="WSZ1" s="53"/>
      <c r="WTA1" s="53"/>
      <c r="WTB1" s="53"/>
      <c r="WTC1" s="53"/>
      <c r="WTD1" s="53"/>
      <c r="WTE1" s="53"/>
      <c r="WTF1" s="53"/>
      <c r="WTG1" s="53"/>
      <c r="WTH1" s="53"/>
      <c r="WTI1" s="53"/>
      <c r="WTJ1" s="53"/>
      <c r="WTK1" s="53"/>
      <c r="WTL1" s="53"/>
      <c r="WTM1" s="53"/>
      <c r="WTN1" s="53"/>
      <c r="WTO1" s="53"/>
      <c r="WTP1" s="53"/>
      <c r="WTQ1" s="53"/>
      <c r="WTR1" s="53"/>
      <c r="WTS1" s="53"/>
      <c r="WTT1" s="53"/>
      <c r="WTU1" s="53"/>
      <c r="WTV1" s="53"/>
      <c r="WTW1" s="53"/>
      <c r="WTX1" s="53"/>
      <c r="WTY1" s="53"/>
      <c r="WTZ1" s="53"/>
      <c r="WUA1" s="53"/>
      <c r="WUB1" s="53"/>
      <c r="WUC1" s="53"/>
      <c r="WUD1" s="53"/>
      <c r="WUE1" s="53"/>
      <c r="WUF1" s="53"/>
      <c r="WUG1" s="53"/>
      <c r="WUH1" s="53"/>
      <c r="WUI1" s="53"/>
      <c r="WUJ1" s="53"/>
      <c r="WUK1" s="53"/>
      <c r="WUL1" s="53"/>
      <c r="WUM1" s="53"/>
      <c r="WUN1" s="53"/>
      <c r="WUO1" s="53"/>
      <c r="WUP1" s="53"/>
      <c r="WUQ1" s="53"/>
      <c r="WUR1" s="53"/>
      <c r="WUS1" s="53"/>
      <c r="WUT1" s="53"/>
      <c r="WUU1" s="53"/>
      <c r="WUV1" s="53"/>
      <c r="WUW1" s="53"/>
      <c r="WUX1" s="53"/>
      <c r="WUY1" s="53"/>
      <c r="WUZ1" s="53"/>
      <c r="WVA1" s="53"/>
      <c r="WVB1" s="53"/>
      <c r="WVC1" s="53"/>
      <c r="WVD1" s="53"/>
      <c r="WVE1" s="53"/>
      <c r="WVF1" s="53"/>
      <c r="WVG1" s="53"/>
      <c r="WVH1" s="53"/>
      <c r="WVI1" s="53"/>
      <c r="WVJ1" s="53"/>
      <c r="WVK1" s="53"/>
      <c r="WVL1" s="53"/>
      <c r="WVM1" s="53"/>
      <c r="WVN1" s="53"/>
      <c r="WVO1" s="53"/>
      <c r="WVP1" s="53"/>
      <c r="WVQ1" s="53"/>
      <c r="WVR1" s="53"/>
      <c r="WVS1" s="53"/>
      <c r="WVT1" s="53"/>
      <c r="WVU1" s="53"/>
      <c r="WVV1" s="53"/>
      <c r="WVW1" s="53"/>
      <c r="WVX1" s="53"/>
      <c r="WVY1" s="53"/>
      <c r="WVZ1" s="53"/>
      <c r="WWA1" s="53"/>
      <c r="WWB1" s="53"/>
      <c r="WWC1" s="53"/>
      <c r="WWD1" s="53"/>
      <c r="WWE1" s="53"/>
      <c r="WWF1" s="53"/>
      <c r="WWG1" s="53"/>
      <c r="WWH1" s="53"/>
      <c r="WWI1" s="53"/>
      <c r="WWJ1" s="53"/>
      <c r="WWK1" s="53"/>
      <c r="WWL1" s="53"/>
      <c r="WWM1" s="53"/>
      <c r="WWN1" s="53"/>
      <c r="WWO1" s="53"/>
      <c r="WWP1" s="53"/>
      <c r="WWQ1" s="53"/>
      <c r="WWR1" s="53"/>
      <c r="WWS1" s="53"/>
      <c r="WWT1" s="53"/>
      <c r="WWU1" s="53"/>
      <c r="WWV1" s="53"/>
      <c r="WWW1" s="53"/>
      <c r="WWX1" s="53"/>
      <c r="WWY1" s="53"/>
      <c r="WWZ1" s="53"/>
      <c r="WXA1" s="53"/>
      <c r="WXB1" s="53"/>
      <c r="WXC1" s="53"/>
      <c r="WXD1" s="53"/>
      <c r="WXE1" s="53"/>
      <c r="WXF1" s="53"/>
      <c r="WXG1" s="53"/>
      <c r="WXH1" s="53"/>
      <c r="WXI1" s="53"/>
      <c r="WXJ1" s="53"/>
      <c r="WXK1" s="53"/>
      <c r="WXL1" s="53"/>
      <c r="WXM1" s="53"/>
      <c r="WXN1" s="53"/>
      <c r="WXO1" s="53"/>
      <c r="WXP1" s="53"/>
      <c r="WXQ1" s="53"/>
      <c r="WXR1" s="53"/>
      <c r="WXS1" s="53"/>
      <c r="WXT1" s="53"/>
      <c r="WXU1" s="53"/>
      <c r="WXV1" s="53"/>
      <c r="WXW1" s="53"/>
      <c r="WXX1" s="53"/>
      <c r="WXY1" s="53"/>
      <c r="WXZ1" s="53"/>
      <c r="WYA1" s="53"/>
      <c r="WYB1" s="53"/>
      <c r="WYC1" s="53"/>
      <c r="WYD1" s="53"/>
      <c r="WYE1" s="53"/>
      <c r="WYF1" s="53"/>
      <c r="WYG1" s="53"/>
      <c r="WYH1" s="53"/>
      <c r="WYI1" s="53"/>
      <c r="WYJ1" s="53"/>
      <c r="WYK1" s="53"/>
      <c r="WYL1" s="53"/>
      <c r="WYM1" s="53"/>
      <c r="WYN1" s="53"/>
      <c r="WYO1" s="53"/>
      <c r="WYP1" s="53"/>
      <c r="WYQ1" s="53"/>
      <c r="WYR1" s="53"/>
      <c r="WYS1" s="53"/>
      <c r="WYT1" s="53"/>
      <c r="WYU1" s="53"/>
      <c r="WYV1" s="53"/>
      <c r="WYW1" s="53"/>
      <c r="WYX1" s="53"/>
      <c r="WYY1" s="53"/>
      <c r="WYZ1" s="53"/>
      <c r="WZA1" s="53"/>
      <c r="WZB1" s="53"/>
      <c r="WZC1" s="53"/>
      <c r="WZD1" s="53"/>
      <c r="WZE1" s="53"/>
      <c r="WZF1" s="53"/>
      <c r="WZG1" s="53"/>
      <c r="WZH1" s="53"/>
      <c r="WZI1" s="53"/>
      <c r="WZJ1" s="53"/>
      <c r="WZK1" s="53"/>
      <c r="WZL1" s="53"/>
      <c r="WZM1" s="53"/>
      <c r="WZN1" s="53"/>
      <c r="WZO1" s="53"/>
      <c r="WZP1" s="53"/>
      <c r="WZQ1" s="53"/>
      <c r="WZR1" s="53"/>
      <c r="WZS1" s="53"/>
      <c r="WZT1" s="53"/>
      <c r="WZU1" s="53"/>
      <c r="WZV1" s="53"/>
      <c r="WZW1" s="53"/>
      <c r="WZX1" s="53"/>
      <c r="WZY1" s="53"/>
      <c r="WZZ1" s="53"/>
      <c r="XAA1" s="53"/>
      <c r="XAB1" s="53"/>
      <c r="XAC1" s="53"/>
      <c r="XAD1" s="53"/>
      <c r="XAE1" s="53"/>
      <c r="XAF1" s="53"/>
      <c r="XAG1" s="53"/>
      <c r="XAH1" s="53"/>
      <c r="XAI1" s="53"/>
      <c r="XAJ1" s="53"/>
      <c r="XAK1" s="53"/>
      <c r="XAL1" s="53"/>
      <c r="XAM1" s="53"/>
      <c r="XAN1" s="53"/>
      <c r="XAO1" s="53"/>
      <c r="XAP1" s="53"/>
      <c r="XAQ1" s="53"/>
      <c r="XAR1" s="53"/>
      <c r="XAS1" s="53"/>
      <c r="XAT1" s="53"/>
      <c r="XAU1" s="53"/>
      <c r="XAV1" s="53"/>
      <c r="XAW1" s="53"/>
      <c r="XAX1" s="53"/>
      <c r="XAY1" s="53"/>
      <c r="XAZ1" s="53"/>
      <c r="XBA1" s="53"/>
      <c r="XBB1" s="53"/>
      <c r="XBC1" s="53"/>
      <c r="XBD1" s="53"/>
      <c r="XBE1" s="53"/>
      <c r="XBF1" s="53"/>
      <c r="XBG1" s="53"/>
      <c r="XBH1" s="53"/>
      <c r="XBI1" s="53"/>
      <c r="XBJ1" s="53"/>
      <c r="XBK1" s="53"/>
      <c r="XBL1" s="53"/>
      <c r="XBM1" s="53"/>
      <c r="XBN1" s="53"/>
      <c r="XBO1" s="53"/>
      <c r="XBP1" s="53"/>
      <c r="XBQ1" s="53"/>
      <c r="XBR1" s="53"/>
      <c r="XBS1" s="53"/>
      <c r="XBT1" s="53"/>
      <c r="XBU1" s="53"/>
      <c r="XBV1" s="53"/>
      <c r="XBW1" s="53"/>
      <c r="XBX1" s="53"/>
      <c r="XBY1" s="53"/>
      <c r="XBZ1" s="53"/>
      <c r="XCA1" s="53"/>
      <c r="XCB1" s="53"/>
      <c r="XCC1" s="53"/>
      <c r="XCD1" s="53"/>
      <c r="XCE1" s="53"/>
      <c r="XCF1" s="53"/>
      <c r="XCG1" s="53"/>
      <c r="XCH1" s="53"/>
      <c r="XCI1" s="53"/>
      <c r="XCJ1" s="53"/>
      <c r="XCK1" s="53"/>
      <c r="XCL1" s="53"/>
      <c r="XCM1" s="53"/>
      <c r="XCN1" s="53"/>
      <c r="XCO1" s="53"/>
      <c r="XCP1" s="53"/>
      <c r="XCQ1" s="53"/>
      <c r="XCR1" s="53"/>
      <c r="XCS1" s="53"/>
      <c r="XCT1" s="53"/>
      <c r="XCU1" s="53"/>
      <c r="XCV1" s="53"/>
      <c r="XCW1" s="53"/>
      <c r="XCX1" s="53"/>
      <c r="XCY1" s="53"/>
      <c r="XCZ1" s="53"/>
      <c r="XDA1" s="53"/>
      <c r="XDB1" s="53"/>
      <c r="XDC1" s="53"/>
      <c r="XDD1" s="53"/>
      <c r="XDE1" s="53"/>
      <c r="XDF1" s="53"/>
      <c r="XDG1" s="53"/>
      <c r="XDH1" s="53"/>
      <c r="XDI1" s="53"/>
      <c r="XDJ1" s="53"/>
      <c r="XDK1" s="53"/>
      <c r="XDL1" s="53"/>
      <c r="XDM1" s="53"/>
      <c r="XDN1" s="53"/>
      <c r="XDO1" s="53"/>
      <c r="XDP1" s="53"/>
      <c r="XDQ1" s="53"/>
      <c r="XDR1" s="53"/>
      <c r="XDS1" s="53"/>
      <c r="XDT1" s="53"/>
      <c r="XDU1" s="53"/>
      <c r="XDV1" s="53"/>
      <c r="XDW1" s="53"/>
      <c r="XDX1" s="53"/>
      <c r="XDY1" s="53"/>
      <c r="XDZ1" s="53"/>
      <c r="XEA1" s="53"/>
      <c r="XEB1" s="53"/>
      <c r="XEC1" s="53"/>
      <c r="XED1" s="53"/>
      <c r="XEE1" s="53"/>
      <c r="XEF1" s="53"/>
      <c r="XEG1" s="53"/>
      <c r="XEH1" s="53"/>
      <c r="XEI1" s="53"/>
      <c r="XEJ1" s="53"/>
      <c r="XEK1" s="53"/>
      <c r="XEL1" s="53"/>
      <c r="XEM1" s="53"/>
      <c r="XEN1" s="53"/>
      <c r="XEO1" s="53"/>
      <c r="XEP1" s="53"/>
      <c r="XEQ1" s="53"/>
      <c r="XER1" s="53"/>
      <c r="XES1" s="53"/>
      <c r="XET1" s="53"/>
      <c r="XEU1" s="53"/>
      <c r="XEV1" s="53"/>
      <c r="XEW1" s="53"/>
      <c r="XEX1" s="53"/>
      <c r="XEY1" s="53"/>
      <c r="XEZ1" s="53"/>
      <c r="XFA1" s="53"/>
      <c r="XFB1" s="53"/>
      <c r="XFC1" s="53"/>
      <c r="XFD1" s="53"/>
    </row>
    <row r="2" spans="1:16384" x14ac:dyDescent="0.35">
      <c r="H2" s="3"/>
    </row>
    <row r="3" spans="1:16384" ht="15" customHeight="1" x14ac:dyDescent="0.35">
      <c r="C3" s="34" t="s">
        <v>1619</v>
      </c>
      <c r="D3" s="16"/>
      <c r="H3" s="3"/>
    </row>
    <row r="4" spans="1:16384" ht="15" customHeight="1" x14ac:dyDescent="0.35">
      <c r="C4" s="35" t="s">
        <v>1676</v>
      </c>
      <c r="H4" s="3"/>
    </row>
    <row r="5" spans="1:16384" x14ac:dyDescent="0.35">
      <c r="H5" s="3"/>
    </row>
    <row r="6" spans="1:16384" x14ac:dyDescent="0.35">
      <c r="H6" s="3"/>
    </row>
    <row r="7" spans="1:16384" x14ac:dyDescent="0.35">
      <c r="J7" s="3" t="s">
        <v>1575</v>
      </c>
    </row>
    <row r="8" spans="1:16384" ht="21" x14ac:dyDescent="0.35">
      <c r="H8" s="47"/>
      <c r="J8" s="3" t="s">
        <v>1575</v>
      </c>
    </row>
    <row r="9" spans="1:16384" x14ac:dyDescent="0.35">
      <c r="H9" s="3"/>
    </row>
    <row r="10" spans="1:16384" x14ac:dyDescent="0.35">
      <c r="H10" s="3"/>
    </row>
    <row r="11" spans="1:16384" x14ac:dyDescent="0.35">
      <c r="H11" s="3"/>
    </row>
    <row r="12" spans="1:16384" ht="15" customHeight="1" x14ac:dyDescent="0.35">
      <c r="A12" s="40"/>
      <c r="B12" s="41"/>
      <c r="C12" s="41"/>
      <c r="D12" s="41"/>
      <c r="E12" s="41"/>
      <c r="F12" s="41"/>
      <c r="G12" s="17"/>
      <c r="H12" s="3"/>
    </row>
    <row r="13" spans="1:16384" x14ac:dyDescent="0.35">
      <c r="G13" s="17"/>
      <c r="W13" s="17"/>
    </row>
    <row r="14" spans="1:16384" ht="23.5" x14ac:dyDescent="0.45">
      <c r="A14" s="15"/>
      <c r="G14" s="17"/>
      <c r="V14" s="17"/>
      <c r="W14" s="42"/>
    </row>
    <row r="15" spans="1:16384" x14ac:dyDescent="0.35">
      <c r="G15" s="17"/>
    </row>
    <row r="16" spans="1:16384" x14ac:dyDescent="0.35">
      <c r="G16" s="17"/>
      <c r="K16" s="68"/>
      <c r="L16" s="68"/>
      <c r="M16" s="68"/>
    </row>
    <row r="17" spans="1:16" x14ac:dyDescent="0.35">
      <c r="G17" s="17"/>
      <c r="K17" s="68"/>
      <c r="L17" s="68"/>
      <c r="M17" s="68"/>
    </row>
    <row r="18" spans="1:16" x14ac:dyDescent="0.35">
      <c r="G18" s="17"/>
      <c r="K18" s="68"/>
      <c r="L18" s="68"/>
      <c r="M18" s="68"/>
    </row>
    <row r="19" spans="1:16" x14ac:dyDescent="0.35">
      <c r="G19" s="17"/>
      <c r="K19" s="68"/>
      <c r="L19" s="68"/>
      <c r="M19" s="68"/>
    </row>
    <row r="20" spans="1:16" x14ac:dyDescent="0.35">
      <c r="G20" s="17"/>
      <c r="K20" s="68"/>
      <c r="L20" s="68"/>
      <c r="M20" s="68"/>
    </row>
    <row r="21" spans="1:16" x14ac:dyDescent="0.35">
      <c r="G21" s="17"/>
      <c r="K21" s="68"/>
      <c r="L21" s="68"/>
      <c r="M21" s="68"/>
    </row>
    <row r="22" spans="1:16" x14ac:dyDescent="0.35">
      <c r="G22" s="17"/>
      <c r="K22" s="68"/>
      <c r="L22" s="68"/>
      <c r="M22" s="68"/>
    </row>
    <row r="23" spans="1:16" x14ac:dyDescent="0.35">
      <c r="G23" s="17" t="s">
        <v>2822</v>
      </c>
      <c r="K23" s="68"/>
      <c r="L23" s="68"/>
      <c r="M23" s="68"/>
    </row>
    <row r="24" spans="1:16" ht="18.5" x14ac:dyDescent="0.45">
      <c r="A24" s="15"/>
      <c r="G24" s="17"/>
      <c r="K24" s="68"/>
      <c r="L24" s="68"/>
      <c r="M24" s="68"/>
    </row>
    <row r="25" spans="1:16" x14ac:dyDescent="0.35">
      <c r="G25" s="17"/>
      <c r="K25" s="68"/>
      <c r="L25" s="68"/>
      <c r="M25" s="68"/>
    </row>
    <row r="26" spans="1:16" x14ac:dyDescent="0.35">
      <c r="G26" s="17"/>
      <c r="K26" s="68"/>
      <c r="L26" s="68"/>
      <c r="M26" s="68"/>
    </row>
    <row r="27" spans="1:16" x14ac:dyDescent="0.35">
      <c r="G27" s="17"/>
      <c r="K27" s="68"/>
      <c r="L27" s="68"/>
      <c r="M27" s="68"/>
    </row>
    <row r="28" spans="1:16" x14ac:dyDescent="0.35">
      <c r="G28" s="17"/>
    </row>
    <row r="29" spans="1:16" x14ac:dyDescent="0.35">
      <c r="G29" s="17"/>
    </row>
    <row r="30" spans="1:16" s="44" customFormat="1" ht="30" customHeight="1" x14ac:dyDescent="0.35">
      <c r="A30" s="46" t="s">
        <v>1926</v>
      </c>
      <c r="B30" s="43"/>
      <c r="C30" s="43"/>
      <c r="H30" s="45"/>
    </row>
    <row r="31" spans="1:16" ht="15" customHeight="1" x14ac:dyDescent="0.45">
      <c r="A31" s="15"/>
      <c r="G31" s="17"/>
    </row>
    <row r="32" spans="1:16" ht="15.5" x14ac:dyDescent="0.35">
      <c r="G32" s="17"/>
      <c r="O32" s="34" t="s">
        <v>1620</v>
      </c>
      <c r="P32" s="16" t="s">
        <v>808</v>
      </c>
    </row>
    <row r="33" spans="7:18" x14ac:dyDescent="0.35">
      <c r="G33" s="17"/>
    </row>
    <row r="34" spans="7:18" ht="15.5" x14ac:dyDescent="0.35">
      <c r="G34" s="17"/>
      <c r="O34" s="35" t="s">
        <v>2967</v>
      </c>
      <c r="R34" s="3" t="s">
        <v>2971</v>
      </c>
    </row>
    <row r="35" spans="7:18" x14ac:dyDescent="0.35">
      <c r="G35" s="17"/>
    </row>
    <row r="36" spans="7:18" x14ac:dyDescent="0.35">
      <c r="G36" s="17"/>
    </row>
    <row r="37" spans="7:18" x14ac:dyDescent="0.35">
      <c r="G37" s="17"/>
    </row>
    <row r="38" spans="7:18" x14ac:dyDescent="0.35">
      <c r="G38" s="17"/>
    </row>
    <row r="39" spans="7:18" x14ac:dyDescent="0.35">
      <c r="G39" s="17"/>
    </row>
  </sheetData>
  <customSheetViews>
    <customSheetView guid="{78C5045A-3FD3-4C60-B2E3-9FBBF1337D5C}" topLeftCell="A7">
      <selection activeCell="E11" sqref="E11"/>
      <pageMargins left="0.7" right="0.7" top="0.75" bottom="0.75" header="0.3" footer="0.3"/>
      <pageSetup paperSize="9" orientation="portrait" r:id="rId1"/>
    </customSheetView>
  </customSheetViews>
  <pageMargins left="0.7" right="0.7" top="0.75" bottom="0.75" header="0.3" footer="0.3"/>
  <pageSetup paperSize="9" orientation="portrait" r:id="rId2"/>
  <drawing r:id="rId3"/>
  <legacyDrawing r:id="rId4"/>
  <controls>
    <mc:AlternateContent xmlns:mc="http://schemas.openxmlformats.org/markup-compatibility/2006">
      <mc:Choice Requires="x14">
        <control shapeId="214017" r:id="rId5" name="ListBox_module_selection">
          <controlPr defaultSize="0" autoFill="0" autoLine="0" r:id="rId6">
            <anchor>
              <from>
                <xdr:col>9</xdr:col>
                <xdr:colOff>584200</xdr:colOff>
                <xdr:row>14</xdr:row>
                <xdr:rowOff>146050</xdr:rowOff>
              </from>
              <to>
                <xdr:col>13</xdr:col>
                <xdr:colOff>133350</xdr:colOff>
                <xdr:row>28</xdr:row>
                <xdr:rowOff>6350</xdr:rowOff>
              </to>
            </anchor>
          </controlPr>
        </control>
      </mc:Choice>
      <mc:Fallback>
        <control shapeId="214017" r:id="rId5" name="ListBox_module_selec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sheetPr>
  <dimension ref="A1:O189"/>
  <sheetViews>
    <sheetView zoomScaleNormal="100" workbookViewId="0">
      <pane ySplit="2" topLeftCell="A3" activePane="bottomLeft" state="frozen"/>
      <selection activeCell="G1048559" sqref="G1048559"/>
      <selection pane="bottomLeft" activeCell="J2" sqref="J2:N2"/>
    </sheetView>
  </sheetViews>
  <sheetFormatPr defaultColWidth="9.1796875" defaultRowHeight="14.5" x14ac:dyDescent="0.35"/>
  <cols>
    <col min="1" max="1" width="22.81640625" style="17" customWidth="1"/>
    <col min="2" max="2" width="1.1796875" style="37" customWidth="1"/>
    <col min="3" max="3" width="22.81640625" style="17" customWidth="1"/>
    <col min="4" max="4" width="1.1796875" style="37" customWidth="1"/>
    <col min="5" max="8" width="22.81640625" style="17" customWidth="1"/>
    <col min="9" max="9" width="1.1796875" style="37" customWidth="1"/>
    <col min="10" max="10" width="22.81640625" style="17" customWidth="1"/>
    <col min="11" max="11" width="1.1796875" style="37" customWidth="1"/>
    <col min="12" max="12" width="22.81640625" style="17" customWidth="1"/>
    <col min="13" max="13" width="1.1796875" style="37" customWidth="1"/>
    <col min="14" max="14" width="22.81640625" style="17" customWidth="1"/>
    <col min="15" max="15" width="1.1796875" style="37" customWidth="1"/>
    <col min="16" max="16384" width="9.1796875" style="17"/>
  </cols>
  <sheetData>
    <row r="1" spans="3:14" ht="82.5" customHeight="1" x14ac:dyDescent="0.35">
      <c r="E1" s="27"/>
      <c r="F1" s="27"/>
      <c r="G1" s="27"/>
      <c r="H1" s="27"/>
    </row>
    <row r="2" spans="3:14" x14ac:dyDescent="0.35">
      <c r="C2" s="18"/>
      <c r="E2" s="29" t="s">
        <v>1723</v>
      </c>
      <c r="F2" s="29" t="s">
        <v>1613</v>
      </c>
      <c r="G2" s="29" t="s">
        <v>1724</v>
      </c>
      <c r="H2" s="29" t="s">
        <v>1722</v>
      </c>
      <c r="J2" s="18"/>
      <c r="K2" s="38"/>
      <c r="L2" s="18"/>
    </row>
    <row r="3" spans="3:14" x14ac:dyDescent="0.35">
      <c r="E3" s="18"/>
      <c r="F3" s="18"/>
      <c r="G3" s="18"/>
      <c r="H3" s="18"/>
      <c r="J3" s="19"/>
      <c r="K3" s="39"/>
      <c r="L3" s="19"/>
      <c r="N3" s="18"/>
    </row>
    <row r="4" spans="3:14" x14ac:dyDescent="0.35">
      <c r="E4" s="18"/>
      <c r="F4" s="18"/>
      <c r="G4" s="18"/>
      <c r="H4" s="18"/>
      <c r="K4" s="39"/>
      <c r="N4" s="19"/>
    </row>
    <row r="5" spans="3:14" x14ac:dyDescent="0.35">
      <c r="E5" s="18"/>
      <c r="F5" s="18"/>
      <c r="G5" s="19"/>
      <c r="H5" s="18"/>
      <c r="K5" s="39"/>
    </row>
    <row r="6" spans="3:14" x14ac:dyDescent="0.35">
      <c r="E6" s="18"/>
      <c r="G6" s="19"/>
    </row>
    <row r="7" spans="3:14" x14ac:dyDescent="0.35">
      <c r="E7" s="18"/>
    </row>
    <row r="8" spans="3:14" x14ac:dyDescent="0.35">
      <c r="E8" s="18"/>
    </row>
    <row r="9" spans="3:14" x14ac:dyDescent="0.35">
      <c r="C9" s="19"/>
      <c r="E9" s="18"/>
    </row>
    <row r="10" spans="3:14" x14ac:dyDescent="0.35">
      <c r="E10" s="18"/>
    </row>
    <row r="11" spans="3:14" x14ac:dyDescent="0.35">
      <c r="E11" s="18"/>
    </row>
    <row r="12" spans="3:14" x14ac:dyDescent="0.35">
      <c r="E12" s="18"/>
    </row>
    <row r="13" spans="3:14" x14ac:dyDescent="0.35">
      <c r="E13" s="18"/>
    </row>
    <row r="14" spans="3:14" x14ac:dyDescent="0.35">
      <c r="E14" s="18"/>
    </row>
    <row r="15" spans="3:14" x14ac:dyDescent="0.35">
      <c r="E15" s="18"/>
    </row>
    <row r="16" spans="3:14" x14ac:dyDescent="0.35">
      <c r="E16" s="18"/>
    </row>
    <row r="17" spans="1:15" x14ac:dyDescent="0.35">
      <c r="E17" s="18"/>
    </row>
    <row r="18" spans="1:15" x14ac:dyDescent="0.35">
      <c r="E18" s="18"/>
    </row>
    <row r="19" spans="1:15" x14ac:dyDescent="0.35">
      <c r="E19" s="18"/>
    </row>
    <row r="20" spans="1:15" x14ac:dyDescent="0.35">
      <c r="E20" s="18"/>
      <c r="O20" s="39"/>
    </row>
    <row r="21" spans="1:15" x14ac:dyDescent="0.35">
      <c r="A21" s="61"/>
      <c r="E21" s="18"/>
      <c r="N21" s="28"/>
    </row>
    <row r="22" spans="1:15" x14ac:dyDescent="0.35">
      <c r="E22" s="18"/>
    </row>
    <row r="23" spans="1:15" x14ac:dyDescent="0.35">
      <c r="E23" s="18"/>
    </row>
    <row r="24" spans="1:15" x14ac:dyDescent="0.35">
      <c r="E24" s="18"/>
    </row>
    <row r="25" spans="1:15" x14ac:dyDescent="0.35">
      <c r="E25" s="18"/>
    </row>
    <row r="26" spans="1:15" x14ac:dyDescent="0.35">
      <c r="E26" s="18"/>
    </row>
    <row r="27" spans="1:15" x14ac:dyDescent="0.35">
      <c r="E27" s="18"/>
    </row>
    <row r="28" spans="1:15" x14ac:dyDescent="0.35">
      <c r="E28" s="18"/>
    </row>
    <row r="29" spans="1:15" x14ac:dyDescent="0.35">
      <c r="E29" s="18"/>
    </row>
    <row r="30" spans="1:15" x14ac:dyDescent="0.35">
      <c r="E30" s="18"/>
    </row>
    <row r="31" spans="1:15" x14ac:dyDescent="0.35">
      <c r="E31" s="18"/>
    </row>
    <row r="32" spans="1:15" x14ac:dyDescent="0.35">
      <c r="E32" s="18"/>
    </row>
    <row r="33" spans="5:5" x14ac:dyDescent="0.35">
      <c r="E33" s="18"/>
    </row>
    <row r="34" spans="5:5" x14ac:dyDescent="0.35">
      <c r="E34" s="18"/>
    </row>
    <row r="35" spans="5:5" x14ac:dyDescent="0.35">
      <c r="E35" s="18"/>
    </row>
    <row r="36" spans="5:5" x14ac:dyDescent="0.35">
      <c r="E36" s="18"/>
    </row>
    <row r="37" spans="5:5" x14ac:dyDescent="0.35">
      <c r="E37" s="18"/>
    </row>
    <row r="38" spans="5:5" x14ac:dyDescent="0.35">
      <c r="E38" s="18"/>
    </row>
    <row r="39" spans="5:5" x14ac:dyDescent="0.35">
      <c r="E39" s="18"/>
    </row>
    <row r="40" spans="5:5" x14ac:dyDescent="0.35">
      <c r="E40" s="18"/>
    </row>
    <row r="41" spans="5:5" x14ac:dyDescent="0.35">
      <c r="E41" s="18"/>
    </row>
    <row r="42" spans="5:5" x14ac:dyDescent="0.35">
      <c r="E42" s="18"/>
    </row>
    <row r="43" spans="5:5" x14ac:dyDescent="0.35">
      <c r="E43" s="18"/>
    </row>
    <row r="44" spans="5:5" x14ac:dyDescent="0.35">
      <c r="E44" s="18"/>
    </row>
    <row r="45" spans="5:5" x14ac:dyDescent="0.35">
      <c r="E45" s="18"/>
    </row>
    <row r="46" spans="5:5" x14ac:dyDescent="0.35">
      <c r="E46" s="18"/>
    </row>
    <row r="47" spans="5:5" x14ac:dyDescent="0.35">
      <c r="E47" s="18"/>
    </row>
    <row r="48" spans="5:5" x14ac:dyDescent="0.35">
      <c r="E48" s="18"/>
    </row>
    <row r="49" spans="5:5" x14ac:dyDescent="0.35">
      <c r="E49" s="18"/>
    </row>
    <row r="50" spans="5:5" x14ac:dyDescent="0.35">
      <c r="E50" s="18"/>
    </row>
    <row r="51" spans="5:5" x14ac:dyDescent="0.35">
      <c r="E51" s="18"/>
    </row>
    <row r="52" spans="5:5" x14ac:dyDescent="0.35">
      <c r="E52" s="18"/>
    </row>
    <row r="53" spans="5:5" x14ac:dyDescent="0.35">
      <c r="E53" s="18"/>
    </row>
    <row r="54" spans="5:5" x14ac:dyDescent="0.35">
      <c r="E54" s="18"/>
    </row>
    <row r="55" spans="5:5" x14ac:dyDescent="0.35">
      <c r="E55" s="18"/>
    </row>
    <row r="56" spans="5:5" x14ac:dyDescent="0.35">
      <c r="E56" s="18"/>
    </row>
    <row r="57" spans="5:5" x14ac:dyDescent="0.35">
      <c r="E57" s="18"/>
    </row>
    <row r="58" spans="5:5" x14ac:dyDescent="0.35">
      <c r="E58" s="18"/>
    </row>
    <row r="59" spans="5:5" x14ac:dyDescent="0.35">
      <c r="E59" s="18"/>
    </row>
    <row r="60" spans="5:5" x14ac:dyDescent="0.35">
      <c r="E60" s="18"/>
    </row>
    <row r="61" spans="5:5" x14ac:dyDescent="0.35">
      <c r="E61" s="18"/>
    </row>
    <row r="62" spans="5:5" x14ac:dyDescent="0.35">
      <c r="E62" s="18"/>
    </row>
    <row r="63" spans="5:5" x14ac:dyDescent="0.35">
      <c r="E63" s="18"/>
    </row>
    <row r="64" spans="5:5" x14ac:dyDescent="0.35">
      <c r="E64" s="18"/>
    </row>
    <row r="65" spans="5:11" x14ac:dyDescent="0.35">
      <c r="E65" s="18"/>
    </row>
    <row r="66" spans="5:11" x14ac:dyDescent="0.35">
      <c r="E66" s="18"/>
    </row>
    <row r="67" spans="5:11" x14ac:dyDescent="0.35">
      <c r="E67" s="18"/>
    </row>
    <row r="68" spans="5:11" x14ac:dyDescent="0.35">
      <c r="E68" s="18"/>
    </row>
    <row r="69" spans="5:11" x14ac:dyDescent="0.35">
      <c r="E69" s="18"/>
    </row>
    <row r="70" spans="5:11" x14ac:dyDescent="0.35">
      <c r="E70" s="18"/>
    </row>
    <row r="71" spans="5:11" x14ac:dyDescent="0.35">
      <c r="E71" s="18"/>
    </row>
    <row r="72" spans="5:11" x14ac:dyDescent="0.35">
      <c r="E72" s="18"/>
      <c r="F72" s="30"/>
      <c r="H72" s="30"/>
    </row>
    <row r="73" spans="5:11" x14ac:dyDescent="0.35">
      <c r="E73" s="18"/>
    </row>
    <row r="74" spans="5:11" x14ac:dyDescent="0.35">
      <c r="E74" s="18"/>
    </row>
    <row r="75" spans="5:11" x14ac:dyDescent="0.35">
      <c r="E75" s="18"/>
    </row>
    <row r="76" spans="5:11" x14ac:dyDescent="0.35">
      <c r="E76" s="18"/>
    </row>
    <row r="77" spans="5:11" x14ac:dyDescent="0.35">
      <c r="E77" s="18"/>
      <c r="F77" s="18"/>
      <c r="G77" s="18"/>
      <c r="H77" s="18"/>
    </row>
    <row r="79" spans="5:11" x14ac:dyDescent="0.35">
      <c r="K79" s="39"/>
    </row>
    <row r="83" spans="14:14" x14ac:dyDescent="0.35">
      <c r="N83" s="18"/>
    </row>
    <row r="84" spans="14:14" x14ac:dyDescent="0.35">
      <c r="N84" s="18"/>
    </row>
    <row r="85" spans="14:14" x14ac:dyDescent="0.35">
      <c r="N85" s="18"/>
    </row>
    <row r="86" spans="14:14" x14ac:dyDescent="0.35">
      <c r="N86" s="18"/>
    </row>
    <row r="87" spans="14:14" x14ac:dyDescent="0.35">
      <c r="N87" s="18"/>
    </row>
    <row r="88" spans="14:14" x14ac:dyDescent="0.35">
      <c r="N88" s="18"/>
    </row>
    <row r="89" spans="14:14" x14ac:dyDescent="0.35">
      <c r="N89" s="18"/>
    </row>
    <row r="118" spans="5:8" x14ac:dyDescent="0.35">
      <c r="E118" s="18"/>
      <c r="F118" s="18"/>
      <c r="G118" s="18"/>
      <c r="H118" s="18"/>
    </row>
    <row r="119" spans="5:8" x14ac:dyDescent="0.35">
      <c r="E119" s="18"/>
      <c r="F119" s="18"/>
      <c r="G119" s="18"/>
      <c r="H119" s="18"/>
    </row>
    <row r="120" spans="5:8" x14ac:dyDescent="0.35">
      <c r="E120" s="18"/>
      <c r="F120" s="18"/>
      <c r="G120" s="18"/>
      <c r="H120" s="18"/>
    </row>
    <row r="121" spans="5:8" x14ac:dyDescent="0.35">
      <c r="E121" s="18"/>
      <c r="F121" s="18"/>
      <c r="G121" s="18"/>
      <c r="H121" s="18"/>
    </row>
    <row r="122" spans="5:8" x14ac:dyDescent="0.35">
      <c r="E122" s="18"/>
      <c r="F122" s="18"/>
      <c r="G122" s="18"/>
      <c r="H122" s="18"/>
    </row>
    <row r="123" spans="5:8" x14ac:dyDescent="0.35">
      <c r="E123" s="18"/>
      <c r="F123" s="18"/>
      <c r="G123" s="18"/>
      <c r="H123" s="18"/>
    </row>
    <row r="124" spans="5:8" x14ac:dyDescent="0.35">
      <c r="E124" s="18"/>
      <c r="F124" s="18"/>
      <c r="G124" s="18"/>
      <c r="H124" s="18"/>
    </row>
    <row r="125" spans="5:8" x14ac:dyDescent="0.35">
      <c r="E125" s="18"/>
      <c r="F125" s="18"/>
      <c r="G125" s="18"/>
      <c r="H125" s="18"/>
    </row>
    <row r="126" spans="5:8" x14ac:dyDescent="0.35">
      <c r="E126" s="18"/>
      <c r="F126" s="18"/>
      <c r="G126" s="18"/>
      <c r="H126" s="18"/>
    </row>
    <row r="127" spans="5:8" x14ac:dyDescent="0.35">
      <c r="E127" s="18"/>
      <c r="F127" s="18"/>
      <c r="G127" s="18"/>
      <c r="H127" s="18"/>
    </row>
    <row r="128" spans="5:8" x14ac:dyDescent="0.35">
      <c r="E128" s="18"/>
      <c r="F128" s="18"/>
      <c r="G128" s="18"/>
      <c r="H128" s="18"/>
    </row>
    <row r="129" spans="5:8" x14ac:dyDescent="0.35">
      <c r="E129" s="18"/>
      <c r="F129" s="18"/>
      <c r="G129" s="18"/>
      <c r="H129" s="18"/>
    </row>
    <row r="130" spans="5:8" x14ac:dyDescent="0.35">
      <c r="E130" s="18"/>
      <c r="F130" s="18"/>
      <c r="G130" s="18"/>
      <c r="H130" s="18"/>
    </row>
    <row r="131" spans="5:8" x14ac:dyDescent="0.35">
      <c r="E131" s="18"/>
      <c r="F131" s="18"/>
      <c r="G131" s="18"/>
      <c r="H131" s="18"/>
    </row>
    <row r="132" spans="5:8" x14ac:dyDescent="0.35">
      <c r="E132" s="18"/>
      <c r="F132" s="18"/>
      <c r="G132" s="18"/>
      <c r="H132" s="18"/>
    </row>
    <row r="133" spans="5:8" x14ac:dyDescent="0.35">
      <c r="E133" s="18"/>
      <c r="F133" s="18"/>
      <c r="G133" s="18"/>
      <c r="H133" s="18"/>
    </row>
    <row r="134" spans="5:8" x14ac:dyDescent="0.35">
      <c r="E134" s="18"/>
      <c r="F134" s="18"/>
      <c r="G134" s="18"/>
      <c r="H134" s="18"/>
    </row>
    <row r="135" spans="5:8" x14ac:dyDescent="0.35">
      <c r="E135" s="18"/>
      <c r="F135" s="18"/>
      <c r="G135" s="18"/>
      <c r="H135" s="18"/>
    </row>
    <row r="136" spans="5:8" x14ac:dyDescent="0.35">
      <c r="E136" s="18"/>
      <c r="F136" s="18"/>
      <c r="G136" s="18"/>
      <c r="H136" s="18"/>
    </row>
    <row r="137" spans="5:8" x14ac:dyDescent="0.35">
      <c r="E137" s="18"/>
      <c r="F137" s="18"/>
      <c r="G137" s="18"/>
      <c r="H137" s="18"/>
    </row>
    <row r="138" spans="5:8" x14ac:dyDescent="0.35">
      <c r="E138" s="18"/>
      <c r="F138" s="18"/>
      <c r="G138" s="18"/>
      <c r="H138" s="18"/>
    </row>
    <row r="139" spans="5:8" x14ac:dyDescent="0.35">
      <c r="E139" s="18"/>
      <c r="F139" s="18"/>
      <c r="G139" s="18"/>
      <c r="H139" s="18"/>
    </row>
    <row r="140" spans="5:8" x14ac:dyDescent="0.35">
      <c r="E140" s="18"/>
      <c r="F140" s="18"/>
      <c r="G140" s="18"/>
      <c r="H140" s="18"/>
    </row>
    <row r="141" spans="5:8" x14ac:dyDescent="0.35">
      <c r="E141" s="18"/>
      <c r="F141" s="18"/>
      <c r="G141" s="18"/>
      <c r="H141" s="18"/>
    </row>
    <row r="142" spans="5:8" x14ac:dyDescent="0.35">
      <c r="E142" s="18"/>
      <c r="F142" s="18"/>
      <c r="G142" s="18"/>
      <c r="H142" s="18"/>
    </row>
    <row r="143" spans="5:8" x14ac:dyDescent="0.35">
      <c r="E143" s="18"/>
      <c r="F143" s="18"/>
      <c r="G143" s="18"/>
      <c r="H143" s="18"/>
    </row>
    <row r="144" spans="5:8" x14ac:dyDescent="0.35">
      <c r="E144" s="18"/>
      <c r="F144" s="18"/>
      <c r="G144" s="18"/>
      <c r="H144" s="18"/>
    </row>
    <row r="145" spans="5:8" x14ac:dyDescent="0.35">
      <c r="E145" s="18"/>
      <c r="F145" s="18"/>
      <c r="G145" s="18"/>
      <c r="H145" s="18"/>
    </row>
    <row r="146" spans="5:8" x14ac:dyDescent="0.35">
      <c r="E146" s="18"/>
      <c r="F146" s="18"/>
      <c r="G146" s="18"/>
      <c r="H146" s="18"/>
    </row>
    <row r="147" spans="5:8" x14ac:dyDescent="0.35">
      <c r="E147" s="18"/>
      <c r="F147" s="18"/>
      <c r="G147" s="18"/>
      <c r="H147" s="18"/>
    </row>
    <row r="148" spans="5:8" x14ac:dyDescent="0.35">
      <c r="E148" s="18"/>
      <c r="F148" s="18"/>
      <c r="G148" s="18"/>
      <c r="H148" s="18"/>
    </row>
    <row r="149" spans="5:8" x14ac:dyDescent="0.35">
      <c r="E149" s="18"/>
      <c r="F149" s="18"/>
      <c r="G149" s="18"/>
      <c r="H149" s="18"/>
    </row>
    <row r="150" spans="5:8" x14ac:dyDescent="0.35">
      <c r="E150" s="18"/>
      <c r="F150" s="18"/>
      <c r="G150" s="18"/>
      <c r="H150" s="18"/>
    </row>
    <row r="151" spans="5:8" x14ac:dyDescent="0.35">
      <c r="E151" s="18"/>
      <c r="F151" s="18"/>
      <c r="G151" s="18"/>
      <c r="H151" s="18"/>
    </row>
    <row r="152" spans="5:8" x14ac:dyDescent="0.35">
      <c r="E152" s="18"/>
      <c r="F152" s="18"/>
      <c r="G152" s="18"/>
      <c r="H152" s="18"/>
    </row>
    <row r="153" spans="5:8" x14ac:dyDescent="0.35">
      <c r="E153" s="18"/>
      <c r="F153" s="18"/>
      <c r="G153" s="18"/>
      <c r="H153" s="18"/>
    </row>
    <row r="154" spans="5:8" x14ac:dyDescent="0.35">
      <c r="E154" s="18"/>
      <c r="F154" s="18"/>
      <c r="G154" s="18"/>
      <c r="H154" s="18"/>
    </row>
    <row r="155" spans="5:8" x14ac:dyDescent="0.35">
      <c r="E155" s="18"/>
      <c r="F155" s="18"/>
      <c r="G155" s="18"/>
      <c r="H155" s="18"/>
    </row>
    <row r="156" spans="5:8" x14ac:dyDescent="0.35">
      <c r="E156" s="18"/>
      <c r="F156" s="18"/>
      <c r="G156" s="18"/>
      <c r="H156" s="18"/>
    </row>
    <row r="157" spans="5:8" x14ac:dyDescent="0.35">
      <c r="E157" s="18"/>
      <c r="F157" s="18"/>
      <c r="G157" s="18"/>
      <c r="H157" s="18"/>
    </row>
    <row r="158" spans="5:8" x14ac:dyDescent="0.35">
      <c r="E158" s="18"/>
      <c r="F158" s="18"/>
      <c r="G158" s="18"/>
      <c r="H158" s="18"/>
    </row>
    <row r="159" spans="5:8" x14ac:dyDescent="0.35">
      <c r="E159" s="18"/>
      <c r="F159" s="18"/>
      <c r="G159" s="18"/>
      <c r="H159" s="18"/>
    </row>
    <row r="160" spans="5:8" x14ac:dyDescent="0.35">
      <c r="E160" s="18"/>
      <c r="F160" s="18"/>
      <c r="G160" s="18"/>
      <c r="H160" s="18"/>
    </row>
    <row r="161" spans="5:8" x14ac:dyDescent="0.35">
      <c r="E161" s="18"/>
      <c r="F161" s="18"/>
      <c r="G161" s="18"/>
      <c r="H161" s="18"/>
    </row>
    <row r="162" spans="5:8" x14ac:dyDescent="0.35">
      <c r="E162" s="18"/>
      <c r="F162" s="18"/>
      <c r="G162" s="18"/>
      <c r="H162" s="18"/>
    </row>
    <row r="163" spans="5:8" x14ac:dyDescent="0.35">
      <c r="E163" s="18"/>
      <c r="F163" s="18"/>
      <c r="G163" s="18"/>
      <c r="H163" s="18"/>
    </row>
    <row r="164" spans="5:8" x14ac:dyDescent="0.35">
      <c r="E164" s="18"/>
      <c r="F164" s="18"/>
      <c r="G164" s="18"/>
      <c r="H164" s="18"/>
    </row>
    <row r="165" spans="5:8" x14ac:dyDescent="0.35">
      <c r="E165" s="18"/>
      <c r="F165" s="18"/>
      <c r="G165" s="18"/>
      <c r="H165" s="18"/>
    </row>
    <row r="166" spans="5:8" x14ac:dyDescent="0.35">
      <c r="E166" s="18"/>
      <c r="F166" s="18"/>
      <c r="G166" s="18"/>
      <c r="H166" s="18"/>
    </row>
    <row r="167" spans="5:8" x14ac:dyDescent="0.35">
      <c r="E167" s="18"/>
      <c r="F167" s="18"/>
      <c r="G167" s="18"/>
      <c r="H167" s="18"/>
    </row>
    <row r="168" spans="5:8" x14ac:dyDescent="0.35">
      <c r="E168" s="18"/>
      <c r="F168" s="18"/>
      <c r="G168" s="18"/>
      <c r="H168" s="18"/>
    </row>
    <row r="169" spans="5:8" x14ac:dyDescent="0.35">
      <c r="E169" s="18"/>
      <c r="F169" s="18"/>
      <c r="G169" s="18"/>
      <c r="H169" s="18"/>
    </row>
    <row r="170" spans="5:8" x14ac:dyDescent="0.35">
      <c r="E170" s="18"/>
      <c r="F170" s="18"/>
      <c r="G170" s="18"/>
      <c r="H170" s="18"/>
    </row>
    <row r="171" spans="5:8" x14ac:dyDescent="0.35">
      <c r="E171" s="18"/>
      <c r="F171" s="18"/>
      <c r="G171" s="18"/>
      <c r="H171" s="18"/>
    </row>
    <row r="172" spans="5:8" x14ac:dyDescent="0.35">
      <c r="E172" s="18"/>
      <c r="F172" s="18"/>
      <c r="G172" s="18"/>
      <c r="H172" s="18"/>
    </row>
    <row r="173" spans="5:8" x14ac:dyDescent="0.35">
      <c r="E173" s="18"/>
      <c r="F173" s="18"/>
      <c r="G173" s="18"/>
      <c r="H173" s="18"/>
    </row>
    <row r="174" spans="5:8" x14ac:dyDescent="0.35">
      <c r="E174" s="18"/>
      <c r="F174" s="18"/>
      <c r="G174" s="18"/>
      <c r="H174" s="18"/>
    </row>
    <row r="175" spans="5:8" x14ac:dyDescent="0.35">
      <c r="E175" s="18"/>
      <c r="F175" s="18"/>
      <c r="G175" s="18"/>
      <c r="H175" s="18"/>
    </row>
    <row r="176" spans="5:8" x14ac:dyDescent="0.35">
      <c r="E176" s="18"/>
      <c r="F176" s="18"/>
      <c r="G176" s="18"/>
      <c r="H176" s="18"/>
    </row>
    <row r="177" spans="5:8" x14ac:dyDescent="0.35">
      <c r="E177" s="18"/>
      <c r="F177" s="18"/>
      <c r="G177" s="18"/>
      <c r="H177" s="18"/>
    </row>
    <row r="178" spans="5:8" x14ac:dyDescent="0.35">
      <c r="E178" s="18"/>
      <c r="F178" s="18"/>
      <c r="G178" s="18"/>
      <c r="H178" s="18"/>
    </row>
    <row r="179" spans="5:8" x14ac:dyDescent="0.35">
      <c r="E179" s="18"/>
      <c r="F179" s="18"/>
      <c r="G179" s="18"/>
      <c r="H179" s="18"/>
    </row>
    <row r="180" spans="5:8" x14ac:dyDescent="0.35">
      <c r="E180" s="18"/>
      <c r="F180" s="18"/>
      <c r="G180" s="18"/>
      <c r="H180" s="18"/>
    </row>
    <row r="181" spans="5:8" x14ac:dyDescent="0.35">
      <c r="E181" s="18"/>
      <c r="F181" s="18"/>
      <c r="G181" s="18"/>
      <c r="H181" s="18"/>
    </row>
    <row r="182" spans="5:8" x14ac:dyDescent="0.35">
      <c r="E182" s="18"/>
      <c r="F182" s="18"/>
      <c r="G182" s="18"/>
      <c r="H182" s="18"/>
    </row>
    <row r="183" spans="5:8" x14ac:dyDescent="0.35">
      <c r="E183" s="18"/>
      <c r="F183" s="18"/>
      <c r="G183" s="18"/>
      <c r="H183" s="18"/>
    </row>
    <row r="184" spans="5:8" x14ac:dyDescent="0.35">
      <c r="E184" s="18"/>
      <c r="F184" s="18"/>
      <c r="G184" s="18"/>
      <c r="H184" s="18"/>
    </row>
    <row r="185" spans="5:8" x14ac:dyDescent="0.35">
      <c r="E185" s="18"/>
      <c r="F185" s="18"/>
      <c r="G185" s="18"/>
      <c r="H185" s="18"/>
    </row>
    <row r="186" spans="5:8" x14ac:dyDescent="0.35">
      <c r="E186" s="18"/>
      <c r="F186" s="18"/>
      <c r="G186" s="18"/>
      <c r="H186" s="18"/>
    </row>
    <row r="187" spans="5:8" x14ac:dyDescent="0.35">
      <c r="E187" s="18"/>
      <c r="F187" s="18"/>
      <c r="G187" s="18"/>
      <c r="H187" s="18"/>
    </row>
    <row r="188" spans="5:8" x14ac:dyDescent="0.35">
      <c r="E188" s="18"/>
      <c r="F188" s="18"/>
      <c r="G188" s="18"/>
      <c r="H188" s="18"/>
    </row>
    <row r="189" spans="5:8" x14ac:dyDescent="0.35">
      <c r="E189" s="18"/>
      <c r="F189" s="18"/>
      <c r="G189" s="18"/>
      <c r="H189" s="18"/>
    </row>
  </sheetData>
  <sheetProtection formatCells="0" formatColumns="0" formatRows="0" insertHyperlinks="0"/>
  <protectedRanges>
    <protectedRange sqref="I2:I5 O7:O1048576 N29:N1048576 N18:N22 N25:N27 K80:K1048576 E118:H1048576 O2:O5 C36:C1048576 E2:H2 L17:M22 J25:J1048576 L25:M1048576 M24 I7:I1048576 K2 J18:J22 E78:H85 E87:H104" name="Plage1"/>
    <protectedRange sqref="C2 C9:C17 C19:C20 C22:C23 J24 L24 N24 N2:N16 L2:L16 J9:J17 J2:J7" name="Plage1_4_1"/>
    <protectedRange sqref="M7:M16 M2:M5" name="Plage1_1"/>
    <protectedRange sqref="K51:K78 E49:H76" name="Plage1_2"/>
    <protectedRange sqref="E77:H77 G12:H18 K7:K22 K79 H10:H11 H19:H48 E3:H4 F18:G48 F10:G10 F5:H5 K3:K5 K24:K50 E5:E48 F7:H9" name="Plage1_6_1"/>
    <protectedRange sqref="I6 O6" name="Plage1_3"/>
    <protectedRange sqref="M6" name="Plage1_1_1"/>
    <protectedRange sqref="F6:H6 K6" name="Plage1_6_1_1"/>
  </protectedRanges>
  <customSheetViews>
    <customSheetView guid="{78C5045A-3FD3-4C60-B2E3-9FBBF1337D5C}">
      <pane ySplit="2" topLeftCell="A3" activePane="bottomLeft" state="frozen"/>
      <selection pane="bottomLeft" activeCell="F16" sqref="F16"/>
      <pageMargins left="0.7" right="0.7" top="0.75" bottom="0.75" header="0.3" footer="0.3"/>
      <pageSetup orientation="portrait" r:id="rId1"/>
    </customSheetView>
  </customSheetView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18"/>
  <sheetViews>
    <sheetView zoomScaleNormal="100" workbookViewId="0">
      <selection activeCell="H27" sqref="H27"/>
    </sheetView>
  </sheetViews>
  <sheetFormatPr defaultColWidth="8.7265625" defaultRowHeight="14.5" x14ac:dyDescent="0.35"/>
  <cols>
    <col min="1" max="16384" width="8.7265625" style="48"/>
  </cols>
  <sheetData>
    <row r="1" spans="1:2" s="50" customFormat="1" ht="30" customHeight="1" x14ac:dyDescent="0.7">
      <c r="A1" s="49" t="s">
        <v>1933</v>
      </c>
    </row>
    <row r="3" spans="1:2" x14ac:dyDescent="0.35">
      <c r="A3" s="48" t="s">
        <v>1928</v>
      </c>
    </row>
    <row r="4" spans="1:2" x14ac:dyDescent="0.35">
      <c r="A4" s="48" t="s">
        <v>1929</v>
      </c>
    </row>
    <row r="5" spans="1:2" x14ac:dyDescent="0.35">
      <c r="A5" s="48" t="s">
        <v>1930</v>
      </c>
    </row>
    <row r="6" spans="1:2" x14ac:dyDescent="0.35">
      <c r="A6" s="48" t="s">
        <v>1931</v>
      </c>
    </row>
    <row r="8" spans="1:2" x14ac:dyDescent="0.35">
      <c r="A8" s="48" t="s">
        <v>1934</v>
      </c>
    </row>
    <row r="9" spans="1:2" x14ac:dyDescent="0.35">
      <c r="A9" s="48" t="s">
        <v>1937</v>
      </c>
    </row>
    <row r="10" spans="1:2" x14ac:dyDescent="0.35">
      <c r="B10" s="51" t="s">
        <v>1935</v>
      </c>
    </row>
    <row r="11" spans="1:2" x14ac:dyDescent="0.35">
      <c r="B11" s="51" t="s">
        <v>1936</v>
      </c>
    </row>
    <row r="12" spans="1:2" x14ac:dyDescent="0.35">
      <c r="B12" s="51" t="s">
        <v>1938</v>
      </c>
    </row>
    <row r="14" spans="1:2" x14ac:dyDescent="0.35">
      <c r="A14" s="48" t="s">
        <v>1932</v>
      </c>
    </row>
    <row r="17" spans="1:1" x14ac:dyDescent="0.35">
      <c r="A17" s="48" t="s">
        <v>1996</v>
      </c>
    </row>
    <row r="18" spans="1:1" x14ac:dyDescent="0.35">
      <c r="A18" s="48" t="s">
        <v>1997</v>
      </c>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rgb="FFC00000"/>
  </sheetPr>
  <dimension ref="L1:L6"/>
  <sheetViews>
    <sheetView zoomScaleNormal="100" workbookViewId="0">
      <pane ySplit="6" topLeftCell="A7" activePane="bottomLeft" state="frozen"/>
      <selection activeCell="F12" sqref="F12"/>
      <selection pane="bottomLeft" activeCell="K22" sqref="K22"/>
    </sheetView>
  </sheetViews>
  <sheetFormatPr defaultColWidth="9.1796875" defaultRowHeight="14.5" x14ac:dyDescent="0.35"/>
  <cols>
    <col min="11" max="11" width="9" customWidth="1"/>
    <col min="13" max="13" width="12.453125" bestFit="1" customWidth="1"/>
  </cols>
  <sheetData>
    <row r="1" spans="12:12" s="3" customFormat="1" ht="15" customHeight="1" x14ac:dyDescent="0.35"/>
    <row r="2" spans="12:12" s="3" customFormat="1" x14ac:dyDescent="0.35"/>
    <row r="3" spans="12:12" s="3" customFormat="1" x14ac:dyDescent="0.35"/>
    <row r="4" spans="12:12" s="3" customFormat="1" x14ac:dyDescent="0.35"/>
    <row r="5" spans="12:12" s="3" customFormat="1" x14ac:dyDescent="0.35">
      <c r="L5"/>
    </row>
    <row r="6" spans="12:12" s="5" customFormat="1" x14ac:dyDescent="0.35"/>
  </sheetData>
  <sheetProtection algorithmName="SHA-512" hashValue="sBv5fiZWSRHtUtS+uMc+EiLh14rQot3l1g06X0FcHeRbPGFdlfwjsZUII2IHUrwOqIm0xBGibxdWm65gKLob0A==" saltValue="oFfKntAifT1jiprBrQ2F4g==" spinCount="100000" sheet="1" objects="1" scenarios="1"/>
  <customSheetViews>
    <customSheetView guid="{78C5045A-3FD3-4C60-B2E3-9FBBF1337D5C}" state="hidden">
      <pane ySplit="6" topLeftCell="A28" activePane="bottomLeft" state="frozen"/>
      <selection pane="bottomLeft" activeCell="X35" sqref="X35"/>
      <pageMargins left="0.7" right="0.7" top="0.75" bottom="0.75" header="0.3" footer="0.3"/>
      <pageSetup orientation="portrait" r:id="rId1"/>
    </customSheetView>
  </customSheetViews>
  <pageMargins left="0.7" right="0.7" top="0.75" bottom="0.75" header="0.3" footer="0.3"/>
  <pageSetup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C00000"/>
  </sheetPr>
  <dimension ref="L1:L9"/>
  <sheetViews>
    <sheetView zoomScaleNormal="100" workbookViewId="0">
      <pane ySplit="9" topLeftCell="A10" activePane="bottomLeft" state="frozen"/>
      <selection activeCell="F12" sqref="F12"/>
      <selection pane="bottomLeft" activeCell="D17" sqref="D17"/>
    </sheetView>
  </sheetViews>
  <sheetFormatPr defaultColWidth="9.1796875" defaultRowHeight="14.5" x14ac:dyDescent="0.35"/>
  <cols>
    <col min="1" max="10" width="9.1796875" style="1"/>
    <col min="11" max="11" width="9" style="1" customWidth="1"/>
    <col min="12" max="12" width="9.1796875" style="1"/>
    <col min="13" max="13" width="12.453125" style="1" bestFit="1" customWidth="1"/>
    <col min="14" max="16384" width="9.1796875" style="1"/>
  </cols>
  <sheetData>
    <row r="1" spans="12:12" s="3" customFormat="1" ht="15" customHeight="1" x14ac:dyDescent="0.35"/>
    <row r="2" spans="12:12" s="3" customFormat="1" x14ac:dyDescent="0.35"/>
    <row r="3" spans="12:12" s="3" customFormat="1" x14ac:dyDescent="0.35"/>
    <row r="4" spans="12:12" s="3" customFormat="1" x14ac:dyDescent="0.35"/>
    <row r="5" spans="12:12" s="3" customFormat="1" x14ac:dyDescent="0.35"/>
    <row r="6" spans="12:12" s="3" customFormat="1" x14ac:dyDescent="0.35"/>
    <row r="7" spans="12:12" s="3" customFormat="1" x14ac:dyDescent="0.35">
      <c r="L7"/>
    </row>
    <row r="8" spans="12:12" s="5" customFormat="1" x14ac:dyDescent="0.35"/>
    <row r="9" spans="12:12" s="6" customFormat="1" x14ac:dyDescent="0.35"/>
  </sheetData>
  <sheetProtection algorithmName="SHA-512" hashValue="kASlBfCXCIBEuhB3T7L0pFeOM8r+hKgVMh4sYNG696j1UQ3X9Oedrm7dZfSkFAF6mrxUzYYqiC3vysB2rMW3Cw==" saltValue="ngSCbWRtxZCyAZTynz7Zhg==" spinCount="100000" sheet="1" objects="1" scenario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34</vt:i4>
      </vt:variant>
    </vt:vector>
  </HeadingPairs>
  <TitlesOfParts>
    <vt:vector size="42" baseType="lpstr">
      <vt:lpstr>TABLES</vt:lpstr>
      <vt:lpstr>MODULES</vt:lpstr>
      <vt:lpstr>CURRENT_MODULES</vt:lpstr>
      <vt:lpstr>MAIN</vt:lpstr>
      <vt:lpstr>CONFIG</vt:lpstr>
      <vt:lpstr>CLIENT_EXPLANATION</vt:lpstr>
      <vt:lpstr>B_TEMPLATE</vt:lpstr>
      <vt:lpstr>SV_TEMPLATE</vt:lpstr>
      <vt:lpstr>CONFIG!CLEAR</vt:lpstr>
      <vt:lpstr>B_TEMPLATE!COLUMNS</vt:lpstr>
      <vt:lpstr>SV_TEMPLATE!COLUMNS</vt:lpstr>
      <vt:lpstr>DB_NAME</vt:lpstr>
      <vt:lpstr>DB_PATH</vt:lpstr>
      <vt:lpstr>CURRENT_MODULES!DEFAULT_VALUES</vt:lpstr>
      <vt:lpstr>MODULES!DEFAULT_VALUES</vt:lpstr>
      <vt:lpstr>SV_TEMPLATE!DESCRIPTION</vt:lpstr>
      <vt:lpstr>CURRENT_MODULES!DUPLICATES</vt:lpstr>
      <vt:lpstr>MODULES!DUPLICATES</vt:lpstr>
      <vt:lpstr>CURRENT_MODULES!EXPORT_CLIENT</vt:lpstr>
      <vt:lpstr>MAIN!EXPORT_CLIENT_PATH</vt:lpstr>
      <vt:lpstr>FK_PK</vt:lpstr>
      <vt:lpstr>CURRENT_MODULES!FORMAT_CONSTRAINTS</vt:lpstr>
      <vt:lpstr>MODULES!FORMAT_CONSTRAINTS</vt:lpstr>
      <vt:lpstr>CONFIG!GENERATE</vt:lpstr>
      <vt:lpstr>MAIN!HELP_PATH</vt:lpstr>
      <vt:lpstr>INFOS_DB</vt:lpstr>
      <vt:lpstr>CONFIG!INSERT</vt:lpstr>
      <vt:lpstr>CURRENT_MODULES!KEY_CONSTRAINTS</vt:lpstr>
      <vt:lpstr>MODULES!KEY_CONSTRAINTS</vt:lpstr>
      <vt:lpstr>MANDATORY</vt:lpstr>
      <vt:lpstr>CONFIG!MAPPING</vt:lpstr>
      <vt:lpstr>CURRENT_MODULES!MAPPING</vt:lpstr>
      <vt:lpstr>MODULES!MAPPING_ID</vt:lpstr>
      <vt:lpstr>MODULES!MODULE_NAME</vt:lpstr>
      <vt:lpstr>PURGE</vt:lpstr>
      <vt:lpstr>MODULES!QUESTIONS</vt:lpstr>
      <vt:lpstr>TABLES!SV_DESCRIPTIONS</vt:lpstr>
      <vt:lpstr>SV_EXAMPLES</vt:lpstr>
      <vt:lpstr>CONFIG!SV_GENERATE</vt:lpstr>
      <vt:lpstr>SV_TABLES</vt:lpstr>
      <vt:lpstr>TABLES</vt:lpstr>
      <vt:lpstr>CONFIG!VISUALIZE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ALLAGUI Malek (INTERN)</dc:creator>
  <cp:lastModifiedBy>VORGEAT Thibaud (INTERN)</cp:lastModifiedBy>
  <dcterms:created xsi:type="dcterms:W3CDTF">2015-06-05T18:19:34Z</dcterms:created>
  <dcterms:modified xsi:type="dcterms:W3CDTF">2020-09-08T07:22:15Z</dcterms:modified>
</cp:coreProperties>
</file>